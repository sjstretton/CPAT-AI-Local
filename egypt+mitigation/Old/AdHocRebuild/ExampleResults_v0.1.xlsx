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b547395\Repos\CPAT-ai-local\egypt+mitigation\AdHocRebuild\"/>
    </mc:Choice>
  </mc:AlternateContent>
  <xr:revisionPtr revIDLastSave="0" documentId="13_ncr:1_{4AC636BA-3F30-4454-94BB-1ED60517C0F7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Example" sheetId="1" r:id="rId1"/>
    <sheet name="Inputs" sheetId="2" r:id="rId2"/>
    <sheet name="Block" sheetId="3" r:id="rId3"/>
  </sheets>
  <definedNames>
    <definedName name="BaseYr">Inputs!$C$5</definedName>
    <definedName name="Bf">Example!$E$6</definedName>
    <definedName name="CBF">Inputs!$C$13</definedName>
    <definedName name="CPT_EG1">Inputs!$D$26</definedName>
    <definedName name="CPT_EG3">Inputs!$E$26</definedName>
    <definedName name="DEATHS_EG1">Inputs!$D$29</definedName>
    <definedName name="DEATHS_EG3">Inputs!$E$29</definedName>
    <definedName name="DREV_EG1">Inputs!$D$31</definedName>
    <definedName name="DREV_EG3">Inputs!$E$31</definedName>
    <definedName name="EFFCPT_EG1">Inputs!$D$27</definedName>
    <definedName name="EFFCPT_EG3">Inputs!$E$27</definedName>
    <definedName name="ENR0_EG1">Inputs!$D$22</definedName>
    <definedName name="ENR0_EG3">Inputs!$E$22</definedName>
    <definedName name="ENR1_EG1">Inputs!$D$23</definedName>
    <definedName name="ENR1_EG3">Inputs!$E$23</definedName>
    <definedName name="EpsF">Inputs!$C$9</definedName>
    <definedName name="EpsQ">Inputs!$C$10</definedName>
    <definedName name="EpsU">Inputs!$C$8</definedName>
    <definedName name="GHG0_EG1">Inputs!$D$18</definedName>
    <definedName name="GHG0_EG3">Inputs!$E$18</definedName>
    <definedName name="GHG1_EG1">Inputs!$D$19</definedName>
    <definedName name="GHG1_EG3">Inputs!$E$19</definedName>
    <definedName name="IND0_EG1">Inputs!$D$24</definedName>
    <definedName name="IND0_EG3">Inputs!$E$24</definedName>
    <definedName name="IND1_EG1">Inputs!$D$25</definedName>
    <definedName name="IND1_EG3">Inputs!$E$25</definedName>
    <definedName name="IPPU0_EG1">Inputs!$D$20</definedName>
    <definedName name="IPPU0_EG3">Inputs!$E$20</definedName>
    <definedName name="IPPU1_EG1">Inputs!$D$21</definedName>
    <definedName name="IPPU1_EG3">Inputs!$E$21</definedName>
    <definedName name="MORT_EG1">Inputs!$D$30</definedName>
    <definedName name="MORT_EG3">Inputs!$E$30</definedName>
    <definedName name="PEU">Inputs!$C$11</definedName>
    <definedName name="PStar">Inputs!$C$12</definedName>
    <definedName name="PT_ER">Inputs!$H$35:$H$42</definedName>
    <definedName name="PT_FuelFac">Inputs!$F$35:$F$42</definedName>
    <definedName name="PT_Growth">Inputs!$C$35:$C$42</definedName>
    <definedName name="PT_Name">Inputs!$A$35:$A$42</definedName>
    <definedName name="PT_P">Inputs!$E$35:$E$42</definedName>
    <definedName name="PT_ProcFac">Inputs!$G$35:$G$42</definedName>
    <definedName name="PT_Q0">Inputs!$B$35:$B$42</definedName>
    <definedName name="PT_X">Inputs!$D$35:$D$42</definedName>
    <definedName name="REVCTAX_EG1">Inputs!$D$28</definedName>
    <definedName name="REVCTAX_EG3">Inputs!$E$28</definedName>
    <definedName name="SigmaEff">Inputs!$C$7</definedName>
    <definedName name="Ssel">Inputs!$C$14</definedName>
    <definedName name="Tau">Inputs!$C$6</definedName>
    <definedName name="Yr">Inputs!$C$4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1" i="3" l="1"/>
  <c r="G41" i="3"/>
  <c r="F41" i="3"/>
  <c r="J41" i="3" s="1"/>
  <c r="E41" i="3"/>
  <c r="D41" i="3"/>
  <c r="AG41" i="3" s="1"/>
  <c r="C41" i="3"/>
  <c r="B41" i="3"/>
  <c r="A41" i="3"/>
  <c r="H40" i="3"/>
  <c r="G40" i="3"/>
  <c r="F40" i="3"/>
  <c r="J40" i="3" s="1"/>
  <c r="E40" i="3"/>
  <c r="D40" i="3"/>
  <c r="C40" i="3"/>
  <c r="B40" i="3"/>
  <c r="A40" i="3"/>
  <c r="H39" i="3"/>
  <c r="G39" i="3"/>
  <c r="L39" i="3" s="1"/>
  <c r="F39" i="3"/>
  <c r="J39" i="3" s="1"/>
  <c r="E39" i="3"/>
  <c r="D39" i="3"/>
  <c r="AG39" i="3" s="1"/>
  <c r="C39" i="3"/>
  <c r="B39" i="3"/>
  <c r="I39" i="3" s="1"/>
  <c r="A39" i="3"/>
  <c r="J38" i="3"/>
  <c r="H38" i="3"/>
  <c r="G38" i="3"/>
  <c r="F38" i="3"/>
  <c r="E38" i="3"/>
  <c r="D38" i="3"/>
  <c r="C38" i="3"/>
  <c r="B38" i="3"/>
  <c r="A38" i="3"/>
  <c r="J37" i="3"/>
  <c r="H37" i="3"/>
  <c r="G37" i="3"/>
  <c r="K37" i="3" s="1"/>
  <c r="F37" i="3"/>
  <c r="E37" i="3"/>
  <c r="D37" i="3"/>
  <c r="C37" i="3"/>
  <c r="B37" i="3"/>
  <c r="I37" i="3" s="1"/>
  <c r="A37" i="3"/>
  <c r="K36" i="3"/>
  <c r="H36" i="3"/>
  <c r="G36" i="3"/>
  <c r="F36" i="3"/>
  <c r="J36" i="3" s="1"/>
  <c r="E36" i="3"/>
  <c r="D36" i="3"/>
  <c r="AG36" i="3" s="1"/>
  <c r="C36" i="3"/>
  <c r="B36" i="3"/>
  <c r="A36" i="3"/>
  <c r="H35" i="3"/>
  <c r="G35" i="3"/>
  <c r="F35" i="3"/>
  <c r="J35" i="3" s="1"/>
  <c r="E35" i="3"/>
  <c r="D35" i="3"/>
  <c r="C35" i="3"/>
  <c r="B35" i="3"/>
  <c r="I35" i="3" s="1"/>
  <c r="A35" i="3"/>
  <c r="I34" i="3"/>
  <c r="AD34" i="3" s="1"/>
  <c r="H34" i="3"/>
  <c r="G34" i="3"/>
  <c r="F34" i="3"/>
  <c r="E34" i="3"/>
  <c r="D34" i="3"/>
  <c r="C34" i="3"/>
  <c r="B34" i="3"/>
  <c r="A34" i="3"/>
  <c r="L32" i="3"/>
  <c r="J32" i="3"/>
  <c r="H32" i="3"/>
  <c r="I27" i="3"/>
  <c r="H27" i="3"/>
  <c r="G27" i="3"/>
  <c r="L27" i="3" s="1"/>
  <c r="F27" i="3"/>
  <c r="J27" i="3" s="1"/>
  <c r="E27" i="3"/>
  <c r="D27" i="3"/>
  <c r="C27" i="3"/>
  <c r="B27" i="3"/>
  <c r="A27" i="3"/>
  <c r="H26" i="3"/>
  <c r="G26" i="3"/>
  <c r="F26" i="3"/>
  <c r="E26" i="3"/>
  <c r="D26" i="3"/>
  <c r="AG26" i="3" s="1"/>
  <c r="C26" i="3"/>
  <c r="B26" i="3"/>
  <c r="I26" i="3" s="1"/>
  <c r="A26" i="3"/>
  <c r="H25" i="3"/>
  <c r="G25" i="3"/>
  <c r="F25" i="3"/>
  <c r="J25" i="3" s="1"/>
  <c r="E25" i="3"/>
  <c r="D25" i="3"/>
  <c r="C25" i="3"/>
  <c r="B25" i="3"/>
  <c r="A25" i="3"/>
  <c r="H24" i="3"/>
  <c r="G24" i="3"/>
  <c r="F24" i="3"/>
  <c r="J24" i="3" s="1"/>
  <c r="E24" i="3"/>
  <c r="D24" i="3"/>
  <c r="C24" i="3"/>
  <c r="I24" i="3" s="1"/>
  <c r="B24" i="3"/>
  <c r="A24" i="3"/>
  <c r="H23" i="3"/>
  <c r="G23" i="3"/>
  <c r="F23" i="3"/>
  <c r="J23" i="3" s="1"/>
  <c r="E23" i="3"/>
  <c r="D23" i="3"/>
  <c r="AG23" i="3" s="1"/>
  <c r="C23" i="3"/>
  <c r="B23" i="3"/>
  <c r="I23" i="3" s="1"/>
  <c r="A23" i="3"/>
  <c r="H22" i="3"/>
  <c r="G22" i="3"/>
  <c r="F22" i="3"/>
  <c r="J22" i="3" s="1"/>
  <c r="E22" i="3"/>
  <c r="D22" i="3"/>
  <c r="C22" i="3"/>
  <c r="B22" i="3"/>
  <c r="A22" i="3"/>
  <c r="I21" i="3"/>
  <c r="AE21" i="3" s="1"/>
  <c r="H21" i="3"/>
  <c r="G21" i="3"/>
  <c r="F21" i="3"/>
  <c r="E21" i="3"/>
  <c r="D21" i="3"/>
  <c r="C21" i="3"/>
  <c r="B21" i="3"/>
  <c r="A21" i="3"/>
  <c r="I20" i="3"/>
  <c r="H20" i="3"/>
  <c r="G20" i="3"/>
  <c r="F20" i="3"/>
  <c r="J20" i="3" s="1"/>
  <c r="E20" i="3"/>
  <c r="D20" i="3"/>
  <c r="AG20" i="3" s="1"/>
  <c r="C20" i="3"/>
  <c r="B20" i="3"/>
  <c r="A20" i="3"/>
  <c r="L18" i="3"/>
  <c r="J18" i="3"/>
  <c r="L20" i="3" s="1"/>
  <c r="H18" i="3"/>
  <c r="K26" i="3" s="1"/>
  <c r="H13" i="3"/>
  <c r="G13" i="3"/>
  <c r="F13" i="3"/>
  <c r="J13" i="3" s="1"/>
  <c r="E13" i="3"/>
  <c r="D13" i="3"/>
  <c r="AG13" i="3" s="1"/>
  <c r="C13" i="3"/>
  <c r="B13" i="3"/>
  <c r="I13" i="3" s="1"/>
  <c r="A13" i="3"/>
  <c r="H12" i="3"/>
  <c r="G12" i="3"/>
  <c r="F12" i="3"/>
  <c r="E12" i="3"/>
  <c r="D12" i="3"/>
  <c r="C12" i="3"/>
  <c r="B12" i="3"/>
  <c r="I12" i="3" s="1"/>
  <c r="AE12" i="3" s="1"/>
  <c r="A12" i="3"/>
  <c r="L11" i="3"/>
  <c r="K11" i="3"/>
  <c r="J11" i="3"/>
  <c r="H11" i="3"/>
  <c r="G11" i="3"/>
  <c r="F11" i="3"/>
  <c r="AG11" i="3" s="1"/>
  <c r="E11" i="3"/>
  <c r="D11" i="3"/>
  <c r="C11" i="3"/>
  <c r="B11" i="3"/>
  <c r="I11" i="3" s="1"/>
  <c r="A11" i="3"/>
  <c r="I10" i="3"/>
  <c r="AE10" i="3" s="1"/>
  <c r="H10" i="3"/>
  <c r="G10" i="3"/>
  <c r="L10" i="3" s="1"/>
  <c r="F10" i="3"/>
  <c r="J10" i="3" s="1"/>
  <c r="E10" i="3"/>
  <c r="D10" i="3"/>
  <c r="C10" i="3"/>
  <c r="B10" i="3"/>
  <c r="A10" i="3"/>
  <c r="H9" i="3"/>
  <c r="G9" i="3"/>
  <c r="F9" i="3"/>
  <c r="J9" i="3" s="1"/>
  <c r="E9" i="3"/>
  <c r="D9" i="3"/>
  <c r="AG9" i="3" s="1"/>
  <c r="C9" i="3"/>
  <c r="B9" i="3"/>
  <c r="A9" i="3"/>
  <c r="H8" i="3"/>
  <c r="G8" i="3"/>
  <c r="F8" i="3"/>
  <c r="J8" i="3" s="1"/>
  <c r="E8" i="3"/>
  <c r="D8" i="3"/>
  <c r="AG8" i="3" s="1"/>
  <c r="C8" i="3"/>
  <c r="B8" i="3"/>
  <c r="I8" i="3" s="1"/>
  <c r="A8" i="3"/>
  <c r="I7" i="3"/>
  <c r="H7" i="3"/>
  <c r="G7" i="3"/>
  <c r="F7" i="3"/>
  <c r="J7" i="3" s="1"/>
  <c r="E7" i="3"/>
  <c r="D7" i="3"/>
  <c r="C7" i="3"/>
  <c r="B7" i="3"/>
  <c r="A7" i="3"/>
  <c r="K6" i="3"/>
  <c r="H6" i="3"/>
  <c r="G6" i="3"/>
  <c r="F6" i="3"/>
  <c r="J6" i="3" s="1"/>
  <c r="E6" i="3"/>
  <c r="D6" i="3"/>
  <c r="AG6" i="3" s="1"/>
  <c r="C6" i="3"/>
  <c r="B6" i="3"/>
  <c r="I6" i="3" s="1"/>
  <c r="A6" i="3"/>
  <c r="L4" i="3"/>
  <c r="J4" i="3"/>
  <c r="H4" i="3"/>
  <c r="K12" i="3" s="1"/>
  <c r="E33" i="1"/>
  <c r="E39" i="1" s="1"/>
  <c r="H39" i="1" s="1"/>
  <c r="E32" i="1"/>
  <c r="H32" i="1" s="1"/>
  <c r="E31" i="1"/>
  <c r="H31" i="1" s="1"/>
  <c r="E10" i="1"/>
  <c r="H10" i="1" s="1"/>
  <c r="E9" i="1"/>
  <c r="H9" i="1" s="1"/>
  <c r="E8" i="1"/>
  <c r="H8" i="1" s="1"/>
  <c r="E7" i="1"/>
  <c r="H7" i="1" s="1"/>
  <c r="E6" i="1"/>
  <c r="H6" i="1" s="1"/>
  <c r="E5" i="1"/>
  <c r="H5" i="1" s="1"/>
  <c r="AC7" i="3" l="1"/>
  <c r="AG27" i="3"/>
  <c r="L37" i="3"/>
  <c r="M37" i="3" s="1"/>
  <c r="N37" i="3" s="1"/>
  <c r="AG40" i="3"/>
  <c r="L6" i="3"/>
  <c r="L9" i="3"/>
  <c r="AD10" i="3"/>
  <c r="L13" i="3"/>
  <c r="AG22" i="3"/>
  <c r="AC26" i="3"/>
  <c r="K40" i="3"/>
  <c r="AG37" i="3"/>
  <c r="I25" i="3"/>
  <c r="L36" i="3"/>
  <c r="I41" i="3"/>
  <c r="AD41" i="3" s="1"/>
  <c r="AC27" i="3"/>
  <c r="AC10" i="3"/>
  <c r="AD7" i="3"/>
  <c r="K10" i="3"/>
  <c r="M10" i="3" s="1"/>
  <c r="N10" i="3" s="1"/>
  <c r="M6" i="3"/>
  <c r="N6" i="3" s="1"/>
  <c r="Y6" i="3" s="1"/>
  <c r="M36" i="3"/>
  <c r="L23" i="3"/>
  <c r="K23" i="3"/>
  <c r="M23" i="3" s="1"/>
  <c r="N23" i="3" s="1"/>
  <c r="L12" i="3"/>
  <c r="AG38" i="3"/>
  <c r="L25" i="3"/>
  <c r="I40" i="3"/>
  <c r="AC20" i="3"/>
  <c r="AG10" i="3"/>
  <c r="AG34" i="3"/>
  <c r="L38" i="3"/>
  <c r="J12" i="3"/>
  <c r="M12" i="3" s="1"/>
  <c r="N12" i="3" s="1"/>
  <c r="AG24" i="3"/>
  <c r="K38" i="3"/>
  <c r="M38" i="3" s="1"/>
  <c r="I9" i="3"/>
  <c r="AD9" i="3" s="1"/>
  <c r="L24" i="3"/>
  <c r="L40" i="3"/>
  <c r="L22" i="3"/>
  <c r="K22" i="3"/>
  <c r="M22" i="3" s="1"/>
  <c r="L34" i="3"/>
  <c r="AE37" i="3"/>
  <c r="AC37" i="3"/>
  <c r="AD37" i="3"/>
  <c r="AC24" i="3"/>
  <c r="AD24" i="3"/>
  <c r="AE24" i="3"/>
  <c r="AE8" i="3"/>
  <c r="AD8" i="3"/>
  <c r="AC8" i="3"/>
  <c r="AC11" i="3"/>
  <c r="AE11" i="3"/>
  <c r="AD11" i="3"/>
  <c r="M25" i="3"/>
  <c r="N25" i="3" s="1"/>
  <c r="AE6" i="3"/>
  <c r="AD6" i="3"/>
  <c r="M11" i="3"/>
  <c r="N11" i="3" s="1"/>
  <c r="Y11" i="3" s="1"/>
  <c r="K35" i="3"/>
  <c r="M35" i="3" s="1"/>
  <c r="N35" i="3" s="1"/>
  <c r="L35" i="3"/>
  <c r="I22" i="3"/>
  <c r="AE23" i="3"/>
  <c r="AD23" i="3"/>
  <c r="AE39" i="3"/>
  <c r="AC39" i="3"/>
  <c r="AD39" i="3"/>
  <c r="AE7" i="3"/>
  <c r="AE27" i="3"/>
  <c r="AD27" i="3"/>
  <c r="L7" i="3"/>
  <c r="Q8" i="3"/>
  <c r="K13" i="3"/>
  <c r="Q21" i="3"/>
  <c r="AC34" i="3"/>
  <c r="Q35" i="3"/>
  <c r="Q38" i="3"/>
  <c r="AC6" i="3"/>
  <c r="Q25" i="3"/>
  <c r="L26" i="3"/>
  <c r="J26" i="3"/>
  <c r="M26" i="3" s="1"/>
  <c r="N26" i="3" s="1"/>
  <c r="AD35" i="3"/>
  <c r="AC35" i="3"/>
  <c r="AG7" i="3"/>
  <c r="AG14" i="3" s="1"/>
  <c r="E36" i="1"/>
  <c r="E34" i="1"/>
  <c r="E43" i="1" s="1"/>
  <c r="H43" i="1" s="1"/>
  <c r="H33" i="1"/>
  <c r="E35" i="1"/>
  <c r="H35" i="1" s="1"/>
  <c r="AG12" i="3"/>
  <c r="AE20" i="3"/>
  <c r="AD20" i="3"/>
  <c r="K39" i="3"/>
  <c r="M39" i="3" s="1"/>
  <c r="N39" i="3" s="1"/>
  <c r="L8" i="3"/>
  <c r="M9" i="3"/>
  <c r="E13" i="1" s="1"/>
  <c r="AD25" i="3"/>
  <c r="AC25" i="3"/>
  <c r="I38" i="3"/>
  <c r="AD12" i="3"/>
  <c r="AC12" i="3"/>
  <c r="Q23" i="3"/>
  <c r="Q37" i="3"/>
  <c r="Q39" i="3"/>
  <c r="Q13" i="3"/>
  <c r="Q6" i="3"/>
  <c r="Q34" i="3"/>
  <c r="Q27" i="3"/>
  <c r="Q20" i="3"/>
  <c r="Q41" i="3"/>
  <c r="Q26" i="3"/>
  <c r="Q40" i="3"/>
  <c r="Q7" i="3"/>
  <c r="AE34" i="3"/>
  <c r="Q10" i="3"/>
  <c r="AE26" i="3"/>
  <c r="J34" i="3"/>
  <c r="K7" i="3"/>
  <c r="K9" i="3"/>
  <c r="E12" i="1" s="1"/>
  <c r="K8" i="3"/>
  <c r="AG21" i="3"/>
  <c r="AD21" i="3"/>
  <c r="AC23" i="3"/>
  <c r="AG25" i="3"/>
  <c r="AG35" i="3"/>
  <c r="AG42" i="3" s="1"/>
  <c r="AE35" i="3"/>
  <c r="M40" i="3"/>
  <c r="N40" i="3" s="1"/>
  <c r="I14" i="3"/>
  <c r="Q11" i="3"/>
  <c r="AD40" i="3"/>
  <c r="AC40" i="3"/>
  <c r="AE40" i="3"/>
  <c r="Q36" i="3"/>
  <c r="AE13" i="3"/>
  <c r="AD13" i="3"/>
  <c r="AC13" i="3"/>
  <c r="K24" i="3"/>
  <c r="K21" i="3"/>
  <c r="K27" i="3"/>
  <c r="M27" i="3" s="1"/>
  <c r="N27" i="3" s="1"/>
  <c r="K20" i="3"/>
  <c r="M20" i="3" s="1"/>
  <c r="N20" i="3" s="1"/>
  <c r="Q24" i="3"/>
  <c r="AC21" i="3"/>
  <c r="K25" i="3"/>
  <c r="Q9" i="3"/>
  <c r="Q12" i="3"/>
  <c r="L21" i="3"/>
  <c r="J21" i="3"/>
  <c r="Q22" i="3"/>
  <c r="AE25" i="3"/>
  <c r="I36" i="3"/>
  <c r="AD26" i="3"/>
  <c r="K34" i="3"/>
  <c r="K41" i="3"/>
  <c r="M41" i="3" s="1"/>
  <c r="N41" i="3" s="1"/>
  <c r="L41" i="3"/>
  <c r="Y23" i="3" l="1"/>
  <c r="AG28" i="3"/>
  <c r="M8" i="3"/>
  <c r="N8" i="3" s="1"/>
  <c r="Y8" i="3" s="1"/>
  <c r="AC9" i="3"/>
  <c r="AE9" i="3"/>
  <c r="M24" i="3"/>
  <c r="N24" i="3" s="1"/>
  <c r="O24" i="3" s="1"/>
  <c r="M7" i="3"/>
  <c r="N7" i="3" s="1"/>
  <c r="Y7" i="3" s="1"/>
  <c r="E11" i="1"/>
  <c r="M21" i="3"/>
  <c r="N21" i="3" s="1"/>
  <c r="P21" i="3" s="1"/>
  <c r="AE41" i="3"/>
  <c r="AC41" i="3"/>
  <c r="M13" i="3"/>
  <c r="N13" i="3" s="1"/>
  <c r="Y13" i="3" s="1"/>
  <c r="P13" i="3"/>
  <c r="P40" i="3"/>
  <c r="O40" i="3"/>
  <c r="Y40" i="3"/>
  <c r="Z8" i="3"/>
  <c r="P8" i="3"/>
  <c r="O8" i="3"/>
  <c r="AA8" i="3"/>
  <c r="O37" i="3"/>
  <c r="P37" i="3"/>
  <c r="Y37" i="3"/>
  <c r="P27" i="3"/>
  <c r="O27" i="3"/>
  <c r="Y27" i="3"/>
  <c r="P25" i="3"/>
  <c r="O25" i="3"/>
  <c r="Y25" i="3"/>
  <c r="O39" i="3"/>
  <c r="P39" i="3"/>
  <c r="Y39" i="3"/>
  <c r="P7" i="3"/>
  <c r="O7" i="3"/>
  <c r="P35" i="3"/>
  <c r="O35" i="3"/>
  <c r="AD42" i="3"/>
  <c r="P20" i="3"/>
  <c r="O20" i="3"/>
  <c r="Y20" i="3"/>
  <c r="P10" i="3"/>
  <c r="O10" i="3"/>
  <c r="Y10" i="3"/>
  <c r="AC22" i="3"/>
  <c r="AC28" i="3" s="1"/>
  <c r="N22" i="3"/>
  <c r="AE22" i="3"/>
  <c r="AE28" i="3" s="1"/>
  <c r="AD22" i="3"/>
  <c r="P41" i="3"/>
  <c r="O41" i="3"/>
  <c r="I28" i="3"/>
  <c r="P26" i="3"/>
  <c r="O26" i="3"/>
  <c r="Y26" i="3"/>
  <c r="Y35" i="3"/>
  <c r="P6" i="3"/>
  <c r="O6" i="3"/>
  <c r="AD14" i="3"/>
  <c r="H36" i="1"/>
  <c r="AE14" i="3"/>
  <c r="AD28" i="3"/>
  <c r="E40" i="1" s="1"/>
  <c r="H40" i="1" s="1"/>
  <c r="N36" i="3"/>
  <c r="AC36" i="3"/>
  <c r="AE36" i="3"/>
  <c r="AD36" i="3"/>
  <c r="O11" i="3"/>
  <c r="P11" i="3"/>
  <c r="P12" i="3"/>
  <c r="O12" i="3"/>
  <c r="Y12" i="3"/>
  <c r="Y21" i="3"/>
  <c r="AD38" i="3"/>
  <c r="AC38" i="3"/>
  <c r="N38" i="3"/>
  <c r="AE38" i="3"/>
  <c r="I42" i="3"/>
  <c r="N9" i="3"/>
  <c r="AC14" i="3"/>
  <c r="E21" i="1" s="1"/>
  <c r="H21" i="1" s="1"/>
  <c r="Y41" i="3"/>
  <c r="M34" i="3"/>
  <c r="N34" i="3" s="1"/>
  <c r="P23" i="3"/>
  <c r="O23" i="3"/>
  <c r="O13" i="3" l="1"/>
  <c r="O21" i="3"/>
  <c r="AB8" i="3"/>
  <c r="AF8" i="3" s="1"/>
  <c r="AE42" i="3"/>
  <c r="Y24" i="3"/>
  <c r="AC42" i="3"/>
  <c r="P24" i="3"/>
  <c r="AH24" i="3" s="1"/>
  <c r="S24" i="3"/>
  <c r="X24" i="3" s="1"/>
  <c r="R8" i="3"/>
  <c r="T8" i="3" s="1"/>
  <c r="W8" i="3"/>
  <c r="U8" i="3"/>
  <c r="AH8" i="3"/>
  <c r="U23" i="3"/>
  <c r="AH23" i="3"/>
  <c r="R23" i="3"/>
  <c r="W23" i="3" s="1"/>
  <c r="U24" i="3"/>
  <c r="R24" i="3"/>
  <c r="R26" i="3"/>
  <c r="W26" i="3" s="1"/>
  <c r="AA26" i="3" s="1"/>
  <c r="AH26" i="3"/>
  <c r="U26" i="3"/>
  <c r="T26" i="3"/>
  <c r="Z26" i="3" s="1"/>
  <c r="P14" i="3"/>
  <c r="S6" i="3"/>
  <c r="V6" i="3"/>
  <c r="V7" i="3"/>
  <c r="S7" i="3"/>
  <c r="X7" i="3" s="1"/>
  <c r="Y28" i="3"/>
  <c r="V8" i="3"/>
  <c r="S8" i="3"/>
  <c r="X8" i="3" s="1"/>
  <c r="AA36" i="3"/>
  <c r="Z36" i="3"/>
  <c r="AB36" i="3" s="1"/>
  <c r="AF36" i="3" s="1"/>
  <c r="O36" i="3"/>
  <c r="P36" i="3"/>
  <c r="Y36" i="3"/>
  <c r="AA22" i="3"/>
  <c r="Z22" i="3"/>
  <c r="P22" i="3"/>
  <c r="P28" i="3" s="1"/>
  <c r="O22" i="3"/>
  <c r="Y22" i="3"/>
  <c r="E27" i="1"/>
  <c r="H27" i="1" s="1"/>
  <c r="E37" i="1"/>
  <c r="H37" i="1" s="1"/>
  <c r="V26" i="3"/>
  <c r="S26" i="3"/>
  <c r="X26" i="3" s="1"/>
  <c r="N28" i="3"/>
  <c r="U27" i="3"/>
  <c r="AH27" i="3"/>
  <c r="R27" i="3"/>
  <c r="W27" i="3" s="1"/>
  <c r="AA27" i="3" s="1"/>
  <c r="V23" i="3"/>
  <c r="S23" i="3"/>
  <c r="X23" i="3" s="1"/>
  <c r="U12" i="3"/>
  <c r="AH12" i="3"/>
  <c r="R12" i="3"/>
  <c r="U20" i="3"/>
  <c r="AH20" i="3"/>
  <c r="R20" i="3"/>
  <c r="W20" i="3" s="1"/>
  <c r="O28" i="3"/>
  <c r="S39" i="3"/>
  <c r="X39" i="3" s="1"/>
  <c r="V39" i="3"/>
  <c r="V12" i="3"/>
  <c r="S12" i="3"/>
  <c r="X12" i="3" s="1"/>
  <c r="S21" i="3"/>
  <c r="T21" i="3" s="1"/>
  <c r="Z21" i="3" s="1"/>
  <c r="V21" i="3"/>
  <c r="V20" i="3"/>
  <c r="S20" i="3"/>
  <c r="AH39" i="3"/>
  <c r="R39" i="3"/>
  <c r="W39" i="3" s="1"/>
  <c r="U39" i="3"/>
  <c r="V27" i="3"/>
  <c r="S27" i="3"/>
  <c r="X27" i="3" s="1"/>
  <c r="R40" i="3"/>
  <c r="W40" i="3" s="1"/>
  <c r="AA40" i="3" s="1"/>
  <c r="AH40" i="3"/>
  <c r="T40" i="3"/>
  <c r="Z40" i="3" s="1"/>
  <c r="U40" i="3"/>
  <c r="V11" i="3"/>
  <c r="S11" i="3"/>
  <c r="X11" i="3" s="1"/>
  <c r="R21" i="3"/>
  <c r="AH21" i="3"/>
  <c r="U21" i="3"/>
  <c r="W21" i="3"/>
  <c r="V40" i="3"/>
  <c r="S40" i="3"/>
  <c r="X40" i="3" s="1"/>
  <c r="AH35" i="3"/>
  <c r="R35" i="3"/>
  <c r="T35" i="3" s="1"/>
  <c r="Z35" i="3" s="1"/>
  <c r="W35" i="3"/>
  <c r="U35" i="3"/>
  <c r="R25" i="3"/>
  <c r="W25" i="3" s="1"/>
  <c r="AA25" i="3" s="1"/>
  <c r="U25" i="3"/>
  <c r="AH25" i="3"/>
  <c r="R11" i="3"/>
  <c r="W11" i="3" s="1"/>
  <c r="U11" i="3"/>
  <c r="T11" i="3"/>
  <c r="Z11" i="3" s="1"/>
  <c r="AH11" i="3"/>
  <c r="AH6" i="3"/>
  <c r="R6" i="3"/>
  <c r="W6" i="3" s="1"/>
  <c r="U6" i="3"/>
  <c r="U10" i="3"/>
  <c r="AH10" i="3"/>
  <c r="R10" i="3"/>
  <c r="T10" i="3" s="1"/>
  <c r="Z10" i="3" s="1"/>
  <c r="S25" i="3"/>
  <c r="V25" i="3"/>
  <c r="X25" i="3"/>
  <c r="S10" i="3"/>
  <c r="X10" i="3" s="1"/>
  <c r="V10" i="3"/>
  <c r="R37" i="3"/>
  <c r="T37" i="3" s="1"/>
  <c r="Z37" i="3" s="1"/>
  <c r="U37" i="3"/>
  <c r="AH37" i="3"/>
  <c r="AH13" i="3"/>
  <c r="R13" i="3"/>
  <c r="U13" i="3"/>
  <c r="N42" i="3"/>
  <c r="P34" i="3"/>
  <c r="O34" i="3"/>
  <c r="Y34" i="3"/>
  <c r="V37" i="3"/>
  <c r="X37" i="3"/>
  <c r="S37" i="3"/>
  <c r="P9" i="3"/>
  <c r="E14" i="1"/>
  <c r="O9" i="3"/>
  <c r="O14" i="3" s="1"/>
  <c r="Y9" i="3"/>
  <c r="Y14" i="3" s="1"/>
  <c r="N14" i="3"/>
  <c r="W41" i="3"/>
  <c r="U41" i="3"/>
  <c r="AH41" i="3"/>
  <c r="R41" i="3"/>
  <c r="T41" i="3" s="1"/>
  <c r="Z41" i="3" s="1"/>
  <c r="S35" i="3"/>
  <c r="X35" i="3" s="1"/>
  <c r="V35" i="3"/>
  <c r="V41" i="3"/>
  <c r="S41" i="3"/>
  <c r="X41" i="3" s="1"/>
  <c r="P38" i="3"/>
  <c r="O38" i="3"/>
  <c r="Y38" i="3"/>
  <c r="R7" i="3"/>
  <c r="W7" i="3" s="1"/>
  <c r="AH7" i="3"/>
  <c r="U7" i="3"/>
  <c r="S13" i="3"/>
  <c r="X13" i="3"/>
  <c r="V13" i="3"/>
  <c r="T24" i="3" l="1"/>
  <c r="Z24" i="3" s="1"/>
  <c r="V24" i="3"/>
  <c r="T39" i="3"/>
  <c r="Z39" i="3" s="1"/>
  <c r="T12" i="3"/>
  <c r="Z12" i="3" s="1"/>
  <c r="T13" i="3"/>
  <c r="Z13" i="3" s="1"/>
  <c r="AA39" i="3"/>
  <c r="T23" i="3"/>
  <c r="Z23" i="3" s="1"/>
  <c r="AB23" i="3" s="1"/>
  <c r="AF23" i="3" s="1"/>
  <c r="AA7" i="3"/>
  <c r="W12" i="3"/>
  <c r="AA20" i="3"/>
  <c r="AB24" i="3"/>
  <c r="AF24" i="3" s="1"/>
  <c r="AA41" i="3"/>
  <c r="AB41" i="3" s="1"/>
  <c r="AF41" i="3" s="1"/>
  <c r="P42" i="3"/>
  <c r="V34" i="3"/>
  <c r="S34" i="3"/>
  <c r="X34" i="3"/>
  <c r="AB40" i="3"/>
  <c r="AF40" i="3" s="1"/>
  <c r="T20" i="3"/>
  <c r="AB26" i="3"/>
  <c r="AF26" i="3" s="1"/>
  <c r="Y42" i="3"/>
  <c r="R14" i="3"/>
  <c r="AB39" i="3"/>
  <c r="AF39" i="3" s="1"/>
  <c r="V22" i="3"/>
  <c r="V28" i="3" s="1"/>
  <c r="S22" i="3"/>
  <c r="T22" i="3" s="1"/>
  <c r="AA35" i="3"/>
  <c r="AB35" i="3" s="1"/>
  <c r="AF35" i="3" s="1"/>
  <c r="T27" i="3"/>
  <c r="Z27" i="3" s="1"/>
  <c r="AB27" i="3" s="1"/>
  <c r="AF27" i="3" s="1"/>
  <c r="AH9" i="3"/>
  <c r="AH14" i="3" s="1"/>
  <c r="U9" i="3"/>
  <c r="R9" i="3"/>
  <c r="E16" i="1" s="1"/>
  <c r="E15" i="1"/>
  <c r="O42" i="3"/>
  <c r="U34" i="3"/>
  <c r="R34" i="3"/>
  <c r="T34" i="3" s="1"/>
  <c r="AH34" i="3"/>
  <c r="W34" i="3"/>
  <c r="AB22" i="3"/>
  <c r="AF22" i="3" s="1"/>
  <c r="AA23" i="3"/>
  <c r="T6" i="3"/>
  <c r="R28" i="3"/>
  <c r="X6" i="3"/>
  <c r="AA11" i="3"/>
  <c r="W13" i="3"/>
  <c r="AA13" i="3" s="1"/>
  <c r="AB13" i="3" s="1"/>
  <c r="AF13" i="3" s="1"/>
  <c r="X21" i="3"/>
  <c r="AA21" i="3" s="1"/>
  <c r="AB21" i="3" s="1"/>
  <c r="AF21" i="3" s="1"/>
  <c r="S9" i="3"/>
  <c r="E17" i="1" s="1"/>
  <c r="V9" i="3"/>
  <c r="E18" i="1" s="1"/>
  <c r="W10" i="3"/>
  <c r="AA10" i="3" s="1"/>
  <c r="AB10" i="3" s="1"/>
  <c r="AF10" i="3" s="1"/>
  <c r="T7" i="3"/>
  <c r="Z7" i="3" s="1"/>
  <c r="AB7" i="3" s="1"/>
  <c r="AF7" i="3" s="1"/>
  <c r="W24" i="3"/>
  <c r="AA24" i="3" s="1"/>
  <c r="U38" i="3"/>
  <c r="R38" i="3"/>
  <c r="W38" i="3" s="1"/>
  <c r="AH38" i="3"/>
  <c r="V38" i="3"/>
  <c r="S38" i="3"/>
  <c r="X38" i="3" s="1"/>
  <c r="X20" i="3"/>
  <c r="S36" i="3"/>
  <c r="X36" i="3" s="1"/>
  <c r="V36" i="3"/>
  <c r="U36" i="3"/>
  <c r="AH36" i="3"/>
  <c r="R36" i="3"/>
  <c r="W36" i="3" s="1"/>
  <c r="AB11" i="3"/>
  <c r="AF11" i="3" s="1"/>
  <c r="W37" i="3"/>
  <c r="AA37" i="3" s="1"/>
  <c r="AB37" i="3" s="1"/>
  <c r="AF37" i="3" s="1"/>
  <c r="AA12" i="3"/>
  <c r="AB12" i="3" s="1"/>
  <c r="AF12" i="3" s="1"/>
  <c r="T25" i="3"/>
  <c r="Z25" i="3" s="1"/>
  <c r="AB25" i="3" s="1"/>
  <c r="AF25" i="3" s="1"/>
  <c r="U14" i="3"/>
  <c r="AH22" i="3"/>
  <c r="AH28" i="3" s="1"/>
  <c r="R22" i="3"/>
  <c r="W22" i="3" s="1"/>
  <c r="W28" i="3" s="1"/>
  <c r="U22" i="3"/>
  <c r="U28" i="3" s="1"/>
  <c r="U42" i="3" l="1"/>
  <c r="AH42" i="3"/>
  <c r="W9" i="3"/>
  <c r="W14" i="3" s="1"/>
  <c r="T9" i="3"/>
  <c r="Z9" i="3" s="1"/>
  <c r="Z34" i="3"/>
  <c r="AA38" i="3"/>
  <c r="X22" i="3"/>
  <c r="S14" i="3"/>
  <c r="E22" i="1" s="1"/>
  <c r="T38" i="3"/>
  <c r="Z38" i="3" s="1"/>
  <c r="AB38" i="3" s="1"/>
  <c r="AF38" i="3" s="1"/>
  <c r="W42" i="3"/>
  <c r="AA34" i="3"/>
  <c r="R42" i="3"/>
  <c r="T36" i="3"/>
  <c r="T42" i="3" s="1"/>
  <c r="T28" i="3"/>
  <c r="Z20" i="3"/>
  <c r="AB20" i="3" s="1"/>
  <c r="AF20" i="3" s="1"/>
  <c r="AF28" i="3" s="1"/>
  <c r="T14" i="3"/>
  <c r="E24" i="1" s="1"/>
  <c r="H24" i="1" s="1"/>
  <c r="Z6" i="3"/>
  <c r="S28" i="3"/>
  <c r="E41" i="1" s="1"/>
  <c r="H41" i="1" s="1"/>
  <c r="V14" i="3"/>
  <c r="E23" i="1" s="1"/>
  <c r="H23" i="1" s="1"/>
  <c r="X42" i="3"/>
  <c r="S42" i="3"/>
  <c r="X28" i="3"/>
  <c r="E42" i="1" s="1"/>
  <c r="H42" i="1" s="1"/>
  <c r="X9" i="3"/>
  <c r="E19" i="1" s="1"/>
  <c r="AA6" i="3"/>
  <c r="V42" i="3"/>
  <c r="E26" i="1" l="1"/>
  <c r="H26" i="1" s="1"/>
  <c r="E44" i="1"/>
  <c r="H44" i="1" s="1"/>
  <c r="H22" i="1"/>
  <c r="E28" i="1"/>
  <c r="E38" i="1"/>
  <c r="H38" i="1" s="1"/>
  <c r="X14" i="3"/>
  <c r="E30" i="1" s="1"/>
  <c r="H30" i="1" s="1"/>
  <c r="AA9" i="3"/>
  <c r="AB9" i="3" s="1"/>
  <c r="AB34" i="3"/>
  <c r="AF34" i="3" s="1"/>
  <c r="AF42" i="3" s="1"/>
  <c r="AB6" i="3"/>
  <c r="AF6" i="3" s="1"/>
  <c r="E20" i="1" l="1"/>
  <c r="AF9" i="3"/>
  <c r="AF14" i="3" s="1"/>
  <c r="E25" i="1" s="1"/>
  <c r="H25" i="1" s="1"/>
  <c r="H46" i="1" s="1"/>
  <c r="I46" i="1" s="1"/>
  <c r="H28" i="1"/>
  <c r="E29" i="1"/>
  <c r="H29" i="1" s="1"/>
</calcChain>
</file>

<file path=xl/sharedStrings.xml><?xml version="1.0" encoding="utf-8"?>
<sst xmlns="http://schemas.openxmlformats.org/spreadsheetml/2006/main" count="463" uniqueCount="271">
  <si>
    <t>Worked example: ad hoc Table 2 rebuild v0.3 (REBUILD, NOPHASE, KappaMode=SCALE, 2030)</t>
  </si>
  <si>
    <t>One example per calculation level. Value = live formula; 'v0.3 value' = AdHocCalculations_Rebuild_v0.3 result (check). Last column: where the main version (CPAT_Industry_Kernel_Egypt_v0.15) differs; blank = same.</t>
  </si>
  <si>
    <t>Level</t>
  </si>
  <si>
    <t>Step</t>
  </si>
  <si>
    <t>Symbol</t>
  </si>
  <si>
    <t>Formula</t>
  </si>
  <si>
    <t>Value</t>
  </si>
  <si>
    <t>Unit</t>
  </si>
  <si>
    <t>v0.3 value</t>
  </si>
  <si>
    <t>Diff</t>
  </si>
  <si>
    <t>Main version (kernel v0.15)</t>
  </si>
  <si>
    <t>0 Parameters</t>
  </si>
  <si>
    <t>Intensity share of fuel response</t>
  </si>
  <si>
    <t>s_int</t>
  </si>
  <si>
    <t>eps_F(1+eps_U)/(eps_U+eps_F(1+eps_U))</t>
  </si>
  <si>
    <t>Not used: kernel keeps fuel intensity fixed</t>
  </si>
  <si>
    <t>Fuel-intensity semi-elasticity (EG1)</t>
  </si>
  <si>
    <t>b_f</t>
  </si>
  <si>
    <t>s_int*ln(IND1/IND0)/tau</t>
  </si>
  <si>
    <t>per $/t</t>
  </si>
  <si>
    <t>Not used (x_f = 1)</t>
  </si>
  <si>
    <t>Process semi-elasticity, clinker</t>
  </si>
  <si>
    <t>beta</t>
  </si>
  <si>
    <t>-ln(1-ER100)/P*, P* = 122</t>
  </si>
  <si>
    <t>P* = 100 (USD2019, not deflated): beta = 0.00408</t>
  </si>
  <si>
    <t>1 CPAT inputs (EG1)</t>
  </si>
  <si>
    <t>Change in total GHG</t>
  </si>
  <si>
    <t>dGHG</t>
  </si>
  <si>
    <t>GHG1 - GHG0</t>
  </si>
  <si>
    <t>Mt</t>
  </si>
  <si>
    <t>Change in IPPU</t>
  </si>
  <si>
    <t>dIPPU</t>
  </si>
  <si>
    <t>IPPU1 - IPPU0</t>
  </si>
  <si>
    <t>Replaced by kernel's own IPPU delta</t>
  </si>
  <si>
    <t>Change in industry energy CO2</t>
  </si>
  <si>
    <t>dInd</t>
  </si>
  <si>
    <t>IND1 - IND0</t>
  </si>
  <si>
    <t>Replaced by kernel's own industry delta</t>
  </si>
  <si>
    <t>2 Product (clinker, 1A)</t>
  </si>
  <si>
    <t>Baseline output 2030</t>
  </si>
  <si>
    <t>Qb</t>
  </si>
  <si>
    <t>Q0(1+g)^(Yr-2024)</t>
  </si>
  <si>
    <t>kt</t>
  </si>
  <si>
    <t>Carbon cost per t (fuel + process)</t>
  </si>
  <si>
    <t>k_f + k_p</t>
  </si>
  <si>
    <t>tau*F + tau_p*G</t>
  </si>
  <si>
    <t>$/t</t>
  </si>
  <si>
    <t>Relative price change</t>
  </si>
  <si>
    <t>dp</t>
  </si>
  <si>
    <t>(k_f+k_p-m)/P</t>
  </si>
  <si>
    <t>Output after price response</t>
  </si>
  <si>
    <t>Q</t>
  </si>
  <si>
    <t>Qb(1+dp)^eps_Q</t>
  </si>
  <si>
    <t>Fuel / process emissions at base intensity</t>
  </si>
  <si>
    <t>E_f + E_p</t>
  </si>
  <si>
    <t>Q(F+G)/1000</t>
  </si>
  <si>
    <t>Fuel-intensity response</t>
  </si>
  <si>
    <t>ER_f</t>
  </si>
  <si>
    <t>E_f(exp(b_f(tau+sigma))-1)</t>
  </si>
  <si>
    <t>0 (fuel intensity fixed)</t>
  </si>
  <si>
    <t>Process-intensity response</t>
  </si>
  <si>
    <t>ER_p</t>
  </si>
  <si>
    <t>-E_p(1-exp(-beta(tau_p+sigma)))</t>
  </si>
  <si>
    <t>Same form, larger beta (P* = 100)</t>
  </si>
  <si>
    <t>Output-channel process reduction</t>
  </si>
  <si>
    <t>emrq_proc</t>
  </si>
  <si>
    <t>E_p(1-(1+dp)^-eps_Q)</t>
  </si>
  <si>
    <t>Domestic carbon revenue</t>
  </si>
  <si>
    <t>rev</t>
  </si>
  <si>
    <t>(E_f+ER_f)tau + (E_p+ER_p)tau_p</t>
  </si>
  <si>
    <t>$m</t>
  </si>
  <si>
    <t>CBAM obligation per tonne</t>
  </si>
  <si>
    <t>obl</t>
  </si>
  <si>
    <t>max(0, CBF*P_EU*EI - S*max(0,d))</t>
  </si>
  <si>
    <t>Headline uses FULL (CBF = 0.485 in 2030); NOPHASE shown in brackets</t>
  </si>
  <si>
    <t>3 Block (8 products, 1A)</t>
  </si>
  <si>
    <t>Block baseline emissions</t>
  </si>
  <si>
    <t>E_base</t>
  </si>
  <si>
    <t>sum Qb(F+G)/1000</t>
  </si>
  <si>
    <t>Sum process-intensity response</t>
  </si>
  <si>
    <t>sum ER_p</t>
  </si>
  <si>
    <t>Sum output-channel process reduction</t>
  </si>
  <si>
    <t>sum emrq_proc</t>
  </si>
  <si>
    <t>[N] CBAM intensity change</t>
  </si>
  <si>
    <t>cbintch</t>
  </si>
  <si>
    <t>sum E_post / sum(E_f+E_p) - 1</t>
  </si>
  <si>
    <t>-4.4% (no fuel-intensity channel)</t>
  </si>
  <si>
    <t>[O] CBAM obligation per unit change</t>
  </si>
  <si>
    <t>cbobchu</t>
  </si>
  <si>
    <t>sum X*obl / sum X*CBF*P_EU(F+G) - 1</t>
  </si>
  <si>
    <t>-43.3% FULL (-22.8% NOPHASE)</t>
  </si>
  <si>
    <t>[T] Block emissions change</t>
  </si>
  <si>
    <t>emrt/E_base</t>
  </si>
  <si>
    <t>(sum emrq + sum ER_f + sum ER_p)/E_base</t>
  </si>
  <si>
    <t>4 National (1A)</t>
  </si>
  <si>
    <t>[J] Coverage</t>
  </si>
  <si>
    <t>J</t>
  </si>
  <si>
    <t>(ENR0 + flag*E_p base)/GHG0</t>
  </si>
  <si>
    <t>[K] Total reduction</t>
  </si>
  <si>
    <t>K</t>
  </si>
  <si>
    <t>dGHG - dIPPU + IPPU_other(0) + sum ER_p + sum emrq_proc</t>
  </si>
  <si>
    <t>Composed as dGHG_CPAT + (dIPPU_kernel - dIPPU_CPAT) + (dInd_kernel - dInd_CPAT): -29.8</t>
  </si>
  <si>
    <t>[L] Reduction share</t>
  </si>
  <si>
    <t>L</t>
  </si>
  <si>
    <t>K / GHG0</t>
  </si>
  <si>
    <t>[P] Net revenue</t>
  </si>
  <si>
    <t>P</t>
  </si>
  <si>
    <t>CPAT fuel receipts + sum rev_p/1000 - rebates</t>
  </si>
  <si>
    <t>$bn</t>
  </si>
  <si>
    <t>6.87</t>
  </si>
  <si>
    <t>[Q] Deaths avoided</t>
  </si>
  <si>
    <t>CPAT deaths (own scenario)</t>
  </si>
  <si>
    <t>#</t>
  </si>
  <si>
    <t>1,441</t>
  </si>
  <si>
    <t>[AR] Delta net revenue</t>
  </si>
  <si>
    <t>AR</t>
  </si>
  <si>
    <t>CPAT dRev - (P_gross - P)</t>
  </si>
  <si>
    <t>5 Variant 3A (EG3)</t>
  </si>
  <si>
    <t>Priced share of industry energy CO2</t>
  </si>
  <si>
    <t>kappa</t>
  </si>
  <si>
    <t>min(1, effcpt/cpt * ENR0/IND0)</t>
  </si>
  <si>
    <t>No kappa/SCALE: kernel prices only its four sectors (coverage 8.6%)</t>
  </si>
  <si>
    <t>SCALE: adjusted industry delta</t>
  </si>
  <si>
    <t>dInd_adj</t>
  </si>
  <si>
    <t>dInd / kappa</t>
  </si>
  <si>
    <t>n/a</t>
  </si>
  <si>
    <t>SCALE: adjusted IPPU delta</t>
  </si>
  <si>
    <t>dIPPU_adj</t>
  </si>
  <si>
    <t>dIPPU / kappa</t>
  </si>
  <si>
    <t>SCALE: adjusted GHG delta</t>
  </si>
  <si>
    <t>dGHG_adj</t>
  </si>
  <si>
    <t>dGHG + (1/kappa-1)(dInd+dIPPU)</t>
  </si>
  <si>
    <t>[J] Coverage (kappa = 1 under SCALE)</t>
  </si>
  <si>
    <t>(IND0 + E_p base)/GHG0</t>
  </si>
  <si>
    <t>8.6%</t>
  </si>
  <si>
    <t>dGHG_adj - dIPPU_adj + sum ER_p + sum emrq_proc (1A block)</t>
  </si>
  <si>
    <t>-11.8</t>
  </si>
  <si>
    <t>CPAT deaths * dENR_adj/dENR</t>
  </si>
  <si>
    <t>278</t>
  </si>
  <si>
    <t>5 Variant 3B (OBR)</t>
  </si>
  <si>
    <t>OBR correction</t>
  </si>
  <si>
    <t>D_obr</t>
  </si>
  <si>
    <t>-(1-s_int)*w*dInd_adj, w = E_f base/IND0</t>
  </si>
  <si>
    <t>Rebate capped by sector shares; no D_obr term</t>
  </si>
  <si>
    <t>dGHG_adj - dIPPU_adj + sum ER_p + sum emrq_proc + D_obr</t>
  </si>
  <si>
    <t>-8.6</t>
  </si>
  <si>
    <t>REVCTAX/kappa + sum rev_p/1000 - rebates</t>
  </si>
  <si>
    <t>-0.02</t>
  </si>
  <si>
    <t>5 Variant 3C (fund)</t>
  </si>
  <si>
    <t>Fund fuel abatement outside block</t>
  </si>
  <si>
    <t>F_fund</t>
  </si>
  <si>
    <t>IND1_adj(exp(b_f*sigma)-1)</t>
  </si>
  <si>
    <t>Fund solved as shadow price (~150 $/t) spending whole fund on block</t>
  </si>
  <si>
    <t>dGHG_adj - dIPPU_adj + sum ER_p + sum emrq_proc + F_fund</t>
  </si>
  <si>
    <t>-23.9</t>
  </si>
  <si>
    <t>Max |Diff| (check values rounded to 4 dp)</t>
  </si>
  <si>
    <t>Inputs (copied from AdHoc rebuild v0.3 Inputs and CPAT Outputs, 2030)</t>
  </si>
  <si>
    <t>A. Switches and parameters</t>
  </si>
  <si>
    <t>Yr</t>
  </si>
  <si>
    <t>Reporting year</t>
  </si>
  <si>
    <t>BaseYr</t>
  </si>
  <si>
    <t>Base year of product activity Q0</t>
  </si>
  <si>
    <t>Tau</t>
  </si>
  <si>
    <t>Carbon price tau (CPAT cptraj.2, EG1 and EG3, 2030)</t>
  </si>
  <si>
    <t>SigmaEff</t>
  </si>
  <si>
    <t>Fund shadow price sigma</t>
  </si>
  <si>
    <t>EpsU</t>
  </si>
  <si>
    <t>eps_U</t>
  </si>
  <si>
    <t>EpsF</t>
  </si>
  <si>
    <t>eps_F</t>
  </si>
  <si>
    <t>EpsQ</t>
  </si>
  <si>
    <t>Output price elasticity eps_Q</t>
  </si>
  <si>
    <t>PEU</t>
  </si>
  <si>
    <t>EU ETS price P_EU</t>
  </si>
  <si>
    <t>PStar</t>
  </si>
  <si>
    <t>IPCC anchor price P* (USD2019 100 deflated to USD2024)</t>
  </si>
  <si>
    <t>CBF</t>
  </si>
  <si>
    <t>CBAM phase-in factor (NOPHASE convention = 1)</t>
  </si>
  <si>
    <t>Ssel</t>
  </si>
  <si>
    <t>Deduction factor S (NOPHASE = 1)</t>
  </si>
  <si>
    <t>B. CPAT values, 2030</t>
  </si>
  <si>
    <t>Code</t>
  </si>
  <si>
    <t>CPAT code</t>
  </si>
  <si>
    <t>Label</t>
  </si>
  <si>
    <t>EG1</t>
  </si>
  <si>
    <t>EG3</t>
  </si>
  <si>
    <t>GHG0</t>
  </si>
  <si>
    <t>egy.mit.ghg.tot.inc.1</t>
  </si>
  <si>
    <t>Total GHG incl. LULUCF, baseline</t>
  </si>
  <si>
    <t>GHG1</t>
  </si>
  <si>
    <t>egy.mit.ghg.tot.inc.2</t>
  </si>
  <si>
    <t>Total GHG, policy</t>
  </si>
  <si>
    <t>IPPU0</t>
  </si>
  <si>
    <t>egy.mit.ghg.ipr.tot.1</t>
  </si>
  <si>
    <t>IPPU GHG, baseline</t>
  </si>
  <si>
    <t>IPPU1</t>
  </si>
  <si>
    <t>egy.mit.ghg.ipr.tot.2</t>
  </si>
  <si>
    <t>IPPU GHG, policy</t>
  </si>
  <si>
    <t>ENR0</t>
  </si>
  <si>
    <t>egy.mit.co2.enr.tot.1</t>
  </si>
  <si>
    <t>Energy CO2, baseline</t>
  </si>
  <si>
    <t>ENR1</t>
  </si>
  <si>
    <t>egy.mit.co2.enr.tot.2</t>
  </si>
  <si>
    <t>Energy CO2, policy</t>
  </si>
  <si>
    <t>IND0</t>
  </si>
  <si>
    <t>egy.mit.co2.ind.1</t>
  </si>
  <si>
    <t>Industry energy CO2, baseline</t>
  </si>
  <si>
    <t>IND1</t>
  </si>
  <si>
    <t>egy.mit.co2.ind.2</t>
  </si>
  <si>
    <t>Industry energy CO2, policy</t>
  </si>
  <si>
    <t>CPT</t>
  </si>
  <si>
    <t>egy.mit.cptraj.2</t>
  </si>
  <si>
    <t>Carbon price trajectory</t>
  </si>
  <si>
    <t>EFFCPT</t>
  </si>
  <si>
    <t>egy.mit.eff.cptraj.2</t>
  </si>
  <si>
    <t>Effective (coverage-weighted) carbon price</t>
  </si>
  <si>
    <t>REVCTAX</t>
  </si>
  <si>
    <t>(sum)</t>
  </si>
  <si>
    <t>Carbon-tax receipts, six fuels (coa+die+gso+lpk+nga+oil .usd.2)</t>
  </si>
  <si>
    <t>DEATHS</t>
  </si>
  <si>
    <t>Deaths avoided (ada.2464 + ada.65 + ada.u24)</t>
  </si>
  <si>
    <t>MORT</t>
  </si>
  <si>
    <t>egy.air.mort</t>
  </si>
  <si>
    <t>Baseline deaths</t>
  </si>
  <si>
    <t>DREV</t>
  </si>
  <si>
    <t>Delta net new revenue (rev.new.usd.2 - .1)</t>
  </si>
  <si>
    <t>C. CBAM products (Q0 kt 2024, g, EU exports X kt, price P $/t, F = fc+fp, G = np+no tCO2e/t, ER at $100)</t>
  </si>
  <si>
    <t>Product</t>
  </si>
  <si>
    <t>Q0</t>
  </si>
  <si>
    <t>g</t>
  </si>
  <si>
    <t>X</t>
  </si>
  <si>
    <t>F</t>
  </si>
  <si>
    <t>G</t>
  </si>
  <si>
    <t>ER100</t>
  </si>
  <si>
    <t>DRI-EAF steel</t>
  </si>
  <si>
    <t>Scrap-EAF steel</t>
  </si>
  <si>
    <t>BF-BOF steel</t>
  </si>
  <si>
    <t>Clinker</t>
  </si>
  <si>
    <t>Ammonia</t>
  </si>
  <si>
    <t>Urea</t>
  </si>
  <si>
    <t>Ammonium nitrate</t>
  </si>
  <si>
    <t>Aluminium</t>
  </si>
  <si>
    <t>CBAM block, all eight products, per bundle variant (Yr = 2030, NOPHASE)</t>
  </si>
  <si>
    <t>Bundle 1A (flag=1, theta=0, phi=0); 3A uses the 1A block</t>
  </si>
  <si>
    <t>flag</t>
  </si>
  <si>
    <t>theta</t>
  </si>
  <si>
    <t>phi</t>
  </si>
  <si>
    <t>tau_p</t>
  </si>
  <si>
    <t>OBR rate</t>
  </si>
  <si>
    <t>sigma_eff</t>
  </si>
  <si>
    <t>k_f</t>
  </si>
  <si>
    <t>k_p</t>
  </si>
  <si>
    <t>m (rebate/t)</t>
  </si>
  <si>
    <t>E_f</t>
  </si>
  <si>
    <t>E_p</t>
  </si>
  <si>
    <t>x_f</t>
  </si>
  <si>
    <t>E_post</t>
  </si>
  <si>
    <t>emrq</t>
  </si>
  <si>
    <t>rev_f $m</t>
  </si>
  <si>
    <t>rev_p $m</t>
  </si>
  <si>
    <t>rebate $m</t>
  </si>
  <si>
    <t>EI</t>
  </si>
  <si>
    <t>d</t>
  </si>
  <si>
    <t>E_f base</t>
  </si>
  <si>
    <t>E_p base</t>
  </si>
  <si>
    <t>X*obl</t>
  </si>
  <si>
    <t>X*PEU*(F+G)</t>
  </si>
  <si>
    <t>covered</t>
  </si>
  <si>
    <t>Total</t>
  </si>
  <si>
    <t>Bundle 3B (flag=1, theta=1, phi=0); 3A uses the 1A block</t>
  </si>
  <si>
    <t>Bundle 3C (flag=1, theta=0, phi=1); 3A uses the 1A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</si>
</sst>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EBF1DE"/>
      </patternFill>
    </fill>
    <fill>
      <patternFill patternType="solid">
        <fgColor rgb="FF92D050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4" borderId="0" xfId="0" applyFont="1" applyFill="1"/>
    <xf numFmtId="164" fontId="0" fillId="0" borderId="0" xfId="0" applyNumberFormat="1"/>
    <xf numFmtId="0" fontId="0" fillId="5" borderId="0" xfId="0" applyFill="1"/>
    <xf numFmtId="0" fontId="2" fillId="0" borderId="0" xfId="0" applyFont="1"/>
    <xf numFmtId="0" fontId="0" fillId="3" borderId="0" xfId="0" applyFill="1"/>
    <xf numFmtId="0" fontId="0" fillId="4" borderId="0" xfId="0" applyFill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24" customWidth="1"/>
    <col min="2" max="2" width="40" customWidth="1"/>
    <col min="3" max="3" width="14" customWidth="1"/>
    <col min="4" max="4" width="48" customWidth="1"/>
    <col min="5" max="5" width="12" customWidth="1"/>
    <col min="6" max="6" width="8" customWidth="1"/>
    <col min="7" max="7" width="12" customWidth="1"/>
    <col min="8" max="8" width="10" customWidth="1"/>
    <col min="9" max="9" width="60" customWidth="1"/>
  </cols>
  <sheetData>
    <row r="1" spans="1:9" ht="18" x14ac:dyDescent="0.55000000000000004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30" customHeight="1" x14ac:dyDescent="0.45">
      <c r="A2" s="9" t="s">
        <v>1</v>
      </c>
      <c r="B2" s="10"/>
      <c r="C2" s="10"/>
      <c r="D2" s="10"/>
      <c r="E2" s="10"/>
      <c r="F2" s="10"/>
      <c r="G2" s="10"/>
      <c r="H2" s="10"/>
      <c r="I2" s="10"/>
    </row>
    <row r="4" spans="1:9" x14ac:dyDescent="0.4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45">
      <c r="A5" t="s">
        <v>11</v>
      </c>
      <c r="B5" t="s">
        <v>12</v>
      </c>
      <c r="C5" t="s">
        <v>13</v>
      </c>
      <c r="D5" t="s">
        <v>14</v>
      </c>
      <c r="E5" s="4">
        <f>EpsF*(1+EpsU)/(EpsU+EpsF*(1+EpsU))</f>
        <v>0.33333333333333331</v>
      </c>
      <c r="G5" s="4">
        <v>0.33333333333333331</v>
      </c>
      <c r="H5" s="4">
        <f t="shared" ref="H5:H10" si="0">E5-G5</f>
        <v>0</v>
      </c>
      <c r="I5" s="5" t="s">
        <v>15</v>
      </c>
    </row>
    <row r="6" spans="1:9" x14ac:dyDescent="0.45">
      <c r="A6" t="s">
        <v>11</v>
      </c>
      <c r="B6" t="s">
        <v>16</v>
      </c>
      <c r="C6" t="s">
        <v>17</v>
      </c>
      <c r="D6" t="s">
        <v>18</v>
      </c>
      <c r="E6" s="4">
        <f>E5*LN(IND1_EG1/IND0_EG1)/Tau</f>
        <v>-2.4955979362141917E-3</v>
      </c>
      <c r="F6" t="s">
        <v>19</v>
      </c>
      <c r="G6" s="4">
        <v>-2.4956000000000002E-3</v>
      </c>
      <c r="H6" s="4">
        <f t="shared" si="0"/>
        <v>2.0637858084808502E-9</v>
      </c>
      <c r="I6" s="5" t="s">
        <v>20</v>
      </c>
    </row>
    <row r="7" spans="1:9" x14ac:dyDescent="0.45">
      <c r="A7" t="s">
        <v>11</v>
      </c>
      <c r="B7" t="s">
        <v>21</v>
      </c>
      <c r="C7" t="s">
        <v>22</v>
      </c>
      <c r="D7" t="s">
        <v>23</v>
      </c>
      <c r="E7" s="4">
        <f>-LN(1-INDEX(PT_ER,4))/PStar</f>
        <v>3.3464675036139224E-3</v>
      </c>
      <c r="F7" t="s">
        <v>19</v>
      </c>
      <c r="G7" s="4">
        <v>3.3465000000000001E-3</v>
      </c>
      <c r="H7" s="4">
        <f t="shared" si="0"/>
        <v>-3.2496386077711381E-8</v>
      </c>
      <c r="I7" s="5" t="s">
        <v>24</v>
      </c>
    </row>
    <row r="8" spans="1:9" x14ac:dyDescent="0.45">
      <c r="A8" t="s">
        <v>25</v>
      </c>
      <c r="B8" t="s">
        <v>26</v>
      </c>
      <c r="C8" t="s">
        <v>27</v>
      </c>
      <c r="D8" t="s">
        <v>28</v>
      </c>
      <c r="E8" s="4">
        <f>GHG1_EG1-GHG0_EG1</f>
        <v>-38.876999999999953</v>
      </c>
      <c r="F8" t="s">
        <v>29</v>
      </c>
      <c r="G8" s="4">
        <v>-38.877000000000002</v>
      </c>
      <c r="H8" s="4">
        <f t="shared" si="0"/>
        <v>0</v>
      </c>
    </row>
    <row r="9" spans="1:9" x14ac:dyDescent="0.45">
      <c r="A9" t="s">
        <v>25</v>
      </c>
      <c r="B9" t="s">
        <v>30</v>
      </c>
      <c r="C9" t="s">
        <v>31</v>
      </c>
      <c r="D9" t="s">
        <v>32</v>
      </c>
      <c r="E9" s="4">
        <f>IPPU1_EG1-IPPU0_EG1</f>
        <v>-11.954999999999998</v>
      </c>
      <c r="F9" t="s">
        <v>29</v>
      </c>
      <c r="G9" s="4">
        <v>-11.955</v>
      </c>
      <c r="H9" s="4">
        <f t="shared" si="0"/>
        <v>0</v>
      </c>
      <c r="I9" s="5" t="s">
        <v>33</v>
      </c>
    </row>
    <row r="10" spans="1:9" x14ac:dyDescent="0.45">
      <c r="A10" t="s">
        <v>25</v>
      </c>
      <c r="B10" t="s">
        <v>34</v>
      </c>
      <c r="C10" t="s">
        <v>35</v>
      </c>
      <c r="D10" t="s">
        <v>36</v>
      </c>
      <c r="E10" s="4">
        <f>IND1_EG1-IND0_EG1</f>
        <v>-12.373000000000005</v>
      </c>
      <c r="F10" t="s">
        <v>29</v>
      </c>
      <c r="G10" s="4">
        <v>-12.372999999999999</v>
      </c>
      <c r="H10" s="4">
        <f t="shared" si="0"/>
        <v>0</v>
      </c>
      <c r="I10" s="5" t="s">
        <v>37</v>
      </c>
    </row>
    <row r="11" spans="1:9" x14ac:dyDescent="0.45">
      <c r="A11" t="s">
        <v>38</v>
      </c>
      <c r="B11" t="s">
        <v>39</v>
      </c>
      <c r="C11" t="s">
        <v>40</v>
      </c>
      <c r="D11" t="s">
        <v>41</v>
      </c>
      <c r="E11" s="4">
        <f>Block!I9</f>
        <v>60753.588245941261</v>
      </c>
      <c r="F11" t="s">
        <v>42</v>
      </c>
    </row>
    <row r="12" spans="1:9" x14ac:dyDescent="0.45">
      <c r="A12" t="s">
        <v>38</v>
      </c>
      <c r="B12" t="s">
        <v>43</v>
      </c>
      <c r="C12" t="s">
        <v>44</v>
      </c>
      <c r="D12" t="s">
        <v>45</v>
      </c>
      <c r="E12" s="4">
        <f>Block!J9+Block!K9</f>
        <v>17.011893200000003</v>
      </c>
      <c r="F12" t="s">
        <v>46</v>
      </c>
    </row>
    <row r="13" spans="1:9" x14ac:dyDescent="0.45">
      <c r="A13" t="s">
        <v>38</v>
      </c>
      <c r="B13" t="s">
        <v>47</v>
      </c>
      <c r="C13" t="s">
        <v>48</v>
      </c>
      <c r="D13" t="s">
        <v>49</v>
      </c>
      <c r="E13" s="4">
        <f>Block!M9</f>
        <v>0.15465357454545456</v>
      </c>
    </row>
    <row r="14" spans="1:9" x14ac:dyDescent="0.45">
      <c r="A14" t="s">
        <v>38</v>
      </c>
      <c r="B14" t="s">
        <v>50</v>
      </c>
      <c r="C14" t="s">
        <v>51</v>
      </c>
      <c r="D14" t="s">
        <v>52</v>
      </c>
      <c r="E14" s="4">
        <f>Block!N9</f>
        <v>56538.734209364455</v>
      </c>
      <c r="F14" t="s">
        <v>42</v>
      </c>
    </row>
    <row r="15" spans="1:9" x14ac:dyDescent="0.45">
      <c r="A15" t="s">
        <v>38</v>
      </c>
      <c r="B15" t="s">
        <v>53</v>
      </c>
      <c r="C15" t="s">
        <v>54</v>
      </c>
      <c r="D15" t="s">
        <v>55</v>
      </c>
      <c r="E15" s="4">
        <f>Block!O9+Block!P9</f>
        <v>48.09154540164473</v>
      </c>
      <c r="F15" t="s">
        <v>29</v>
      </c>
    </row>
    <row r="16" spans="1:9" x14ac:dyDescent="0.45">
      <c r="A16" t="s">
        <v>38</v>
      </c>
      <c r="B16" t="s">
        <v>56</v>
      </c>
      <c r="C16" t="s">
        <v>57</v>
      </c>
      <c r="D16" t="s">
        <v>58</v>
      </c>
      <c r="E16" s="4">
        <f>Block!R9</f>
        <v>-0.86315732016505176</v>
      </c>
      <c r="F16" t="s">
        <v>29</v>
      </c>
      <c r="I16" s="5" t="s">
        <v>59</v>
      </c>
    </row>
    <row r="17" spans="1:9" x14ac:dyDescent="0.45">
      <c r="A17" t="s">
        <v>38</v>
      </c>
      <c r="B17" t="s">
        <v>60</v>
      </c>
      <c r="C17" t="s">
        <v>61</v>
      </c>
      <c r="D17" t="s">
        <v>62</v>
      </c>
      <c r="E17" s="4">
        <f>Block!S9</f>
        <v>-1.9656476164958885</v>
      </c>
      <c r="F17" t="s">
        <v>29</v>
      </c>
      <c r="I17" s="5" t="s">
        <v>63</v>
      </c>
    </row>
    <row r="18" spans="1:9" x14ac:dyDescent="0.45">
      <c r="A18" t="s">
        <v>38</v>
      </c>
      <c r="B18" t="s">
        <v>64</v>
      </c>
      <c r="C18" t="s">
        <v>65</v>
      </c>
      <c r="D18" t="s">
        <v>66</v>
      </c>
      <c r="E18" s="4">
        <f>Block!V9</f>
        <v>-2.2634868782233428</v>
      </c>
      <c r="F18" t="s">
        <v>29</v>
      </c>
    </row>
    <row r="19" spans="1:9" x14ac:dyDescent="0.45">
      <c r="A19" t="s">
        <v>38</v>
      </c>
      <c r="B19" t="s">
        <v>67</v>
      </c>
      <c r="C19" t="s">
        <v>68</v>
      </c>
      <c r="D19" t="s">
        <v>69</v>
      </c>
      <c r="E19" s="4">
        <f>Block!W9+Block!X9</f>
        <v>905.2548092996758</v>
      </c>
      <c r="F19" t="s">
        <v>70</v>
      </c>
    </row>
    <row r="20" spans="1:9" x14ac:dyDescent="0.45">
      <c r="A20" t="s">
        <v>38</v>
      </c>
      <c r="B20" t="s">
        <v>71</v>
      </c>
      <c r="C20" t="s">
        <v>72</v>
      </c>
      <c r="D20" t="s">
        <v>73</v>
      </c>
      <c r="E20" s="4">
        <f>Block!AB9</f>
        <v>64.044929336231192</v>
      </c>
      <c r="F20" t="s">
        <v>46</v>
      </c>
      <c r="I20" s="5" t="s">
        <v>74</v>
      </c>
    </row>
    <row r="21" spans="1:9" x14ac:dyDescent="0.45">
      <c r="A21" t="s">
        <v>75</v>
      </c>
      <c r="B21" t="s">
        <v>76</v>
      </c>
      <c r="C21" t="s">
        <v>77</v>
      </c>
      <c r="D21" t="s">
        <v>78</v>
      </c>
      <c r="E21" s="4">
        <f>Block!AC14</f>
        <v>62.423609890817644</v>
      </c>
      <c r="F21" t="s">
        <v>29</v>
      </c>
      <c r="G21" s="4">
        <v>62.4236</v>
      </c>
      <c r="H21" s="4">
        <f t="shared" ref="H21:H33" si="1">E21-G21</f>
        <v>9.8908176440204443E-6</v>
      </c>
    </row>
    <row r="22" spans="1:9" x14ac:dyDescent="0.45">
      <c r="A22" t="s">
        <v>75</v>
      </c>
      <c r="B22" t="s">
        <v>79</v>
      </c>
      <c r="C22" t="s">
        <v>80</v>
      </c>
      <c r="D22" t="s">
        <v>80</v>
      </c>
      <c r="E22" s="4">
        <f>Block!S14</f>
        <v>-2.1253755931784126</v>
      </c>
      <c r="F22" t="s">
        <v>29</v>
      </c>
      <c r="G22" s="4">
        <v>-2.1254</v>
      </c>
      <c r="H22" s="4">
        <f t="shared" si="1"/>
        <v>2.4406821587330541E-5</v>
      </c>
    </row>
    <row r="23" spans="1:9" x14ac:dyDescent="0.45">
      <c r="A23" t="s">
        <v>75</v>
      </c>
      <c r="B23" t="s">
        <v>81</v>
      </c>
      <c r="C23" t="s">
        <v>82</v>
      </c>
      <c r="D23" t="s">
        <v>82</v>
      </c>
      <c r="E23" s="4">
        <f>Block!V14</f>
        <v>-2.2984640956229905</v>
      </c>
      <c r="F23" t="s">
        <v>29</v>
      </c>
      <c r="G23" s="4">
        <v>-2.2985000000000002</v>
      </c>
      <c r="H23" s="4">
        <f t="shared" si="1"/>
        <v>3.5904377009732258E-5</v>
      </c>
    </row>
    <row r="24" spans="1:9" x14ac:dyDescent="0.45">
      <c r="A24" t="s">
        <v>75</v>
      </c>
      <c r="B24" t="s">
        <v>83</v>
      </c>
      <c r="C24" t="s">
        <v>84</v>
      </c>
      <c r="D24" t="s">
        <v>85</v>
      </c>
      <c r="E24" s="4">
        <f>Block!T14/(Block!O14+Block!P14)-1</f>
        <v>-5.7934298763893111E-2</v>
      </c>
      <c r="G24" s="4">
        <v>-5.79E-2</v>
      </c>
      <c r="H24" s="4">
        <f t="shared" si="1"/>
        <v>-3.429876389311054E-5</v>
      </c>
      <c r="I24" s="5" t="s">
        <v>86</v>
      </c>
    </row>
    <row r="25" spans="1:9" x14ac:dyDescent="0.45">
      <c r="A25" t="s">
        <v>75</v>
      </c>
      <c r="B25" t="s">
        <v>87</v>
      </c>
      <c r="C25" t="s">
        <v>88</v>
      </c>
      <c r="D25" t="s">
        <v>89</v>
      </c>
      <c r="E25" s="4">
        <f>Block!AF14/Block!AG14-1</f>
        <v>-0.24338141474891506</v>
      </c>
      <c r="G25" s="4">
        <v>-0.24340000000000001</v>
      </c>
      <c r="H25" s="4">
        <f t="shared" si="1"/>
        <v>1.858525108494602E-5</v>
      </c>
      <c r="I25" s="5" t="s">
        <v>90</v>
      </c>
    </row>
    <row r="26" spans="1:9" x14ac:dyDescent="0.45">
      <c r="A26" t="s">
        <v>75</v>
      </c>
      <c r="B26" t="s">
        <v>91</v>
      </c>
      <c r="C26" t="s">
        <v>92</v>
      </c>
      <c r="D26" t="s">
        <v>93</v>
      </c>
      <c r="E26" s="4">
        <f>(Block!U14+Block!R14+Block!S14)/Block!AC14</f>
        <v>-0.11558775884077779</v>
      </c>
      <c r="G26" s="4">
        <v>-0.11559999999999999</v>
      </c>
      <c r="H26" s="4">
        <f t="shared" si="1"/>
        <v>1.2241159222201037E-5</v>
      </c>
    </row>
    <row r="27" spans="1:9" x14ac:dyDescent="0.45">
      <c r="A27" t="s">
        <v>94</v>
      </c>
      <c r="B27" t="s">
        <v>95</v>
      </c>
      <c r="C27" t="s">
        <v>96</v>
      </c>
      <c r="D27" t="s">
        <v>97</v>
      </c>
      <c r="E27" s="4">
        <f>(ENR0_EG1+Block!AE14)/GHG0_EG1</f>
        <v>0.63195774412258832</v>
      </c>
      <c r="G27" s="4">
        <v>0.63200000000000001</v>
      </c>
      <c r="H27" s="4">
        <f t="shared" si="1"/>
        <v>-4.2255877411689902E-5</v>
      </c>
    </row>
    <row r="28" spans="1:9" x14ac:dyDescent="0.45">
      <c r="A28" t="s">
        <v>94</v>
      </c>
      <c r="B28" t="s">
        <v>98</v>
      </c>
      <c r="C28" t="s">
        <v>99</v>
      </c>
      <c r="D28" t="s">
        <v>100</v>
      </c>
      <c r="E28" s="4">
        <f>E8-E9+0+E22+E23</f>
        <v>-31.345839688801355</v>
      </c>
      <c r="F28" t="s">
        <v>29</v>
      </c>
      <c r="G28" s="4">
        <v>-31.345800000000001</v>
      </c>
      <c r="H28" s="4">
        <f t="shared" si="1"/>
        <v>-3.9688801354742509E-5</v>
      </c>
      <c r="I28" s="5" t="s">
        <v>101</v>
      </c>
    </row>
    <row r="29" spans="1:9" x14ac:dyDescent="0.45">
      <c r="A29" t="s">
        <v>94</v>
      </c>
      <c r="B29" t="s">
        <v>102</v>
      </c>
      <c r="C29" t="s">
        <v>103</v>
      </c>
      <c r="D29" t="s">
        <v>104</v>
      </c>
      <c r="E29" s="4">
        <f>E28/GHG0_EG1</f>
        <v>-5.2756918534528574E-2</v>
      </c>
      <c r="G29" s="4">
        <v>-5.28E-2</v>
      </c>
      <c r="H29" s="4">
        <f t="shared" si="1"/>
        <v>4.3081465471425662E-5</v>
      </c>
    </row>
    <row r="30" spans="1:9" x14ac:dyDescent="0.45">
      <c r="A30" t="s">
        <v>94</v>
      </c>
      <c r="B30" t="s">
        <v>105</v>
      </c>
      <c r="C30" t="s">
        <v>106</v>
      </c>
      <c r="D30" t="s">
        <v>107</v>
      </c>
      <c r="E30" s="4">
        <f>REVCTAX_EG1+Block!X14/1000-Block!Y14/1000</f>
        <v>6.8379529145619831</v>
      </c>
      <c r="F30" t="s">
        <v>108</v>
      </c>
      <c r="G30" s="4">
        <v>6.8380000000000001</v>
      </c>
      <c r="H30" s="4">
        <f t="shared" si="1"/>
        <v>-4.7085438017013814E-5</v>
      </c>
      <c r="I30" s="5" t="s">
        <v>109</v>
      </c>
    </row>
    <row r="31" spans="1:9" x14ac:dyDescent="0.45">
      <c r="A31" t="s">
        <v>94</v>
      </c>
      <c r="B31" t="s">
        <v>110</v>
      </c>
      <c r="C31" t="s">
        <v>51</v>
      </c>
      <c r="D31" t="s">
        <v>111</v>
      </c>
      <c r="E31" s="4">
        <f>DEATHS_EG1</f>
        <v>1564</v>
      </c>
      <c r="F31" t="s">
        <v>112</v>
      </c>
      <c r="G31" s="4">
        <v>1564</v>
      </c>
      <c r="H31" s="4">
        <f t="shared" si="1"/>
        <v>0</v>
      </c>
      <c r="I31" s="5" t="s">
        <v>113</v>
      </c>
    </row>
    <row r="32" spans="1:9" x14ac:dyDescent="0.45">
      <c r="A32" t="s">
        <v>94</v>
      </c>
      <c r="B32" t="s">
        <v>114</v>
      </c>
      <c r="C32" t="s">
        <v>115</v>
      </c>
      <c r="D32" t="s">
        <v>116</v>
      </c>
      <c r="E32" s="4">
        <f>DREV_EG1-0</f>
        <v>10.43</v>
      </c>
      <c r="F32" t="s">
        <v>108</v>
      </c>
      <c r="G32" s="4">
        <v>10.43</v>
      </c>
      <c r="H32" s="4">
        <f t="shared" si="1"/>
        <v>0</v>
      </c>
    </row>
    <row r="33" spans="1:9" x14ac:dyDescent="0.45">
      <c r="A33" t="s">
        <v>117</v>
      </c>
      <c r="B33" t="s">
        <v>118</v>
      </c>
      <c r="C33" t="s">
        <v>119</v>
      </c>
      <c r="D33" t="s">
        <v>120</v>
      </c>
      <c r="E33" s="4">
        <f>MIN(1,EFFCPT_EG3/CPT_EG3*ENR0_EG3/IND0_EG3)</f>
        <v>0.5373723601542042</v>
      </c>
      <c r="G33" s="4">
        <v>0.53739999999999999</v>
      </c>
      <c r="H33" s="4">
        <f t="shared" si="1"/>
        <v>-2.7639845795790485E-5</v>
      </c>
      <c r="I33" s="5" t="s">
        <v>121</v>
      </c>
    </row>
    <row r="34" spans="1:9" x14ac:dyDescent="0.45">
      <c r="A34" t="s">
        <v>117</v>
      </c>
      <c r="B34" t="s">
        <v>122</v>
      </c>
      <c r="C34" t="s">
        <v>123</v>
      </c>
      <c r="D34" t="s">
        <v>124</v>
      </c>
      <c r="E34" s="4">
        <f>(IND1_EG3-IND0_EG3)/E33</f>
        <v>-15.91261596995091</v>
      </c>
      <c r="F34" t="s">
        <v>29</v>
      </c>
      <c r="I34" s="5" t="s">
        <v>125</v>
      </c>
    </row>
    <row r="35" spans="1:9" x14ac:dyDescent="0.45">
      <c r="A35" t="s">
        <v>117</v>
      </c>
      <c r="B35" t="s">
        <v>126</v>
      </c>
      <c r="C35" t="s">
        <v>127</v>
      </c>
      <c r="D35" t="s">
        <v>128</v>
      </c>
      <c r="E35" s="4">
        <f>(IPPU1_EG3-IPPU0_EG3)/E33</f>
        <v>-15.374813839753759</v>
      </c>
      <c r="F35" t="s">
        <v>29</v>
      </c>
      <c r="G35" s="4">
        <v>-15.3748</v>
      </c>
      <c r="H35" s="4">
        <f t="shared" ref="H35:H44" si="2">E35-G35</f>
        <v>-1.3839753759015139E-5</v>
      </c>
      <c r="I35" s="5" t="s">
        <v>125</v>
      </c>
    </row>
    <row r="36" spans="1:9" x14ac:dyDescent="0.45">
      <c r="A36" t="s">
        <v>117</v>
      </c>
      <c r="B36" t="s">
        <v>129</v>
      </c>
      <c r="C36" t="s">
        <v>130</v>
      </c>
      <c r="D36" t="s">
        <v>131</v>
      </c>
      <c r="E36" s="4">
        <f>(GHG1_EG3-GHG0_EG3)+(1/E33-1)*((IND1_EG3-IND0_EG3)+(IPPU1_EG3-IPPU0_EG3))</f>
        <v>-36.016429809704583</v>
      </c>
      <c r="F36" t="s">
        <v>29</v>
      </c>
      <c r="G36" s="4">
        <v>-36.016399999999997</v>
      </c>
      <c r="H36" s="4">
        <f t="shared" si="2"/>
        <v>-2.9809704585659347E-5</v>
      </c>
      <c r="I36" s="5" t="s">
        <v>125</v>
      </c>
    </row>
    <row r="37" spans="1:9" x14ac:dyDescent="0.45">
      <c r="A37" t="s">
        <v>117</v>
      </c>
      <c r="B37" t="s">
        <v>132</v>
      </c>
      <c r="C37" t="s">
        <v>96</v>
      </c>
      <c r="D37" t="s">
        <v>133</v>
      </c>
      <c r="E37" s="4">
        <f>(IND0_EG3+Block!AE14)/GHG0_EG3</f>
        <v>0.20835350550512083</v>
      </c>
      <c r="G37" s="4">
        <v>0.2084</v>
      </c>
      <c r="H37" s="4">
        <f t="shared" si="2"/>
        <v>-4.6494494879173454E-5</v>
      </c>
      <c r="I37" s="5" t="s">
        <v>134</v>
      </c>
    </row>
    <row r="38" spans="1:9" x14ac:dyDescent="0.45">
      <c r="A38" t="s">
        <v>117</v>
      </c>
      <c r="B38" t="s">
        <v>98</v>
      </c>
      <c r="C38" t="s">
        <v>99</v>
      </c>
      <c r="D38" t="s">
        <v>135</v>
      </c>
      <c r="E38" s="4">
        <f>E36-E35+E22+E23</f>
        <v>-25.065455658752224</v>
      </c>
      <c r="F38" t="s">
        <v>29</v>
      </c>
      <c r="G38" s="4">
        <v>-25.0655</v>
      </c>
      <c r="H38" s="4">
        <f t="shared" si="2"/>
        <v>4.4341247775747661E-5</v>
      </c>
      <c r="I38" s="5" t="s">
        <v>136</v>
      </c>
    </row>
    <row r="39" spans="1:9" x14ac:dyDescent="0.45">
      <c r="A39" t="s">
        <v>117</v>
      </c>
      <c r="B39" t="s">
        <v>110</v>
      </c>
      <c r="C39" t="s">
        <v>51</v>
      </c>
      <c r="D39" t="s">
        <v>137</v>
      </c>
      <c r="E39" s="4">
        <f>DEATHS_EG3*((ENR1_EG3-ENR0_EG3)+(1/E33-1)*(IND1_EG3-IND0_EG3))/(ENR1_EG3-ENR0_EG3)</f>
        <v>850.34181264429321</v>
      </c>
      <c r="F39" t="s">
        <v>112</v>
      </c>
      <c r="G39" s="4">
        <v>850.34180000000003</v>
      </c>
      <c r="H39" s="4">
        <f t="shared" si="2"/>
        <v>1.2644293178709631E-5</v>
      </c>
      <c r="I39" s="5" t="s">
        <v>138</v>
      </c>
    </row>
    <row r="40" spans="1:9" x14ac:dyDescent="0.45">
      <c r="A40" t="s">
        <v>139</v>
      </c>
      <c r="B40" t="s">
        <v>140</v>
      </c>
      <c r="C40" t="s">
        <v>141</v>
      </c>
      <c r="D40" t="s">
        <v>142</v>
      </c>
      <c r="E40" s="4">
        <f>-(1-E5)*MIN(1,Block!AD28/IND0_EG3)*E34</f>
        <v>3.2910508934038121</v>
      </c>
      <c r="F40" t="s">
        <v>29</v>
      </c>
      <c r="G40" s="4">
        <v>3.2911000000000001</v>
      </c>
      <c r="H40" s="4">
        <f t="shared" si="2"/>
        <v>-4.9106596188064344E-5</v>
      </c>
      <c r="I40" s="5" t="s">
        <v>143</v>
      </c>
    </row>
    <row r="41" spans="1:9" x14ac:dyDescent="0.45">
      <c r="A41" t="s">
        <v>139</v>
      </c>
      <c r="B41" t="s">
        <v>98</v>
      </c>
      <c r="C41" t="s">
        <v>99</v>
      </c>
      <c r="D41" t="s">
        <v>144</v>
      </c>
      <c r="E41" s="4">
        <f>E36-E35+Block!S28+Block!V28+E40</f>
        <v>-19.626285195118481</v>
      </c>
      <c r="F41" t="s">
        <v>29</v>
      </c>
      <c r="G41" s="4">
        <v>-19.626300000000001</v>
      </c>
      <c r="H41" s="4">
        <f t="shared" si="2"/>
        <v>1.4804881519836499E-5</v>
      </c>
      <c r="I41" s="5" t="s">
        <v>145</v>
      </c>
    </row>
    <row r="42" spans="1:9" x14ac:dyDescent="0.45">
      <c r="A42" t="s">
        <v>139</v>
      </c>
      <c r="B42" t="s">
        <v>105</v>
      </c>
      <c r="C42" t="s">
        <v>106</v>
      </c>
      <c r="D42" t="s">
        <v>146</v>
      </c>
      <c r="E42" s="4">
        <f>REVCTAX_EG3/E33+Block!X28/1000-Block!Y28/1000</f>
        <v>1.1330866413106011</v>
      </c>
      <c r="F42" t="s">
        <v>108</v>
      </c>
      <c r="G42" s="4">
        <v>1.1331</v>
      </c>
      <c r="H42" s="4">
        <f t="shared" si="2"/>
        <v>-1.3358689398890178E-5</v>
      </c>
      <c r="I42" s="5" t="s">
        <v>147</v>
      </c>
    </row>
    <row r="43" spans="1:9" x14ac:dyDescent="0.45">
      <c r="A43" t="s">
        <v>148</v>
      </c>
      <c r="B43" t="s">
        <v>149</v>
      </c>
      <c r="C43" t="s">
        <v>150</v>
      </c>
      <c r="D43" t="s">
        <v>151</v>
      </c>
      <c r="E43" s="4">
        <f>(IND0_EG3+E34)*(EXP(E6*SigmaEff)-1)</f>
        <v>-3.5570780849838517</v>
      </c>
      <c r="F43" t="s">
        <v>29</v>
      </c>
      <c r="G43" s="4">
        <v>-3.5571000000000002</v>
      </c>
      <c r="H43" s="4">
        <f t="shared" si="2"/>
        <v>2.1915016148454924E-5</v>
      </c>
      <c r="I43" s="5" t="s">
        <v>152</v>
      </c>
    </row>
    <row r="44" spans="1:9" x14ac:dyDescent="0.45">
      <c r="A44" t="s">
        <v>148</v>
      </c>
      <c r="B44" t="s">
        <v>98</v>
      </c>
      <c r="C44" t="s">
        <v>99</v>
      </c>
      <c r="D44" t="s">
        <v>153</v>
      </c>
      <c r="E44" s="4">
        <f>E36-E35+Block!S42+Block!V42+E43</f>
        <v>-30.603765834991428</v>
      </c>
      <c r="F44" t="s">
        <v>29</v>
      </c>
      <c r="G44" s="4">
        <v>-30.6038</v>
      </c>
      <c r="H44" s="4">
        <f t="shared" si="2"/>
        <v>3.4165008571562794E-5</v>
      </c>
      <c r="I44" s="5" t="s">
        <v>154</v>
      </c>
    </row>
    <row r="46" spans="1:9" x14ac:dyDescent="0.45">
      <c r="B46" s="6" t="s">
        <v>155</v>
      </c>
      <c r="H46" s="4">
        <f>MAX(INDEX(ABS(H5:H44),0))</f>
        <v>4.9106596188064344E-5</v>
      </c>
      <c r="I46" t="str">
        <f>IF(H46&lt;0.001,"PASS","CHECK")</f>
        <v>PASS</v>
      </c>
    </row>
  </sheetData>
  <mergeCells count="1">
    <mergeCell ref="A2:I2"/>
  </mergeCells>
  <pageMargins left="0.75" right="0.75" top="1" bottom="1" header="0.5" footer="0.5"/>
  <headerFooter>
    <oddFooter>&amp;R_x000D_&amp;1#&amp;"Aptos"&amp;10&amp;K000000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2"/>
  <sheetViews>
    <sheetView workbookViewId="0"/>
  </sheetViews>
  <sheetFormatPr defaultRowHeight="14.25" x14ac:dyDescent="0.45"/>
  <cols>
    <col min="2" max="2" width="26" customWidth="1"/>
    <col min="3" max="3" width="52" customWidth="1"/>
  </cols>
  <sheetData>
    <row r="1" spans="1:12" ht="18" x14ac:dyDescent="0.55000000000000004">
      <c r="A1" s="1" t="s">
        <v>156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3" spans="1:12" x14ac:dyDescent="0.45">
      <c r="A3" s="6" t="s">
        <v>157</v>
      </c>
    </row>
    <row r="4" spans="1:12" x14ac:dyDescent="0.45">
      <c r="A4" t="s">
        <v>158</v>
      </c>
      <c r="B4" t="s">
        <v>159</v>
      </c>
      <c r="C4" s="7">
        <v>2030</v>
      </c>
    </row>
    <row r="5" spans="1:12" x14ac:dyDescent="0.45">
      <c r="A5" t="s">
        <v>160</v>
      </c>
      <c r="B5" t="s">
        <v>161</v>
      </c>
      <c r="C5" s="7">
        <v>2024</v>
      </c>
    </row>
    <row r="6" spans="1:12" x14ac:dyDescent="0.45">
      <c r="A6" t="s">
        <v>162</v>
      </c>
      <c r="B6" t="s">
        <v>163</v>
      </c>
      <c r="C6" s="7">
        <v>20</v>
      </c>
      <c r="D6" t="s">
        <v>46</v>
      </c>
    </row>
    <row r="7" spans="1:12" x14ac:dyDescent="0.45">
      <c r="A7" t="s">
        <v>164</v>
      </c>
      <c r="B7" t="s">
        <v>165</v>
      </c>
      <c r="C7" s="7">
        <v>20</v>
      </c>
      <c r="D7" t="s">
        <v>46</v>
      </c>
    </row>
    <row r="8" spans="1:12" x14ac:dyDescent="0.45">
      <c r="A8" t="s">
        <v>166</v>
      </c>
      <c r="B8" t="s">
        <v>167</v>
      </c>
      <c r="C8" s="7">
        <v>-0.5</v>
      </c>
    </row>
    <row r="9" spans="1:12" x14ac:dyDescent="0.45">
      <c r="A9" t="s">
        <v>168</v>
      </c>
      <c r="B9" t="s">
        <v>169</v>
      </c>
      <c r="C9" s="7">
        <v>-0.5</v>
      </c>
    </row>
    <row r="10" spans="1:12" x14ac:dyDescent="0.45">
      <c r="A10" t="s">
        <v>170</v>
      </c>
      <c r="B10" t="s">
        <v>171</v>
      </c>
      <c r="C10" s="7">
        <v>-0.5</v>
      </c>
    </row>
    <row r="11" spans="1:12" x14ac:dyDescent="0.45">
      <c r="A11" t="s">
        <v>172</v>
      </c>
      <c r="B11" t="s">
        <v>173</v>
      </c>
      <c r="C11" s="7">
        <v>100</v>
      </c>
      <c r="D11" t="s">
        <v>46</v>
      </c>
    </row>
    <row r="12" spans="1:12" x14ac:dyDescent="0.45">
      <c r="A12" t="s">
        <v>174</v>
      </c>
      <c r="B12" t="s">
        <v>175</v>
      </c>
      <c r="C12" s="7">
        <v>122</v>
      </c>
      <c r="D12" t="s">
        <v>46</v>
      </c>
    </row>
    <row r="13" spans="1:12" x14ac:dyDescent="0.45">
      <c r="A13" t="s">
        <v>176</v>
      </c>
      <c r="B13" t="s">
        <v>177</v>
      </c>
      <c r="C13" s="7">
        <v>1</v>
      </c>
    </row>
    <row r="14" spans="1:12" x14ac:dyDescent="0.45">
      <c r="A14" t="s">
        <v>178</v>
      </c>
      <c r="B14" t="s">
        <v>179</v>
      </c>
      <c r="C14" s="7">
        <v>1</v>
      </c>
    </row>
    <row r="16" spans="1:12" x14ac:dyDescent="0.45">
      <c r="A16" s="6" t="s">
        <v>180</v>
      </c>
    </row>
    <row r="17" spans="1:6" x14ac:dyDescent="0.45">
      <c r="A17" s="6" t="s">
        <v>181</v>
      </c>
      <c r="B17" s="6" t="s">
        <v>182</v>
      </c>
      <c r="C17" s="6" t="s">
        <v>183</v>
      </c>
      <c r="D17" s="6" t="s">
        <v>184</v>
      </c>
      <c r="E17" s="6" t="s">
        <v>185</v>
      </c>
      <c r="F17" s="6" t="s">
        <v>7</v>
      </c>
    </row>
    <row r="18" spans="1:6" x14ac:dyDescent="0.45">
      <c r="A18" t="s">
        <v>186</v>
      </c>
      <c r="B18" t="s">
        <v>187</v>
      </c>
      <c r="C18" t="s">
        <v>188</v>
      </c>
      <c r="D18" s="7">
        <v>594.15599999999995</v>
      </c>
      <c r="E18" s="7">
        <v>594.15599999999995</v>
      </c>
      <c r="F18" t="s">
        <v>29</v>
      </c>
    </row>
    <row r="19" spans="1:6" x14ac:dyDescent="0.45">
      <c r="A19" t="s">
        <v>189</v>
      </c>
      <c r="B19" t="s">
        <v>190</v>
      </c>
      <c r="C19" t="s">
        <v>191</v>
      </c>
      <c r="D19" s="7">
        <v>555.279</v>
      </c>
      <c r="E19" s="7">
        <v>572.61400000000003</v>
      </c>
      <c r="F19" t="s">
        <v>29</v>
      </c>
    </row>
    <row r="20" spans="1:6" x14ac:dyDescent="0.45">
      <c r="A20" t="s">
        <v>192</v>
      </c>
      <c r="B20" t="s">
        <v>193</v>
      </c>
      <c r="C20" t="s">
        <v>194</v>
      </c>
      <c r="D20" s="7">
        <v>85.97</v>
      </c>
      <c r="E20" s="7">
        <v>85.97</v>
      </c>
      <c r="F20" t="s">
        <v>29</v>
      </c>
    </row>
    <row r="21" spans="1:6" x14ac:dyDescent="0.45">
      <c r="A21" t="s">
        <v>195</v>
      </c>
      <c r="B21" t="s">
        <v>196</v>
      </c>
      <c r="C21" t="s">
        <v>197</v>
      </c>
      <c r="D21" s="7">
        <v>74.015000000000001</v>
      </c>
      <c r="E21" s="7">
        <v>77.707999999999998</v>
      </c>
      <c r="F21" t="s">
        <v>29</v>
      </c>
    </row>
    <row r="22" spans="1:6" x14ac:dyDescent="0.45">
      <c r="A22" t="s">
        <v>198</v>
      </c>
      <c r="B22" t="s">
        <v>199</v>
      </c>
      <c r="C22" t="s">
        <v>200</v>
      </c>
      <c r="D22" s="7">
        <v>340.66</v>
      </c>
      <c r="E22" s="7">
        <v>340.66</v>
      </c>
      <c r="F22" t="s">
        <v>29</v>
      </c>
    </row>
    <row r="23" spans="1:6" x14ac:dyDescent="0.45">
      <c r="A23" t="s">
        <v>201</v>
      </c>
      <c r="B23" t="s">
        <v>202</v>
      </c>
      <c r="C23" t="s">
        <v>203</v>
      </c>
      <c r="D23" s="7">
        <v>313.86500000000001</v>
      </c>
      <c r="E23" s="7">
        <v>327.45299999999997</v>
      </c>
      <c r="F23" t="s">
        <v>29</v>
      </c>
    </row>
    <row r="24" spans="1:6" x14ac:dyDescent="0.45">
      <c r="A24" t="s">
        <v>204</v>
      </c>
      <c r="B24" t="s">
        <v>205</v>
      </c>
      <c r="C24" t="s">
        <v>206</v>
      </c>
      <c r="D24" s="7">
        <v>88.972999999999999</v>
      </c>
      <c r="E24" s="7">
        <v>88.972999999999999</v>
      </c>
      <c r="F24" t="s">
        <v>29</v>
      </c>
    </row>
    <row r="25" spans="1:6" x14ac:dyDescent="0.45">
      <c r="A25" t="s">
        <v>207</v>
      </c>
      <c r="B25" t="s">
        <v>208</v>
      </c>
      <c r="C25" t="s">
        <v>209</v>
      </c>
      <c r="D25" s="7">
        <v>76.599999999999994</v>
      </c>
      <c r="E25" s="7">
        <v>80.421999999999997</v>
      </c>
      <c r="F25" t="s">
        <v>29</v>
      </c>
    </row>
    <row r="26" spans="1:6" x14ac:dyDescent="0.45">
      <c r="A26" t="s">
        <v>210</v>
      </c>
      <c r="B26" t="s">
        <v>211</v>
      </c>
      <c r="C26" t="s">
        <v>212</v>
      </c>
      <c r="D26" s="7">
        <v>20</v>
      </c>
      <c r="E26" s="7">
        <v>20</v>
      </c>
      <c r="F26" t="s">
        <v>46</v>
      </c>
    </row>
    <row r="27" spans="1:6" x14ac:dyDescent="0.45">
      <c r="A27" t="s">
        <v>213</v>
      </c>
      <c r="B27" t="s">
        <v>214</v>
      </c>
      <c r="C27" t="s">
        <v>215</v>
      </c>
      <c r="D27" s="7">
        <v>19.8</v>
      </c>
      <c r="E27" s="7">
        <v>2.8069999999999999</v>
      </c>
      <c r="F27" t="s">
        <v>46</v>
      </c>
    </row>
    <row r="28" spans="1:6" x14ac:dyDescent="0.45">
      <c r="A28" t="s">
        <v>216</v>
      </c>
      <c r="B28" t="s">
        <v>217</v>
      </c>
      <c r="C28" t="s">
        <v>218</v>
      </c>
      <c r="D28" s="7">
        <v>6.23</v>
      </c>
      <c r="E28" s="7">
        <v>0.93</v>
      </c>
      <c r="F28" t="s">
        <v>108</v>
      </c>
    </row>
    <row r="29" spans="1:6" x14ac:dyDescent="0.45">
      <c r="A29" t="s">
        <v>219</v>
      </c>
      <c r="B29" t="s">
        <v>217</v>
      </c>
      <c r="C29" t="s">
        <v>220</v>
      </c>
      <c r="D29" s="7">
        <v>1564</v>
      </c>
      <c r="E29" s="7">
        <v>546</v>
      </c>
      <c r="F29" t="s">
        <v>112</v>
      </c>
    </row>
    <row r="30" spans="1:6" x14ac:dyDescent="0.45">
      <c r="A30" t="s">
        <v>221</v>
      </c>
      <c r="B30" t="s">
        <v>222</v>
      </c>
      <c r="C30" t="s">
        <v>223</v>
      </c>
      <c r="D30" s="7">
        <v>82651</v>
      </c>
      <c r="E30" s="7">
        <v>82651</v>
      </c>
      <c r="F30" t="s">
        <v>112</v>
      </c>
    </row>
    <row r="31" spans="1:6" x14ac:dyDescent="0.45">
      <c r="A31" t="s">
        <v>224</v>
      </c>
      <c r="B31" t="s">
        <v>217</v>
      </c>
      <c r="C31" t="s">
        <v>225</v>
      </c>
      <c r="D31" s="7">
        <v>10.43</v>
      </c>
      <c r="E31" s="7">
        <v>2.69</v>
      </c>
      <c r="F31" t="s">
        <v>108</v>
      </c>
    </row>
    <row r="33" spans="1:8" x14ac:dyDescent="0.45">
      <c r="A33" s="6" t="s">
        <v>226</v>
      </c>
    </row>
    <row r="34" spans="1:8" x14ac:dyDescent="0.45">
      <c r="A34" s="6" t="s">
        <v>227</v>
      </c>
      <c r="B34" s="6" t="s">
        <v>228</v>
      </c>
      <c r="C34" s="6" t="s">
        <v>229</v>
      </c>
      <c r="D34" s="6" t="s">
        <v>230</v>
      </c>
      <c r="E34" s="6" t="s">
        <v>106</v>
      </c>
      <c r="F34" s="6" t="s">
        <v>231</v>
      </c>
      <c r="G34" s="6" t="s">
        <v>232</v>
      </c>
      <c r="H34" s="6" t="s">
        <v>233</v>
      </c>
    </row>
    <row r="35" spans="1:8" x14ac:dyDescent="0.45">
      <c r="A35" t="s">
        <v>234</v>
      </c>
      <c r="B35" s="7">
        <v>5100</v>
      </c>
      <c r="C35" s="7">
        <v>4.3999999999999997E-2</v>
      </c>
      <c r="D35" s="7">
        <v>580</v>
      </c>
      <c r="E35" s="7">
        <v>750</v>
      </c>
      <c r="F35" s="7">
        <v>0.57099076999999998</v>
      </c>
      <c r="G35" s="7">
        <v>3.7901020000000001E-2</v>
      </c>
      <c r="H35" s="7">
        <v>0.34329999999999999</v>
      </c>
    </row>
    <row r="36" spans="1:8" x14ac:dyDescent="0.45">
      <c r="A36" t="s">
        <v>235</v>
      </c>
      <c r="B36" s="7">
        <v>4800</v>
      </c>
      <c r="C36" s="7">
        <v>4.3999999999999997E-2</v>
      </c>
      <c r="D36" s="7">
        <v>300</v>
      </c>
      <c r="E36" s="7">
        <v>680</v>
      </c>
      <c r="F36" s="7">
        <v>4.4880000000000003E-2</v>
      </c>
      <c r="G36" s="7">
        <v>4.3981149999999997E-2</v>
      </c>
      <c r="H36" s="7">
        <v>0.18099999999999999</v>
      </c>
    </row>
    <row r="37" spans="1:8" x14ac:dyDescent="0.45">
      <c r="A37" t="s">
        <v>236</v>
      </c>
      <c r="B37" s="7">
        <v>0</v>
      </c>
      <c r="C37" s="7">
        <v>0</v>
      </c>
      <c r="D37" s="7">
        <v>0</v>
      </c>
      <c r="E37" s="7">
        <v>620</v>
      </c>
      <c r="F37" s="7">
        <v>1.42498027</v>
      </c>
      <c r="G37" s="7">
        <v>5.276542E-2</v>
      </c>
      <c r="H37" s="7">
        <v>0.28029999999999999</v>
      </c>
    </row>
    <row r="38" spans="1:8" x14ac:dyDescent="0.45">
      <c r="A38" t="s">
        <v>237</v>
      </c>
      <c r="B38" s="7">
        <v>50000</v>
      </c>
      <c r="C38" s="7">
        <v>3.3000000000000002E-2</v>
      </c>
      <c r="D38" s="7">
        <v>800</v>
      </c>
      <c r="E38" s="7">
        <v>110</v>
      </c>
      <c r="F38" s="7">
        <v>0.31356850000000003</v>
      </c>
      <c r="G38" s="7">
        <v>0.53702616000000003</v>
      </c>
      <c r="H38" s="7">
        <v>0.3352</v>
      </c>
    </row>
    <row r="39" spans="1:8" x14ac:dyDescent="0.45">
      <c r="A39" t="s">
        <v>238</v>
      </c>
      <c r="B39" s="7">
        <v>1785</v>
      </c>
      <c r="C39" s="7">
        <v>2.1999999999999999E-2</v>
      </c>
      <c r="D39" s="7">
        <v>120</v>
      </c>
      <c r="E39" s="7">
        <v>450</v>
      </c>
      <c r="F39" s="7">
        <v>1.97472</v>
      </c>
      <c r="G39" s="7">
        <v>0</v>
      </c>
      <c r="H39" s="7">
        <v>0.2974</v>
      </c>
    </row>
    <row r="40" spans="1:8" x14ac:dyDescent="0.45">
      <c r="A40" t="s">
        <v>239</v>
      </c>
      <c r="B40" s="7">
        <v>2800</v>
      </c>
      <c r="C40" s="7">
        <v>2.1999999999999999E-2</v>
      </c>
      <c r="D40" s="7">
        <v>1600</v>
      </c>
      <c r="E40" s="7">
        <v>380</v>
      </c>
      <c r="F40" s="7">
        <v>0.11219999999999999</v>
      </c>
      <c r="G40" s="7">
        <v>0</v>
      </c>
      <c r="H40" s="7">
        <v>0.1158</v>
      </c>
    </row>
    <row r="41" spans="1:8" x14ac:dyDescent="0.45">
      <c r="A41" t="s">
        <v>240</v>
      </c>
      <c r="B41" s="7">
        <v>600</v>
      </c>
      <c r="C41" s="7">
        <v>2.1999999999999999E-2</v>
      </c>
      <c r="D41" s="7">
        <v>80</v>
      </c>
      <c r="E41" s="7">
        <v>320</v>
      </c>
      <c r="F41" s="7">
        <v>0.11219999999999999</v>
      </c>
      <c r="G41" s="7">
        <v>0.99441250000000003</v>
      </c>
      <c r="H41" s="7">
        <v>0.6179</v>
      </c>
    </row>
    <row r="42" spans="1:8" x14ac:dyDescent="0.45">
      <c r="A42" t="s">
        <v>241</v>
      </c>
      <c r="B42" s="7">
        <v>300</v>
      </c>
      <c r="C42" s="7">
        <v>5.5E-2</v>
      </c>
      <c r="D42" s="7">
        <v>167</v>
      </c>
      <c r="E42" s="7">
        <v>2400</v>
      </c>
      <c r="F42" s="7">
        <v>0.12342</v>
      </c>
      <c r="G42" s="7">
        <v>2.3974930400000001</v>
      </c>
      <c r="H42" s="7">
        <v>0.21640000000000001</v>
      </c>
    </row>
  </sheetData>
  <pageMargins left="0.75" right="0.75" top="1" bottom="1" header="0.5" footer="0.5"/>
  <headerFooter>
    <oddFooter>&amp;R_x000D_&amp;1#&amp;"Aptos"&amp;10&amp;K000000 Official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42"/>
  <sheetViews>
    <sheetView workbookViewId="0"/>
  </sheetViews>
  <sheetFormatPr defaultRowHeight="14.25" x14ac:dyDescent="0.45"/>
  <cols>
    <col min="1" max="1" width="18" customWidth="1"/>
  </cols>
  <sheetData>
    <row r="1" spans="1:34" ht="18" x14ac:dyDescent="0.55000000000000004">
      <c r="A1" s="1" t="s">
        <v>242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3" spans="1:34" x14ac:dyDescent="0.45">
      <c r="A3" s="3" t="s">
        <v>243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 spans="1:34" x14ac:dyDescent="0.45">
      <c r="A4" t="s">
        <v>244</v>
      </c>
      <c r="B4" s="7">
        <v>1</v>
      </c>
      <c r="C4" t="s">
        <v>245</v>
      </c>
      <c r="D4" s="7">
        <v>0</v>
      </c>
      <c r="E4" t="s">
        <v>246</v>
      </c>
      <c r="F4" s="7">
        <v>0</v>
      </c>
      <c r="G4" t="s">
        <v>247</v>
      </c>
      <c r="H4">
        <f>Tau*B4</f>
        <v>20</v>
      </c>
      <c r="I4" t="s">
        <v>248</v>
      </c>
      <c r="J4">
        <f>D4*Tau</f>
        <v>0</v>
      </c>
      <c r="K4" t="s">
        <v>249</v>
      </c>
      <c r="L4">
        <f>F4*SigmaEff</f>
        <v>0</v>
      </c>
    </row>
    <row r="5" spans="1:34" x14ac:dyDescent="0.45">
      <c r="A5" s="6" t="s">
        <v>227</v>
      </c>
      <c r="B5" s="6" t="s">
        <v>228</v>
      </c>
      <c r="C5" s="6" t="s">
        <v>229</v>
      </c>
      <c r="D5" s="6" t="s">
        <v>230</v>
      </c>
      <c r="E5" s="6" t="s">
        <v>106</v>
      </c>
      <c r="F5" s="6" t="s">
        <v>231</v>
      </c>
      <c r="G5" s="6" t="s">
        <v>232</v>
      </c>
      <c r="H5" s="6" t="s">
        <v>22</v>
      </c>
      <c r="I5" s="6" t="s">
        <v>40</v>
      </c>
      <c r="J5" s="6" t="s">
        <v>250</v>
      </c>
      <c r="K5" s="6" t="s">
        <v>251</v>
      </c>
      <c r="L5" s="6" t="s">
        <v>252</v>
      </c>
      <c r="M5" s="6" t="s">
        <v>48</v>
      </c>
      <c r="N5" s="6" t="s">
        <v>51</v>
      </c>
      <c r="O5" s="6" t="s">
        <v>253</v>
      </c>
      <c r="P5" s="6" t="s">
        <v>254</v>
      </c>
      <c r="Q5" s="6" t="s">
        <v>255</v>
      </c>
      <c r="R5" s="6" t="s">
        <v>57</v>
      </c>
      <c r="S5" s="6" t="s">
        <v>61</v>
      </c>
      <c r="T5" s="6" t="s">
        <v>256</v>
      </c>
      <c r="U5" s="6" t="s">
        <v>257</v>
      </c>
      <c r="V5" s="6" t="s">
        <v>65</v>
      </c>
      <c r="W5" s="6" t="s">
        <v>258</v>
      </c>
      <c r="X5" s="6" t="s">
        <v>259</v>
      </c>
      <c r="Y5" s="6" t="s">
        <v>260</v>
      </c>
      <c r="Z5" s="6" t="s">
        <v>261</v>
      </c>
      <c r="AA5" s="6" t="s">
        <v>262</v>
      </c>
      <c r="AB5" s="6" t="s">
        <v>72</v>
      </c>
      <c r="AC5" s="6" t="s">
        <v>77</v>
      </c>
      <c r="AD5" s="6" t="s">
        <v>263</v>
      </c>
      <c r="AE5" s="6" t="s">
        <v>264</v>
      </c>
      <c r="AF5" s="6" t="s">
        <v>265</v>
      </c>
      <c r="AG5" s="6" t="s">
        <v>266</v>
      </c>
      <c r="AH5" s="6" t="s">
        <v>267</v>
      </c>
    </row>
    <row r="6" spans="1:34" x14ac:dyDescent="0.45">
      <c r="A6" t="str">
        <f>INDEX(PT_Name,1)</f>
        <v>DRI-EAF steel</v>
      </c>
      <c r="B6">
        <f>INDEX(PT_Q0,1)</f>
        <v>5100</v>
      </c>
      <c r="C6">
        <f>INDEX(PT_Growth,1)</f>
        <v>4.3999999999999997E-2</v>
      </c>
      <c r="D6">
        <f>INDEX(PT_X,1)</f>
        <v>580</v>
      </c>
      <c r="E6">
        <f>INDEX(PT_P,1)</f>
        <v>750</v>
      </c>
      <c r="F6">
        <f>INDEX(PT_FuelFac,1)</f>
        <v>0.57099076999999998</v>
      </c>
      <c r="G6">
        <f>INDEX(PT_ProcFac,1)</f>
        <v>3.7901020000000001E-2</v>
      </c>
      <c r="H6">
        <f>-LN(1-INDEX(PT_ER,1))/PStar</f>
        <v>3.4469507031574592E-3</v>
      </c>
      <c r="I6">
        <f t="shared" ref="I6:I13" si="0">B6*(1+C6)^(Yr-BaseYr)</f>
        <v>6603.4845807876563</v>
      </c>
      <c r="J6">
        <f t="shared" ref="J6:J13" si="1">Tau*F6</f>
        <v>11.419815399999999</v>
      </c>
      <c r="K6">
        <f t="shared" ref="K6:K13" si="2">$H$4*G6</f>
        <v>0.75802040000000004</v>
      </c>
      <c r="L6">
        <f t="shared" ref="L6:L13" si="3">MIN($J$4,Tau)*F6+MIN($J$4,$H$4)*G6</f>
        <v>0</v>
      </c>
      <c r="M6">
        <f t="shared" ref="M6:M13" si="4">(J6+K6-L6)/E6</f>
        <v>1.6237114399999999E-2</v>
      </c>
      <c r="N6">
        <f t="shared" ref="N6:N13" si="5">I6*(1+M6)^EpsQ</f>
        <v>6550.5179664754805</v>
      </c>
      <c r="O6">
        <f t="shared" ref="O6:O13" si="6">N6*F6/1000</f>
        <v>3.7402852975766687</v>
      </c>
      <c r="P6">
        <f t="shared" ref="P6:P13" si="7">N6*G6/1000</f>
        <v>0.24827131245774653</v>
      </c>
      <c r="Q6">
        <f t="shared" ref="Q6:Q13" si="8">EXP(Bf*(Tau+$L$4))</f>
        <v>0.95131317563947027</v>
      </c>
      <c r="R6">
        <f t="shared" ref="R6:R13" si="9">O6*(Q6-1)</f>
        <v>-0.18210261334138697</v>
      </c>
      <c r="S6">
        <f t="shared" ref="S6:S13" si="10">-P6*(1-EXP(-H6*($H$4+$L$4)))</f>
        <v>-1.6538940658037692E-2</v>
      </c>
      <c r="T6">
        <f t="shared" ref="T6:T13" si="11">O6+R6+P6+S6</f>
        <v>3.7899150560349906</v>
      </c>
      <c r="U6">
        <f t="shared" ref="U6:U13" si="12">(O6+P6)*(1-(1+M6)^(-EpsQ))</f>
        <v>-3.2250936598780235E-2</v>
      </c>
      <c r="V6">
        <f t="shared" ref="V6:V13" si="13">P6*(1-(1+M6)^(-EpsQ))</f>
        <v>-2.0074887083780545E-3</v>
      </c>
      <c r="W6">
        <f t="shared" ref="W6:W13" si="14">(O6+R6)*Tau</f>
        <v>71.163653684705636</v>
      </c>
      <c r="X6">
        <f t="shared" ref="X6:X13" si="15">(P6*(G6&gt;0)+S6)*$H$4</f>
        <v>4.6346474359941769</v>
      </c>
      <c r="Y6">
        <f t="shared" ref="Y6:Y13" si="16">L6*N6/1000</f>
        <v>0</v>
      </c>
      <c r="Z6">
        <f t="shared" ref="Z6:Z13" si="17">IF(N6&gt;0,1000*T6/N6,0)</f>
        <v>0.57856723322204118</v>
      </c>
      <c r="AA6">
        <f t="shared" ref="AA6:AA13" si="18">IF(N6&gt;0,1000*(W6+X6)/N6-L6,0)</f>
        <v>11.571344664440826</v>
      </c>
      <c r="AB6">
        <f t="shared" ref="AB6:AB13" si="19">MAX(0,CBF*PEU*Z6-Ssel*MAX(0,AA6))</f>
        <v>46.285378657763289</v>
      </c>
      <c r="AC6">
        <f t="shared" ref="AC6:AC13" si="20">I6*(F6+G6)/1000</f>
        <v>4.0208075466331952</v>
      </c>
      <c r="AD6">
        <f t="shared" ref="AD6:AD13" si="21">I6*F6/1000</f>
        <v>3.7705287454670713</v>
      </c>
      <c r="AE6">
        <f t="shared" ref="AE6:AE13" si="22">I6*G6/1000</f>
        <v>0.25027880116612461</v>
      </c>
      <c r="AF6">
        <f t="shared" ref="AF6:AF13" si="23">D6*AB6</f>
        <v>26845.519621502706</v>
      </c>
      <c r="AG6">
        <f t="shared" ref="AG6:AG13" si="24">D6*CBF*PEU*(F6+G6)</f>
        <v>35315.723819999999</v>
      </c>
      <c r="AH6">
        <f t="shared" ref="AH6:AH13" si="25">O6+P6*(G6&gt;0)*$B$4</f>
        <v>3.9885566100344154</v>
      </c>
    </row>
    <row r="7" spans="1:34" x14ac:dyDescent="0.45">
      <c r="A7" t="str">
        <f>INDEX(PT_Name,2)</f>
        <v>Scrap-EAF steel</v>
      </c>
      <c r="B7">
        <f>INDEX(PT_Q0,2)</f>
        <v>4800</v>
      </c>
      <c r="C7">
        <f>INDEX(PT_Growth,2)</f>
        <v>4.3999999999999997E-2</v>
      </c>
      <c r="D7">
        <f>INDEX(PT_X,2)</f>
        <v>300</v>
      </c>
      <c r="E7">
        <f>INDEX(PT_P,2)</f>
        <v>680</v>
      </c>
      <c r="F7">
        <f>INDEX(PT_FuelFac,2)</f>
        <v>4.4880000000000003E-2</v>
      </c>
      <c r="G7">
        <f>INDEX(PT_ProcFac,2)</f>
        <v>4.3981149999999997E-2</v>
      </c>
      <c r="H7">
        <f>-LN(1-INDEX(PT_ER,2))/PStar</f>
        <v>1.6366491404021942E-3</v>
      </c>
      <c r="I7">
        <f t="shared" si="0"/>
        <v>6215.0443113295587</v>
      </c>
      <c r="J7">
        <f t="shared" si="1"/>
        <v>0.89760000000000006</v>
      </c>
      <c r="K7">
        <f t="shared" si="2"/>
        <v>0.87962299999999993</v>
      </c>
      <c r="L7">
        <f t="shared" si="3"/>
        <v>0</v>
      </c>
      <c r="M7">
        <f t="shared" si="4"/>
        <v>2.6135632352941177E-3</v>
      </c>
      <c r="N7">
        <f t="shared" si="5"/>
        <v>6206.938491020097</v>
      </c>
      <c r="O7">
        <f t="shared" si="6"/>
        <v>0.27856739947698195</v>
      </c>
      <c r="P7">
        <f t="shared" si="7"/>
        <v>0.27298829281432851</v>
      </c>
      <c r="Q7">
        <f t="shared" si="8"/>
        <v>0.95131317563947027</v>
      </c>
      <c r="R7">
        <f t="shared" si="9"/>
        <v>-1.3562562050905343E-2</v>
      </c>
      <c r="S7">
        <f t="shared" si="10"/>
        <v>-8.7910574137178548E-3</v>
      </c>
      <c r="T7">
        <f t="shared" si="11"/>
        <v>0.52920207282668719</v>
      </c>
      <c r="U7">
        <f t="shared" si="12"/>
        <v>-7.2029251439214073E-4</v>
      </c>
      <c r="V7">
        <f t="shared" si="13"/>
        <v>-3.5650329890349043E-4</v>
      </c>
      <c r="W7">
        <f t="shared" si="14"/>
        <v>5.3000967485215327</v>
      </c>
      <c r="X7">
        <f t="shared" si="15"/>
        <v>5.2839447080122142</v>
      </c>
      <c r="Y7">
        <f t="shared" si="16"/>
        <v>0</v>
      </c>
      <c r="Z7">
        <f t="shared" si="17"/>
        <v>8.5259757864897728E-2</v>
      </c>
      <c r="AA7">
        <f t="shared" si="18"/>
        <v>1.7051951572979551</v>
      </c>
      <c r="AB7">
        <f t="shared" si="19"/>
        <v>6.8207806291918187</v>
      </c>
      <c r="AC7">
        <f t="shared" si="20"/>
        <v>0.55227598480570261</v>
      </c>
      <c r="AD7">
        <f t="shared" si="21"/>
        <v>0.27893118869247063</v>
      </c>
      <c r="AE7">
        <f t="shared" si="22"/>
        <v>0.27334479611323198</v>
      </c>
      <c r="AF7">
        <f t="shared" si="23"/>
        <v>2046.2341887575456</v>
      </c>
      <c r="AG7">
        <f t="shared" si="24"/>
        <v>2665.8344999999999</v>
      </c>
      <c r="AH7">
        <f t="shared" si="25"/>
        <v>0.55155569229131052</v>
      </c>
    </row>
    <row r="8" spans="1:34" x14ac:dyDescent="0.45">
      <c r="A8" t="str">
        <f>INDEX(PT_Name,3)</f>
        <v>BF-BOF steel</v>
      </c>
      <c r="B8">
        <f>INDEX(PT_Q0,3)</f>
        <v>0</v>
      </c>
      <c r="C8">
        <f>INDEX(PT_Growth,3)</f>
        <v>0</v>
      </c>
      <c r="D8">
        <f>INDEX(PT_X,3)</f>
        <v>0</v>
      </c>
      <c r="E8">
        <f>INDEX(PT_P,3)</f>
        <v>620</v>
      </c>
      <c r="F8">
        <f>INDEX(PT_FuelFac,3)</f>
        <v>1.42498027</v>
      </c>
      <c r="G8">
        <f>INDEX(PT_ProcFac,3)</f>
        <v>5.276542E-2</v>
      </c>
      <c r="H8">
        <f>-LN(1-INDEX(PT_ER,3))/PStar</f>
        <v>2.6960722989211347E-3</v>
      </c>
      <c r="I8">
        <f t="shared" si="0"/>
        <v>0</v>
      </c>
      <c r="J8">
        <f t="shared" si="1"/>
        <v>28.4996054</v>
      </c>
      <c r="K8">
        <f t="shared" si="2"/>
        <v>1.0553083999999999</v>
      </c>
      <c r="L8">
        <f t="shared" si="3"/>
        <v>0</v>
      </c>
      <c r="M8">
        <f t="shared" si="4"/>
        <v>4.7669215806451615E-2</v>
      </c>
      <c r="N8">
        <f t="shared" si="5"/>
        <v>0</v>
      </c>
      <c r="O8">
        <f t="shared" si="6"/>
        <v>0</v>
      </c>
      <c r="P8">
        <f t="shared" si="7"/>
        <v>0</v>
      </c>
      <c r="Q8">
        <f t="shared" si="8"/>
        <v>0.95131317563947027</v>
      </c>
      <c r="R8">
        <f t="shared" si="9"/>
        <v>0</v>
      </c>
      <c r="S8">
        <f t="shared" si="10"/>
        <v>0</v>
      </c>
      <c r="T8">
        <f t="shared" si="11"/>
        <v>0</v>
      </c>
      <c r="U8">
        <f t="shared" si="12"/>
        <v>0</v>
      </c>
      <c r="V8">
        <f t="shared" si="13"/>
        <v>0</v>
      </c>
      <c r="W8">
        <f t="shared" si="14"/>
        <v>0</v>
      </c>
      <c r="X8">
        <f t="shared" si="15"/>
        <v>0</v>
      </c>
      <c r="Y8">
        <f t="shared" si="16"/>
        <v>0</v>
      </c>
      <c r="Z8">
        <f t="shared" si="17"/>
        <v>0</v>
      </c>
      <c r="AA8">
        <f t="shared" si="18"/>
        <v>0</v>
      </c>
      <c r="AB8">
        <f t="shared" si="19"/>
        <v>0</v>
      </c>
      <c r="AC8">
        <f t="shared" si="20"/>
        <v>0</v>
      </c>
      <c r="AD8">
        <f t="shared" si="21"/>
        <v>0</v>
      </c>
      <c r="AE8">
        <f t="shared" si="22"/>
        <v>0</v>
      </c>
      <c r="AF8">
        <f t="shared" si="23"/>
        <v>0</v>
      </c>
      <c r="AG8">
        <f t="shared" si="24"/>
        <v>0</v>
      </c>
      <c r="AH8">
        <f t="shared" si="25"/>
        <v>0</v>
      </c>
    </row>
    <row r="9" spans="1:34" x14ac:dyDescent="0.45">
      <c r="A9" t="str">
        <f>INDEX(PT_Name,4)</f>
        <v>Clinker</v>
      </c>
      <c r="B9">
        <f>INDEX(PT_Q0,4)</f>
        <v>50000</v>
      </c>
      <c r="C9">
        <f>INDEX(PT_Growth,4)</f>
        <v>3.3000000000000002E-2</v>
      </c>
      <c r="D9">
        <f>INDEX(PT_X,4)</f>
        <v>800</v>
      </c>
      <c r="E9">
        <f>INDEX(PT_P,4)</f>
        <v>110</v>
      </c>
      <c r="F9">
        <f>INDEX(PT_FuelFac,4)</f>
        <v>0.31356850000000003</v>
      </c>
      <c r="G9">
        <f>INDEX(PT_ProcFac,4)</f>
        <v>0.53702616000000003</v>
      </c>
      <c r="H9">
        <f>-LN(1-INDEX(PT_ER,4))/PStar</f>
        <v>3.3464675036139224E-3</v>
      </c>
      <c r="I9">
        <f t="shared" si="0"/>
        <v>60753.588245941261</v>
      </c>
      <c r="J9">
        <f t="shared" si="1"/>
        <v>6.271370000000001</v>
      </c>
      <c r="K9">
        <f t="shared" si="2"/>
        <v>10.7405232</v>
      </c>
      <c r="L9">
        <f t="shared" si="3"/>
        <v>0</v>
      </c>
      <c r="M9">
        <f t="shared" si="4"/>
        <v>0.15465357454545456</v>
      </c>
      <c r="N9">
        <f t="shared" si="5"/>
        <v>56538.734209364455</v>
      </c>
      <c r="O9">
        <f t="shared" si="6"/>
        <v>17.728766077929102</v>
      </c>
      <c r="P9">
        <f t="shared" si="7"/>
        <v>30.362779323715628</v>
      </c>
      <c r="Q9">
        <f t="shared" si="8"/>
        <v>0.95131317563947027</v>
      </c>
      <c r="R9">
        <f t="shared" si="9"/>
        <v>-0.86315732016505176</v>
      </c>
      <c r="S9">
        <f t="shared" si="10"/>
        <v>-1.9656476164958885</v>
      </c>
      <c r="T9">
        <f t="shared" si="11"/>
        <v>45.262740464983793</v>
      </c>
      <c r="U9">
        <f t="shared" si="12"/>
        <v>-3.5851323361916778</v>
      </c>
      <c r="V9">
        <f t="shared" si="13"/>
        <v>-2.2634868782233428</v>
      </c>
      <c r="W9">
        <f t="shared" si="14"/>
        <v>337.31217515528101</v>
      </c>
      <c r="X9">
        <f t="shared" si="15"/>
        <v>567.94263414439479</v>
      </c>
      <c r="Y9">
        <f t="shared" si="16"/>
        <v>0</v>
      </c>
      <c r="Z9">
        <f t="shared" si="17"/>
        <v>0.80056161670288983</v>
      </c>
      <c r="AA9">
        <f t="shared" si="18"/>
        <v>16.011232334057794</v>
      </c>
      <c r="AB9">
        <f t="shared" si="19"/>
        <v>64.044929336231192</v>
      </c>
      <c r="AC9">
        <f t="shared" si="20"/>
        <v>51.676677737836407</v>
      </c>
      <c r="AD9">
        <f t="shared" si="21"/>
        <v>19.050411535897435</v>
      </c>
      <c r="AE9">
        <f t="shared" si="22"/>
        <v>32.626266201938975</v>
      </c>
      <c r="AF9">
        <f t="shared" si="23"/>
        <v>51235.943468984951</v>
      </c>
      <c r="AG9">
        <f t="shared" si="24"/>
        <v>68047.572800000009</v>
      </c>
      <c r="AH9">
        <f t="shared" si="25"/>
        <v>48.09154540164473</v>
      </c>
    </row>
    <row r="10" spans="1:34" x14ac:dyDescent="0.45">
      <c r="A10" t="str">
        <f>INDEX(PT_Name,5)</f>
        <v>Ammonia</v>
      </c>
      <c r="B10">
        <f>INDEX(PT_Q0,5)</f>
        <v>1785</v>
      </c>
      <c r="C10">
        <f>INDEX(PT_Growth,5)</f>
        <v>2.1999999999999999E-2</v>
      </c>
      <c r="D10">
        <f>INDEX(PT_X,5)</f>
        <v>120</v>
      </c>
      <c r="E10">
        <f>INDEX(PT_P,5)</f>
        <v>450</v>
      </c>
      <c r="F10">
        <f>INDEX(PT_FuelFac,5)</f>
        <v>1.97472</v>
      </c>
      <c r="G10">
        <f>INDEX(PT_ProcFac,5)</f>
        <v>0</v>
      </c>
      <c r="H10">
        <f>-LN(1-INDEX(PT_ER,5))/PStar</f>
        <v>2.8931765504132002E-3</v>
      </c>
      <c r="I10">
        <f t="shared" si="0"/>
        <v>2033.9655612021818</v>
      </c>
      <c r="J10">
        <f t="shared" si="1"/>
        <v>39.494399999999999</v>
      </c>
      <c r="K10">
        <f t="shared" si="2"/>
        <v>0</v>
      </c>
      <c r="L10">
        <f t="shared" si="3"/>
        <v>0</v>
      </c>
      <c r="M10">
        <f t="shared" si="4"/>
        <v>8.7765333333333334E-2</v>
      </c>
      <c r="N10">
        <f t="shared" si="5"/>
        <v>1950.1857929500425</v>
      </c>
      <c r="O10">
        <f t="shared" si="6"/>
        <v>3.8510708890543079</v>
      </c>
      <c r="P10">
        <f t="shared" si="7"/>
        <v>0</v>
      </c>
      <c r="Q10">
        <f t="shared" si="8"/>
        <v>0.95131317563947027</v>
      </c>
      <c r="R10">
        <f t="shared" si="9"/>
        <v>-0.18749641197533617</v>
      </c>
      <c r="S10">
        <f t="shared" si="10"/>
        <v>0</v>
      </c>
      <c r="T10">
        <f t="shared" si="11"/>
        <v>3.6635744770789715</v>
      </c>
      <c r="U10">
        <f t="shared" si="12"/>
        <v>-0.1654415839628644</v>
      </c>
      <c r="V10">
        <f t="shared" si="13"/>
        <v>0</v>
      </c>
      <c r="W10">
        <f t="shared" si="14"/>
        <v>73.271489541579427</v>
      </c>
      <c r="X10">
        <f t="shared" si="15"/>
        <v>0</v>
      </c>
      <c r="Y10">
        <f t="shared" si="16"/>
        <v>0</v>
      </c>
      <c r="Z10">
        <f t="shared" si="17"/>
        <v>1.8785771541987746</v>
      </c>
      <c r="AA10">
        <f t="shared" si="18"/>
        <v>37.571543083975492</v>
      </c>
      <c r="AB10">
        <f t="shared" si="19"/>
        <v>150.28617233590197</v>
      </c>
      <c r="AC10">
        <f t="shared" si="20"/>
        <v>4.0165124730171726</v>
      </c>
      <c r="AD10">
        <f t="shared" si="21"/>
        <v>4.0165124730171726</v>
      </c>
      <c r="AE10">
        <f t="shared" si="22"/>
        <v>0</v>
      </c>
      <c r="AF10">
        <f t="shared" si="23"/>
        <v>18034.340680308236</v>
      </c>
      <c r="AG10">
        <f t="shared" si="24"/>
        <v>23696.639999999999</v>
      </c>
      <c r="AH10">
        <f t="shared" si="25"/>
        <v>3.8510708890543079</v>
      </c>
    </row>
    <row r="11" spans="1:34" x14ac:dyDescent="0.45">
      <c r="A11" t="str">
        <f>INDEX(PT_Name,6)</f>
        <v>Urea</v>
      </c>
      <c r="B11">
        <f>INDEX(PT_Q0,6)</f>
        <v>2800</v>
      </c>
      <c r="C11">
        <f>INDEX(PT_Growth,6)</f>
        <v>2.1999999999999999E-2</v>
      </c>
      <c r="D11">
        <f>INDEX(PT_X,6)</f>
        <v>1600</v>
      </c>
      <c r="E11">
        <f>INDEX(PT_P,6)</f>
        <v>380</v>
      </c>
      <c r="F11">
        <f>INDEX(PT_FuelFac,6)</f>
        <v>0.11219999999999999</v>
      </c>
      <c r="G11">
        <f>INDEX(PT_ProcFac,6)</f>
        <v>0</v>
      </c>
      <c r="H11">
        <f>-LN(1-INDEX(PT_ER,6))/PStar</f>
        <v>1.008786865491756E-3</v>
      </c>
      <c r="I11">
        <f t="shared" si="0"/>
        <v>3190.534213650481</v>
      </c>
      <c r="J11">
        <f t="shared" si="1"/>
        <v>2.2439999999999998</v>
      </c>
      <c r="K11">
        <f t="shared" si="2"/>
        <v>0</v>
      </c>
      <c r="L11">
        <f t="shared" si="3"/>
        <v>0</v>
      </c>
      <c r="M11">
        <f t="shared" si="4"/>
        <v>5.9052631578947364E-3</v>
      </c>
      <c r="N11">
        <f t="shared" si="5"/>
        <v>3181.1552600878722</v>
      </c>
      <c r="O11">
        <f t="shared" si="6"/>
        <v>0.35692562018185925</v>
      </c>
      <c r="P11">
        <f t="shared" si="7"/>
        <v>0</v>
      </c>
      <c r="Q11">
        <f t="shared" si="8"/>
        <v>0.95131317563947027</v>
      </c>
      <c r="R11">
        <f t="shared" si="9"/>
        <v>-1.737757497956733E-2</v>
      </c>
      <c r="S11">
        <f t="shared" si="10"/>
        <v>0</v>
      </c>
      <c r="T11">
        <f t="shared" si="11"/>
        <v>0.33954804520229193</v>
      </c>
      <c r="U11">
        <f t="shared" si="12"/>
        <v>-1.0523185897247432E-3</v>
      </c>
      <c r="V11">
        <f t="shared" si="13"/>
        <v>0</v>
      </c>
      <c r="W11">
        <f t="shared" si="14"/>
        <v>6.7909609040458383</v>
      </c>
      <c r="X11">
        <f t="shared" si="15"/>
        <v>0</v>
      </c>
      <c r="Y11">
        <f t="shared" si="16"/>
        <v>0</v>
      </c>
      <c r="Z11">
        <f t="shared" si="17"/>
        <v>0.10673733830674856</v>
      </c>
      <c r="AA11">
        <f t="shared" si="18"/>
        <v>2.1347467661349713</v>
      </c>
      <c r="AB11">
        <f t="shared" si="19"/>
        <v>8.5389870645398851</v>
      </c>
      <c r="AC11">
        <f t="shared" si="20"/>
        <v>0.3579779387715839</v>
      </c>
      <c r="AD11">
        <f t="shared" si="21"/>
        <v>0.3579779387715839</v>
      </c>
      <c r="AE11">
        <f t="shared" si="22"/>
        <v>0</v>
      </c>
      <c r="AF11">
        <f t="shared" si="23"/>
        <v>13662.379303263817</v>
      </c>
      <c r="AG11">
        <f t="shared" si="24"/>
        <v>17952</v>
      </c>
      <c r="AH11">
        <f t="shared" si="25"/>
        <v>0.35692562018185925</v>
      </c>
    </row>
    <row r="12" spans="1:34" x14ac:dyDescent="0.45">
      <c r="A12" t="str">
        <f>INDEX(PT_Name,7)</f>
        <v>Ammonium nitrate</v>
      </c>
      <c r="B12">
        <f>INDEX(PT_Q0,7)</f>
        <v>600</v>
      </c>
      <c r="C12">
        <f>INDEX(PT_Growth,7)</f>
        <v>2.1999999999999999E-2</v>
      </c>
      <c r="D12">
        <f>INDEX(PT_X,7)</f>
        <v>80</v>
      </c>
      <c r="E12">
        <f>INDEX(PT_P,7)</f>
        <v>320</v>
      </c>
      <c r="F12">
        <f>INDEX(PT_FuelFac,7)</f>
        <v>0.11219999999999999</v>
      </c>
      <c r="G12">
        <f>INDEX(PT_ProcFac,7)</f>
        <v>0.99441250000000003</v>
      </c>
      <c r="H12">
        <f>-LN(1-INDEX(PT_ER,7))/PStar</f>
        <v>7.8858436436826454E-3</v>
      </c>
      <c r="I12">
        <f t="shared" si="0"/>
        <v>683.68590292510305</v>
      </c>
      <c r="J12">
        <f t="shared" si="1"/>
        <v>2.2439999999999998</v>
      </c>
      <c r="K12">
        <f t="shared" si="2"/>
        <v>19.888249999999999</v>
      </c>
      <c r="L12">
        <f t="shared" si="3"/>
        <v>0</v>
      </c>
      <c r="M12">
        <f t="shared" si="4"/>
        <v>6.916328125E-2</v>
      </c>
      <c r="N12">
        <f t="shared" si="5"/>
        <v>661.20268364732067</v>
      </c>
      <c r="O12">
        <f t="shared" si="6"/>
        <v>7.4186941105229373E-2</v>
      </c>
      <c r="P12">
        <f t="shared" si="7"/>
        <v>0.65750821365244128</v>
      </c>
      <c r="Q12">
        <f t="shared" si="8"/>
        <v>0.95131317563947027</v>
      </c>
      <c r="R12">
        <f t="shared" si="9"/>
        <v>-3.611926571435266E-3</v>
      </c>
      <c r="S12">
        <f t="shared" si="10"/>
        <v>-9.5935994960266446E-2</v>
      </c>
      <c r="T12">
        <f t="shared" si="11"/>
        <v>0.632147233225969</v>
      </c>
      <c r="U12">
        <f t="shared" si="12"/>
        <v>-2.4880211493034925E-2</v>
      </c>
      <c r="V12">
        <f t="shared" si="13"/>
        <v>-2.2357594290067746E-2</v>
      </c>
      <c r="W12">
        <f t="shared" si="14"/>
        <v>1.4115002906758822</v>
      </c>
      <c r="X12">
        <f t="shared" si="15"/>
        <v>11.231444373843495</v>
      </c>
      <c r="Y12">
        <f t="shared" si="16"/>
        <v>0</v>
      </c>
      <c r="Z12">
        <f t="shared" si="17"/>
        <v>0.95605666592114202</v>
      </c>
      <c r="AA12">
        <f t="shared" si="18"/>
        <v>19.121133318422835</v>
      </c>
      <c r="AB12">
        <f t="shared" si="19"/>
        <v>76.484533273691369</v>
      </c>
      <c r="AC12">
        <f t="shared" si="20"/>
        <v>0.75657536625070554</v>
      </c>
      <c r="AD12">
        <f t="shared" si="21"/>
        <v>7.6709558308196563E-2</v>
      </c>
      <c r="AE12">
        <f t="shared" si="22"/>
        <v>0.67986580794250906</v>
      </c>
      <c r="AF12">
        <f t="shared" si="23"/>
        <v>6118.7626618953091</v>
      </c>
      <c r="AG12">
        <f t="shared" si="24"/>
        <v>8852.9</v>
      </c>
      <c r="AH12">
        <f t="shared" si="25"/>
        <v>0.73169515475767066</v>
      </c>
    </row>
    <row r="13" spans="1:34" x14ac:dyDescent="0.45">
      <c r="A13" t="str">
        <f>INDEX(PT_Name,8)</f>
        <v>Aluminium</v>
      </c>
      <c r="B13">
        <f>INDEX(PT_Q0,8)</f>
        <v>300</v>
      </c>
      <c r="C13">
        <f>INDEX(PT_Growth,8)</f>
        <v>5.5E-2</v>
      </c>
      <c r="D13">
        <f>INDEX(PT_X,8)</f>
        <v>167</v>
      </c>
      <c r="E13">
        <f>INDEX(PT_P,8)</f>
        <v>2400</v>
      </c>
      <c r="F13">
        <f>INDEX(PT_FuelFac,8)</f>
        <v>0.12342</v>
      </c>
      <c r="G13">
        <f>INDEX(PT_ProcFac,8)</f>
        <v>2.3974930400000001</v>
      </c>
      <c r="H13">
        <f>-LN(1-INDEX(PT_ER,8))/PStar</f>
        <v>1.9988245320635362E-3</v>
      </c>
      <c r="I13">
        <f t="shared" si="0"/>
        <v>413.65284202856708</v>
      </c>
      <c r="J13">
        <f t="shared" si="1"/>
        <v>2.4683999999999999</v>
      </c>
      <c r="K13">
        <f t="shared" si="2"/>
        <v>47.949860800000003</v>
      </c>
      <c r="L13">
        <f t="shared" si="3"/>
        <v>0</v>
      </c>
      <c r="M13">
        <f t="shared" si="4"/>
        <v>2.100760866666667E-2</v>
      </c>
      <c r="N13">
        <f t="shared" si="5"/>
        <v>409.37519411418629</v>
      </c>
      <c r="O13">
        <f t="shared" si="6"/>
        <v>5.0525086457572872E-2</v>
      </c>
      <c r="P13">
        <f t="shared" si="7"/>
        <v>0.98147417863741071</v>
      </c>
      <c r="Q13">
        <f t="shared" si="8"/>
        <v>0.95131317563947027</v>
      </c>
      <c r="R13">
        <f t="shared" si="9"/>
        <v>-2.4599060101604298E-3</v>
      </c>
      <c r="S13">
        <f t="shared" si="10"/>
        <v>-3.8461983650502372E-2</v>
      </c>
      <c r="T13">
        <f t="shared" si="11"/>
        <v>0.99107737543432084</v>
      </c>
      <c r="U13">
        <f t="shared" si="12"/>
        <v>-1.0783578407891388E-2</v>
      </c>
      <c r="V13">
        <f t="shared" si="13"/>
        <v>-1.0255631102298508E-2</v>
      </c>
      <c r="W13">
        <f t="shared" si="14"/>
        <v>0.96130360894824873</v>
      </c>
      <c r="X13">
        <f t="shared" si="15"/>
        <v>18.860243899738165</v>
      </c>
      <c r="Y13">
        <f t="shared" si="16"/>
        <v>0</v>
      </c>
      <c r="Z13">
        <f t="shared" si="17"/>
        <v>2.4209512195257279</v>
      </c>
      <c r="AA13">
        <f t="shared" si="18"/>
        <v>48.419024390514551</v>
      </c>
      <c r="AB13">
        <f t="shared" si="19"/>
        <v>193.67609756205823</v>
      </c>
      <c r="AC13">
        <f t="shared" si="20"/>
        <v>1.0427828435028748</v>
      </c>
      <c r="AD13">
        <f t="shared" si="21"/>
        <v>5.105303376316575E-2</v>
      </c>
      <c r="AE13">
        <f t="shared" si="22"/>
        <v>0.99172980973970914</v>
      </c>
      <c r="AF13">
        <f t="shared" si="23"/>
        <v>32343.908292863725</v>
      </c>
      <c r="AG13">
        <f t="shared" si="24"/>
        <v>42099.247768000001</v>
      </c>
      <c r="AH13">
        <f t="shared" si="25"/>
        <v>1.0319992650949836</v>
      </c>
    </row>
    <row r="14" spans="1:34" x14ac:dyDescent="0.45">
      <c r="A14" s="6" t="s">
        <v>268</v>
      </c>
      <c r="I14" s="6">
        <f>SUM(I6:I13)</f>
        <v>79893.955657864804</v>
      </c>
      <c r="N14" s="6">
        <f>SUM(N6:N13)</f>
        <v>75498.109597659452</v>
      </c>
      <c r="O14" s="6">
        <f>SUM(O6:O13)</f>
        <v>26.080327311781723</v>
      </c>
      <c r="P14" s="6">
        <f>SUM(P6:P13)</f>
        <v>32.523021321277554</v>
      </c>
      <c r="R14" s="6">
        <f t="shared" ref="R14:Y14" si="26">SUM(R6:R13)</f>
        <v>-1.269768315093843</v>
      </c>
      <c r="S14" s="6">
        <f t="shared" si="26"/>
        <v>-2.1253755931784126</v>
      </c>
      <c r="T14" s="6">
        <f t="shared" si="26"/>
        <v>55.208204724787031</v>
      </c>
      <c r="U14" s="6">
        <f t="shared" si="26"/>
        <v>-3.8202612577583657</v>
      </c>
      <c r="V14" s="6">
        <f t="shared" si="26"/>
        <v>-2.2984640956229905</v>
      </c>
      <c r="W14" s="6">
        <f t="shared" si="26"/>
        <v>496.21117993375759</v>
      </c>
      <c r="X14" s="6">
        <f t="shared" si="26"/>
        <v>607.95291456198288</v>
      </c>
      <c r="Y14" s="6">
        <f t="shared" si="26"/>
        <v>0</v>
      </c>
      <c r="AC14" s="6">
        <f t="shared" ref="AC14:AH14" si="27">SUM(AC6:AC13)</f>
        <v>62.423609890817644</v>
      </c>
      <c r="AD14" s="6">
        <f t="shared" si="27"/>
        <v>27.602124473917094</v>
      </c>
      <c r="AE14" s="6">
        <f t="shared" si="27"/>
        <v>34.821485416900551</v>
      </c>
      <c r="AF14" s="6">
        <f t="shared" si="27"/>
        <v>150287.0882175763</v>
      </c>
      <c r="AG14" s="6">
        <f t="shared" si="27"/>
        <v>198629.91888799999</v>
      </c>
      <c r="AH14" s="6">
        <f t="shared" si="27"/>
        <v>58.603348633059277</v>
      </c>
    </row>
    <row r="17" spans="1:34" x14ac:dyDescent="0.45">
      <c r="A17" s="3" t="s">
        <v>269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</row>
    <row r="18" spans="1:34" x14ac:dyDescent="0.45">
      <c r="A18" t="s">
        <v>244</v>
      </c>
      <c r="B18" s="7">
        <v>1</v>
      </c>
      <c r="C18" t="s">
        <v>245</v>
      </c>
      <c r="D18" s="7">
        <v>1</v>
      </c>
      <c r="E18" t="s">
        <v>246</v>
      </c>
      <c r="F18" s="7">
        <v>0</v>
      </c>
      <c r="G18" t="s">
        <v>247</v>
      </c>
      <c r="H18">
        <f>Tau*B18</f>
        <v>20</v>
      </c>
      <c r="I18" t="s">
        <v>248</v>
      </c>
      <c r="J18">
        <f>D18*Tau</f>
        <v>20</v>
      </c>
      <c r="K18" t="s">
        <v>249</v>
      </c>
      <c r="L18">
        <f>F18*SigmaEff</f>
        <v>0</v>
      </c>
    </row>
    <row r="19" spans="1:34" x14ac:dyDescent="0.45">
      <c r="A19" s="6" t="s">
        <v>227</v>
      </c>
      <c r="B19" s="6" t="s">
        <v>228</v>
      </c>
      <c r="C19" s="6" t="s">
        <v>229</v>
      </c>
      <c r="D19" s="6" t="s">
        <v>230</v>
      </c>
      <c r="E19" s="6" t="s">
        <v>106</v>
      </c>
      <c r="F19" s="6" t="s">
        <v>231</v>
      </c>
      <c r="G19" s="6" t="s">
        <v>232</v>
      </c>
      <c r="H19" s="6" t="s">
        <v>22</v>
      </c>
      <c r="I19" s="6" t="s">
        <v>40</v>
      </c>
      <c r="J19" s="6" t="s">
        <v>250</v>
      </c>
      <c r="K19" s="6" t="s">
        <v>251</v>
      </c>
      <c r="L19" s="6" t="s">
        <v>252</v>
      </c>
      <c r="M19" s="6" t="s">
        <v>48</v>
      </c>
      <c r="N19" s="6" t="s">
        <v>51</v>
      </c>
      <c r="O19" s="6" t="s">
        <v>253</v>
      </c>
      <c r="P19" s="6" t="s">
        <v>254</v>
      </c>
      <c r="Q19" s="6" t="s">
        <v>255</v>
      </c>
      <c r="R19" s="6" t="s">
        <v>57</v>
      </c>
      <c r="S19" s="6" t="s">
        <v>61</v>
      </c>
      <c r="T19" s="6" t="s">
        <v>256</v>
      </c>
      <c r="U19" s="6" t="s">
        <v>257</v>
      </c>
      <c r="V19" s="6" t="s">
        <v>65</v>
      </c>
      <c r="W19" s="6" t="s">
        <v>258</v>
      </c>
      <c r="X19" s="6" t="s">
        <v>259</v>
      </c>
      <c r="Y19" s="6" t="s">
        <v>260</v>
      </c>
      <c r="Z19" s="6" t="s">
        <v>261</v>
      </c>
      <c r="AA19" s="6" t="s">
        <v>262</v>
      </c>
      <c r="AB19" s="6" t="s">
        <v>72</v>
      </c>
      <c r="AC19" s="6" t="s">
        <v>77</v>
      </c>
      <c r="AD19" s="6" t="s">
        <v>263</v>
      </c>
      <c r="AE19" s="6" t="s">
        <v>264</v>
      </c>
      <c r="AF19" s="6" t="s">
        <v>265</v>
      </c>
      <c r="AG19" s="6" t="s">
        <v>266</v>
      </c>
      <c r="AH19" s="6" t="s">
        <v>267</v>
      </c>
    </row>
    <row r="20" spans="1:34" x14ac:dyDescent="0.45">
      <c r="A20" t="str">
        <f>INDEX(PT_Name,1)</f>
        <v>DRI-EAF steel</v>
      </c>
      <c r="B20">
        <f>INDEX(PT_Q0,1)</f>
        <v>5100</v>
      </c>
      <c r="C20">
        <f>INDEX(PT_Growth,1)</f>
        <v>4.3999999999999997E-2</v>
      </c>
      <c r="D20">
        <f>INDEX(PT_X,1)</f>
        <v>580</v>
      </c>
      <c r="E20">
        <f>INDEX(PT_P,1)</f>
        <v>750</v>
      </c>
      <c r="F20">
        <f>INDEX(PT_FuelFac,1)</f>
        <v>0.57099076999999998</v>
      </c>
      <c r="G20">
        <f>INDEX(PT_ProcFac,1)</f>
        <v>3.7901020000000001E-2</v>
      </c>
      <c r="H20">
        <f>-LN(1-INDEX(PT_ER,1))/PStar</f>
        <v>3.4469507031574592E-3</v>
      </c>
      <c r="I20">
        <f t="shared" ref="I20:I27" si="28">B20*(1+C20)^(Yr-BaseYr)</f>
        <v>6603.4845807876563</v>
      </c>
      <c r="J20">
        <f t="shared" ref="J20:J27" si="29">Tau*F20</f>
        <v>11.419815399999999</v>
      </c>
      <c r="K20">
        <f t="shared" ref="K20:K27" si="30">$H$18*G20</f>
        <v>0.75802040000000004</v>
      </c>
      <c r="L20">
        <f t="shared" ref="L20:L27" si="31">MIN($J$18,Tau)*F20+MIN($J$18,$H$18)*G20</f>
        <v>12.177835799999999</v>
      </c>
      <c r="M20">
        <f t="shared" ref="M20:M27" si="32">(J20+K20-L20)/E20</f>
        <v>0</v>
      </c>
      <c r="N20">
        <f t="shared" ref="N20:N27" si="33">I20*(1+M20)^EpsQ</f>
        <v>6603.4845807876563</v>
      </c>
      <c r="O20">
        <f t="shared" ref="O20:O27" si="34">N20*F20/1000</f>
        <v>3.7705287454670713</v>
      </c>
      <c r="P20">
        <f t="shared" ref="P20:P27" si="35">N20*G20/1000</f>
        <v>0.25027880116612461</v>
      </c>
      <c r="Q20">
        <f t="shared" ref="Q20:Q27" si="36">EXP(Bf*(Tau+$L$18))</f>
        <v>0.95131317563947027</v>
      </c>
      <c r="R20">
        <f t="shared" ref="R20:R27" si="37">O20*(Q20-1)</f>
        <v>-0.18357507077688381</v>
      </c>
      <c r="S20">
        <f t="shared" ref="S20:S27" si="38">-P20*(1-EXP(-H20*($H$18+$L$18)))</f>
        <v>-1.6672672325586665E-2</v>
      </c>
      <c r="T20">
        <f t="shared" ref="T20:T27" si="39">O20+R20+P20+S20</f>
        <v>3.8205598035307258</v>
      </c>
      <c r="U20">
        <f t="shared" ref="U20:U27" si="40">(O20+P20)*(1-(1+M20)^(-EpsQ))</f>
        <v>0</v>
      </c>
      <c r="V20">
        <f t="shared" ref="V20:V27" si="41">P20*(1-(1+M20)^(-EpsQ))</f>
        <v>0</v>
      </c>
      <c r="W20">
        <f t="shared" ref="W20:W27" si="42">(O20+R20)*Tau</f>
        <v>71.739073493803744</v>
      </c>
      <c r="X20">
        <f t="shared" ref="X20:X27" si="43">(P20*(G20&gt;0)+S20)*$H$18</f>
        <v>4.672122576810759</v>
      </c>
      <c r="Y20">
        <f t="shared" ref="Y20:Y27" si="44">L20*N20/1000</f>
        <v>80.416150932663911</v>
      </c>
      <c r="Z20">
        <f t="shared" ref="Z20:Z27" si="45">IF(N20&gt;0,1000*T20/N20,0)</f>
        <v>0.57856723322204129</v>
      </c>
      <c r="AA20">
        <f t="shared" ref="AA20:AA27" si="46">IF(N20&gt;0,1000*(W20+X20)/N20-L20,0)</f>
        <v>-0.60649113555917467</v>
      </c>
      <c r="AB20">
        <f t="shared" ref="AB20:AB27" si="47">MAX(0,CBF*PEU*Z20-Ssel*MAX(0,AA20))</f>
        <v>57.856723322204132</v>
      </c>
      <c r="AC20">
        <f t="shared" ref="AC20:AC27" si="48">I20*(F20+G20)/1000</f>
        <v>4.0208075466331952</v>
      </c>
      <c r="AD20">
        <f t="shared" ref="AD20:AD27" si="49">I20*F20/1000</f>
        <v>3.7705287454670713</v>
      </c>
      <c r="AE20">
        <f t="shared" ref="AE20:AE27" si="50">I20*G20/1000</f>
        <v>0.25027880116612461</v>
      </c>
      <c r="AF20">
        <f t="shared" ref="AF20:AF27" si="51">D20*AB20</f>
        <v>33556.899526878398</v>
      </c>
      <c r="AG20">
        <f t="shared" ref="AG20:AG27" si="52">D20*CBF*PEU*(F20+G20)</f>
        <v>35315.723819999999</v>
      </c>
      <c r="AH20">
        <f t="shared" ref="AH20:AH27" si="53">O20+P20*(G20&gt;0)*$B$18</f>
        <v>4.0208075466331961</v>
      </c>
    </row>
    <row r="21" spans="1:34" x14ac:dyDescent="0.45">
      <c r="A21" t="str">
        <f>INDEX(PT_Name,2)</f>
        <v>Scrap-EAF steel</v>
      </c>
      <c r="B21">
        <f>INDEX(PT_Q0,2)</f>
        <v>4800</v>
      </c>
      <c r="C21">
        <f>INDEX(PT_Growth,2)</f>
        <v>4.3999999999999997E-2</v>
      </c>
      <c r="D21">
        <f>INDEX(PT_X,2)</f>
        <v>300</v>
      </c>
      <c r="E21">
        <f>INDEX(PT_P,2)</f>
        <v>680</v>
      </c>
      <c r="F21">
        <f>INDEX(PT_FuelFac,2)</f>
        <v>4.4880000000000003E-2</v>
      </c>
      <c r="G21">
        <f>INDEX(PT_ProcFac,2)</f>
        <v>4.3981149999999997E-2</v>
      </c>
      <c r="H21">
        <f>-LN(1-INDEX(PT_ER,2))/PStar</f>
        <v>1.6366491404021942E-3</v>
      </c>
      <c r="I21">
        <f t="shared" si="28"/>
        <v>6215.0443113295587</v>
      </c>
      <c r="J21">
        <f t="shared" si="29"/>
        <v>0.89760000000000006</v>
      </c>
      <c r="K21">
        <f t="shared" si="30"/>
        <v>0.87962299999999993</v>
      </c>
      <c r="L21">
        <f t="shared" si="31"/>
        <v>1.777223</v>
      </c>
      <c r="M21">
        <f t="shared" si="32"/>
        <v>0</v>
      </c>
      <c r="N21">
        <f t="shared" si="33"/>
        <v>6215.0443113295587</v>
      </c>
      <c r="O21">
        <f t="shared" si="34"/>
        <v>0.27893118869247063</v>
      </c>
      <c r="P21">
        <f t="shared" si="35"/>
        <v>0.27334479611323198</v>
      </c>
      <c r="Q21">
        <f t="shared" si="36"/>
        <v>0.95131317563947027</v>
      </c>
      <c r="R21">
        <f t="shared" si="37"/>
        <v>-1.3580273792544095E-2</v>
      </c>
      <c r="S21">
        <f t="shared" si="38"/>
        <v>-8.8025379095901524E-3</v>
      </c>
      <c r="T21">
        <f t="shared" si="39"/>
        <v>0.52989317310356832</v>
      </c>
      <c r="U21">
        <f t="shared" si="40"/>
        <v>0</v>
      </c>
      <c r="V21">
        <f t="shared" si="41"/>
        <v>0</v>
      </c>
      <c r="W21">
        <f t="shared" si="42"/>
        <v>5.3070182979985301</v>
      </c>
      <c r="X21">
        <f t="shared" si="43"/>
        <v>5.2908451640728371</v>
      </c>
      <c r="Y21">
        <f t="shared" si="44"/>
        <v>11.045519696114052</v>
      </c>
      <c r="Z21">
        <f t="shared" si="45"/>
        <v>8.5259757864897742E-2</v>
      </c>
      <c r="AA21">
        <f t="shared" si="46"/>
        <v>-7.2027842702045319E-2</v>
      </c>
      <c r="AB21">
        <f t="shared" si="47"/>
        <v>8.5259757864897736</v>
      </c>
      <c r="AC21">
        <f t="shared" si="48"/>
        <v>0.55227598480570261</v>
      </c>
      <c r="AD21">
        <f t="shared" si="49"/>
        <v>0.27893118869247063</v>
      </c>
      <c r="AE21">
        <f t="shared" si="50"/>
        <v>0.27334479611323198</v>
      </c>
      <c r="AF21">
        <f t="shared" si="51"/>
        <v>2557.7927359469322</v>
      </c>
      <c r="AG21">
        <f t="shared" si="52"/>
        <v>2665.8344999999999</v>
      </c>
      <c r="AH21">
        <f t="shared" si="53"/>
        <v>0.55227598480570261</v>
      </c>
    </row>
    <row r="22" spans="1:34" x14ac:dyDescent="0.45">
      <c r="A22" t="str">
        <f>INDEX(PT_Name,3)</f>
        <v>BF-BOF steel</v>
      </c>
      <c r="B22">
        <f>INDEX(PT_Q0,3)</f>
        <v>0</v>
      </c>
      <c r="C22">
        <f>INDEX(PT_Growth,3)</f>
        <v>0</v>
      </c>
      <c r="D22">
        <f>INDEX(PT_X,3)</f>
        <v>0</v>
      </c>
      <c r="E22">
        <f>INDEX(PT_P,3)</f>
        <v>620</v>
      </c>
      <c r="F22">
        <f>INDEX(PT_FuelFac,3)</f>
        <v>1.42498027</v>
      </c>
      <c r="G22">
        <f>INDEX(PT_ProcFac,3)</f>
        <v>5.276542E-2</v>
      </c>
      <c r="H22">
        <f>-LN(1-INDEX(PT_ER,3))/PStar</f>
        <v>2.6960722989211347E-3</v>
      </c>
      <c r="I22">
        <f t="shared" si="28"/>
        <v>0</v>
      </c>
      <c r="J22">
        <f t="shared" si="29"/>
        <v>28.4996054</v>
      </c>
      <c r="K22">
        <f t="shared" si="30"/>
        <v>1.0553083999999999</v>
      </c>
      <c r="L22">
        <f t="shared" si="31"/>
        <v>29.554913800000001</v>
      </c>
      <c r="M22">
        <f t="shared" si="32"/>
        <v>0</v>
      </c>
      <c r="N22">
        <f t="shared" si="33"/>
        <v>0</v>
      </c>
      <c r="O22">
        <f t="shared" si="34"/>
        <v>0</v>
      </c>
      <c r="P22">
        <f t="shared" si="35"/>
        <v>0</v>
      </c>
      <c r="Q22">
        <f t="shared" si="36"/>
        <v>0.95131317563947027</v>
      </c>
      <c r="R22">
        <f t="shared" si="37"/>
        <v>0</v>
      </c>
      <c r="S22">
        <f t="shared" si="38"/>
        <v>0</v>
      </c>
      <c r="T22">
        <f t="shared" si="39"/>
        <v>0</v>
      </c>
      <c r="U22">
        <f t="shared" si="40"/>
        <v>0</v>
      </c>
      <c r="V22">
        <f t="shared" si="41"/>
        <v>0</v>
      </c>
      <c r="W22">
        <f t="shared" si="42"/>
        <v>0</v>
      </c>
      <c r="X22">
        <f t="shared" si="43"/>
        <v>0</v>
      </c>
      <c r="Y22">
        <f t="shared" si="44"/>
        <v>0</v>
      </c>
      <c r="Z22">
        <f t="shared" si="45"/>
        <v>0</v>
      </c>
      <c r="AA22">
        <f t="shared" si="46"/>
        <v>0</v>
      </c>
      <c r="AB22">
        <f t="shared" si="47"/>
        <v>0</v>
      </c>
      <c r="AC22">
        <f t="shared" si="48"/>
        <v>0</v>
      </c>
      <c r="AD22">
        <f t="shared" si="49"/>
        <v>0</v>
      </c>
      <c r="AE22">
        <f t="shared" si="50"/>
        <v>0</v>
      </c>
      <c r="AF22">
        <f t="shared" si="51"/>
        <v>0</v>
      </c>
      <c r="AG22">
        <f t="shared" si="52"/>
        <v>0</v>
      </c>
      <c r="AH22">
        <f t="shared" si="53"/>
        <v>0</v>
      </c>
    </row>
    <row r="23" spans="1:34" x14ac:dyDescent="0.45">
      <c r="A23" t="str">
        <f>INDEX(PT_Name,4)</f>
        <v>Clinker</v>
      </c>
      <c r="B23">
        <f>INDEX(PT_Q0,4)</f>
        <v>50000</v>
      </c>
      <c r="C23">
        <f>INDEX(PT_Growth,4)</f>
        <v>3.3000000000000002E-2</v>
      </c>
      <c r="D23">
        <f>INDEX(PT_X,4)</f>
        <v>800</v>
      </c>
      <c r="E23">
        <f>INDEX(PT_P,4)</f>
        <v>110</v>
      </c>
      <c r="F23">
        <f>INDEX(PT_FuelFac,4)</f>
        <v>0.31356850000000003</v>
      </c>
      <c r="G23">
        <f>INDEX(PT_ProcFac,4)</f>
        <v>0.53702616000000003</v>
      </c>
      <c r="H23">
        <f>-LN(1-INDEX(PT_ER,4))/PStar</f>
        <v>3.3464675036139224E-3</v>
      </c>
      <c r="I23">
        <f t="shared" si="28"/>
        <v>60753.588245941261</v>
      </c>
      <c r="J23">
        <f t="shared" si="29"/>
        <v>6.271370000000001</v>
      </c>
      <c r="K23">
        <f t="shared" si="30"/>
        <v>10.7405232</v>
      </c>
      <c r="L23">
        <f t="shared" si="31"/>
        <v>17.011893200000003</v>
      </c>
      <c r="M23">
        <f t="shared" si="32"/>
        <v>0</v>
      </c>
      <c r="N23">
        <f t="shared" si="33"/>
        <v>60753.588245941261</v>
      </c>
      <c r="O23">
        <f t="shared" si="34"/>
        <v>19.050411535897435</v>
      </c>
      <c r="P23">
        <f t="shared" si="35"/>
        <v>32.626266201938975</v>
      </c>
      <c r="Q23">
        <f t="shared" si="36"/>
        <v>0.95131317563947027</v>
      </c>
      <c r="R23">
        <f t="shared" si="37"/>
        <v>-0.92750404044404788</v>
      </c>
      <c r="S23">
        <f t="shared" si="38"/>
        <v>-2.1121828707199399</v>
      </c>
      <c r="T23">
        <f t="shared" si="39"/>
        <v>48.636990826672424</v>
      </c>
      <c r="U23">
        <f t="shared" si="40"/>
        <v>0</v>
      </c>
      <c r="V23">
        <f t="shared" si="41"/>
        <v>0</v>
      </c>
      <c r="W23">
        <f t="shared" si="42"/>
        <v>362.45814990906774</v>
      </c>
      <c r="X23">
        <f t="shared" si="43"/>
        <v>610.2816666243807</v>
      </c>
      <c r="Y23">
        <f t="shared" si="44"/>
        <v>1033.5335547567283</v>
      </c>
      <c r="Z23">
        <f t="shared" si="45"/>
        <v>0.80056161670288983</v>
      </c>
      <c r="AA23">
        <f t="shared" si="46"/>
        <v>-1.0006608659422049</v>
      </c>
      <c r="AB23">
        <f t="shared" si="47"/>
        <v>80.056161670288986</v>
      </c>
      <c r="AC23">
        <f t="shared" si="48"/>
        <v>51.676677737836407</v>
      </c>
      <c r="AD23">
        <f t="shared" si="49"/>
        <v>19.050411535897435</v>
      </c>
      <c r="AE23">
        <f t="shared" si="50"/>
        <v>32.626266201938975</v>
      </c>
      <c r="AF23">
        <f t="shared" si="51"/>
        <v>64044.929336231187</v>
      </c>
      <c r="AG23">
        <f t="shared" si="52"/>
        <v>68047.572800000009</v>
      </c>
      <c r="AH23">
        <f t="shared" si="53"/>
        <v>51.676677737836414</v>
      </c>
    </row>
    <row r="24" spans="1:34" x14ac:dyDescent="0.45">
      <c r="A24" t="str">
        <f>INDEX(PT_Name,5)</f>
        <v>Ammonia</v>
      </c>
      <c r="B24">
        <f>INDEX(PT_Q0,5)</f>
        <v>1785</v>
      </c>
      <c r="C24">
        <f>INDEX(PT_Growth,5)</f>
        <v>2.1999999999999999E-2</v>
      </c>
      <c r="D24">
        <f>INDEX(PT_X,5)</f>
        <v>120</v>
      </c>
      <c r="E24">
        <f>INDEX(PT_P,5)</f>
        <v>450</v>
      </c>
      <c r="F24">
        <f>INDEX(PT_FuelFac,5)</f>
        <v>1.97472</v>
      </c>
      <c r="G24">
        <f>INDEX(PT_ProcFac,5)</f>
        <v>0</v>
      </c>
      <c r="H24">
        <f>-LN(1-INDEX(PT_ER,5))/PStar</f>
        <v>2.8931765504132002E-3</v>
      </c>
      <c r="I24">
        <f t="shared" si="28"/>
        <v>2033.9655612021818</v>
      </c>
      <c r="J24">
        <f t="shared" si="29"/>
        <v>39.494399999999999</v>
      </c>
      <c r="K24">
        <f t="shared" si="30"/>
        <v>0</v>
      </c>
      <c r="L24">
        <f t="shared" si="31"/>
        <v>39.494399999999999</v>
      </c>
      <c r="M24">
        <f t="shared" si="32"/>
        <v>0</v>
      </c>
      <c r="N24">
        <f t="shared" si="33"/>
        <v>2033.9655612021818</v>
      </c>
      <c r="O24">
        <f t="shared" si="34"/>
        <v>4.0165124730171726</v>
      </c>
      <c r="P24">
        <f t="shared" si="35"/>
        <v>0</v>
      </c>
      <c r="Q24">
        <f t="shared" si="36"/>
        <v>0.95131317563947027</v>
      </c>
      <c r="R24">
        <f t="shared" si="37"/>
        <v>-0.19555123731566401</v>
      </c>
      <c r="S24">
        <f t="shared" si="38"/>
        <v>0</v>
      </c>
      <c r="T24">
        <f t="shared" si="39"/>
        <v>3.8209612357015086</v>
      </c>
      <c r="U24">
        <f t="shared" si="40"/>
        <v>0</v>
      </c>
      <c r="V24">
        <f t="shared" si="41"/>
        <v>0</v>
      </c>
      <c r="W24">
        <f t="shared" si="42"/>
        <v>76.419224714030179</v>
      </c>
      <c r="X24">
        <f t="shared" si="43"/>
        <v>0</v>
      </c>
      <c r="Y24">
        <f t="shared" si="44"/>
        <v>80.330249460343452</v>
      </c>
      <c r="Z24">
        <f t="shared" si="45"/>
        <v>1.8785771541987748</v>
      </c>
      <c r="AA24">
        <f t="shared" si="46"/>
        <v>-1.9228569160245002</v>
      </c>
      <c r="AB24">
        <f t="shared" si="47"/>
        <v>187.85771541987748</v>
      </c>
      <c r="AC24">
        <f t="shared" si="48"/>
        <v>4.0165124730171726</v>
      </c>
      <c r="AD24">
        <f t="shared" si="49"/>
        <v>4.0165124730171726</v>
      </c>
      <c r="AE24">
        <f t="shared" si="50"/>
        <v>0</v>
      </c>
      <c r="AF24">
        <f t="shared" si="51"/>
        <v>22542.925850385298</v>
      </c>
      <c r="AG24">
        <f t="shared" si="52"/>
        <v>23696.639999999999</v>
      </c>
      <c r="AH24">
        <f t="shared" si="53"/>
        <v>4.0165124730171726</v>
      </c>
    </row>
    <row r="25" spans="1:34" x14ac:dyDescent="0.45">
      <c r="A25" t="str">
        <f>INDEX(PT_Name,6)</f>
        <v>Urea</v>
      </c>
      <c r="B25">
        <f>INDEX(PT_Q0,6)</f>
        <v>2800</v>
      </c>
      <c r="C25">
        <f>INDEX(PT_Growth,6)</f>
        <v>2.1999999999999999E-2</v>
      </c>
      <c r="D25">
        <f>INDEX(PT_X,6)</f>
        <v>1600</v>
      </c>
      <c r="E25">
        <f>INDEX(PT_P,6)</f>
        <v>380</v>
      </c>
      <c r="F25">
        <f>INDEX(PT_FuelFac,6)</f>
        <v>0.11219999999999999</v>
      </c>
      <c r="G25">
        <f>INDEX(PT_ProcFac,6)</f>
        <v>0</v>
      </c>
      <c r="H25">
        <f>-LN(1-INDEX(PT_ER,6))/PStar</f>
        <v>1.008786865491756E-3</v>
      </c>
      <c r="I25">
        <f t="shared" si="28"/>
        <v>3190.534213650481</v>
      </c>
      <c r="J25">
        <f t="shared" si="29"/>
        <v>2.2439999999999998</v>
      </c>
      <c r="K25">
        <f t="shared" si="30"/>
        <v>0</v>
      </c>
      <c r="L25">
        <f t="shared" si="31"/>
        <v>2.2439999999999998</v>
      </c>
      <c r="M25">
        <f t="shared" si="32"/>
        <v>0</v>
      </c>
      <c r="N25">
        <f t="shared" si="33"/>
        <v>3190.534213650481</v>
      </c>
      <c r="O25">
        <f t="shared" si="34"/>
        <v>0.3579779387715839</v>
      </c>
      <c r="P25">
        <f t="shared" si="35"/>
        <v>0</v>
      </c>
      <c r="Q25">
        <f t="shared" si="36"/>
        <v>0.95131317563947027</v>
      </c>
      <c r="R25">
        <f t="shared" si="37"/>
        <v>-1.7428809029916573E-2</v>
      </c>
      <c r="S25">
        <f t="shared" si="38"/>
        <v>0</v>
      </c>
      <c r="T25">
        <f t="shared" si="39"/>
        <v>0.34054912974166734</v>
      </c>
      <c r="U25">
        <f t="shared" si="40"/>
        <v>0</v>
      </c>
      <c r="V25">
        <f t="shared" si="41"/>
        <v>0</v>
      </c>
      <c r="W25">
        <f t="shared" si="42"/>
        <v>6.8109825948333471</v>
      </c>
      <c r="X25">
        <f t="shared" si="43"/>
        <v>0</v>
      </c>
      <c r="Y25">
        <f t="shared" si="44"/>
        <v>7.1595587754316785</v>
      </c>
      <c r="Z25">
        <f t="shared" si="45"/>
        <v>0.10673733830674854</v>
      </c>
      <c r="AA25">
        <f t="shared" si="46"/>
        <v>-0.1092532338650285</v>
      </c>
      <c r="AB25">
        <f t="shared" si="47"/>
        <v>10.673733830674854</v>
      </c>
      <c r="AC25">
        <f t="shared" si="48"/>
        <v>0.3579779387715839</v>
      </c>
      <c r="AD25">
        <f t="shared" si="49"/>
        <v>0.3579779387715839</v>
      </c>
      <c r="AE25">
        <f t="shared" si="50"/>
        <v>0</v>
      </c>
      <c r="AF25">
        <f t="shared" si="51"/>
        <v>17077.974129079765</v>
      </c>
      <c r="AG25">
        <f t="shared" si="52"/>
        <v>17952</v>
      </c>
      <c r="AH25">
        <f t="shared" si="53"/>
        <v>0.3579779387715839</v>
      </c>
    </row>
    <row r="26" spans="1:34" x14ac:dyDescent="0.45">
      <c r="A26" t="str">
        <f>INDEX(PT_Name,7)</f>
        <v>Ammonium nitrate</v>
      </c>
      <c r="B26">
        <f>INDEX(PT_Q0,7)</f>
        <v>600</v>
      </c>
      <c r="C26">
        <f>INDEX(PT_Growth,7)</f>
        <v>2.1999999999999999E-2</v>
      </c>
      <c r="D26">
        <f>INDEX(PT_X,7)</f>
        <v>80</v>
      </c>
      <c r="E26">
        <f>INDEX(PT_P,7)</f>
        <v>320</v>
      </c>
      <c r="F26">
        <f>INDEX(PT_FuelFac,7)</f>
        <v>0.11219999999999999</v>
      </c>
      <c r="G26">
        <f>INDEX(PT_ProcFac,7)</f>
        <v>0.99441250000000003</v>
      </c>
      <c r="H26">
        <f>-LN(1-INDEX(PT_ER,7))/PStar</f>
        <v>7.8858436436826454E-3</v>
      </c>
      <c r="I26">
        <f t="shared" si="28"/>
        <v>683.68590292510305</v>
      </c>
      <c r="J26">
        <f t="shared" si="29"/>
        <v>2.2439999999999998</v>
      </c>
      <c r="K26">
        <f t="shared" si="30"/>
        <v>19.888249999999999</v>
      </c>
      <c r="L26">
        <f t="shared" si="31"/>
        <v>22.132249999999999</v>
      </c>
      <c r="M26">
        <f t="shared" si="32"/>
        <v>0</v>
      </c>
      <c r="N26">
        <f t="shared" si="33"/>
        <v>683.68590292510305</v>
      </c>
      <c r="O26">
        <f t="shared" si="34"/>
        <v>7.6709558308196563E-2</v>
      </c>
      <c r="P26">
        <f t="shared" si="35"/>
        <v>0.67986580794250906</v>
      </c>
      <c r="Q26">
        <f t="shared" si="36"/>
        <v>0.95131317563947027</v>
      </c>
      <c r="R26">
        <f t="shared" si="37"/>
        <v>-3.7347447921249805E-3</v>
      </c>
      <c r="S26">
        <f t="shared" si="38"/>
        <v>-9.9198156570721119E-2</v>
      </c>
      <c r="T26">
        <f t="shared" si="39"/>
        <v>0.6536424648878596</v>
      </c>
      <c r="U26">
        <f t="shared" si="40"/>
        <v>0</v>
      </c>
      <c r="V26">
        <f t="shared" si="41"/>
        <v>0</v>
      </c>
      <c r="W26">
        <f t="shared" si="42"/>
        <v>1.4594962703214318</v>
      </c>
      <c r="X26">
        <f t="shared" si="43"/>
        <v>11.613353027435757</v>
      </c>
      <c r="Y26">
        <f t="shared" si="44"/>
        <v>15.131507325014113</v>
      </c>
      <c r="Z26">
        <f t="shared" si="45"/>
        <v>0.95605666592114202</v>
      </c>
      <c r="AA26">
        <f t="shared" si="46"/>
        <v>-3.0111166815771604</v>
      </c>
      <c r="AB26">
        <f t="shared" si="47"/>
        <v>95.605666592114204</v>
      </c>
      <c r="AC26">
        <f t="shared" si="48"/>
        <v>0.75657536625070554</v>
      </c>
      <c r="AD26">
        <f t="shared" si="49"/>
        <v>7.6709558308196563E-2</v>
      </c>
      <c r="AE26">
        <f t="shared" si="50"/>
        <v>0.67986580794250906</v>
      </c>
      <c r="AF26">
        <f t="shared" si="51"/>
        <v>7648.4533273691359</v>
      </c>
      <c r="AG26">
        <f t="shared" si="52"/>
        <v>8852.9</v>
      </c>
      <c r="AH26">
        <f t="shared" si="53"/>
        <v>0.75657536625070565</v>
      </c>
    </row>
    <row r="27" spans="1:34" x14ac:dyDescent="0.45">
      <c r="A27" t="str">
        <f>INDEX(PT_Name,8)</f>
        <v>Aluminium</v>
      </c>
      <c r="B27">
        <f>INDEX(PT_Q0,8)</f>
        <v>300</v>
      </c>
      <c r="C27">
        <f>INDEX(PT_Growth,8)</f>
        <v>5.5E-2</v>
      </c>
      <c r="D27">
        <f>INDEX(PT_X,8)</f>
        <v>167</v>
      </c>
      <c r="E27">
        <f>INDEX(PT_P,8)</f>
        <v>2400</v>
      </c>
      <c r="F27">
        <f>INDEX(PT_FuelFac,8)</f>
        <v>0.12342</v>
      </c>
      <c r="G27">
        <f>INDEX(PT_ProcFac,8)</f>
        <v>2.3974930400000001</v>
      </c>
      <c r="H27">
        <f>-LN(1-INDEX(PT_ER,8))/PStar</f>
        <v>1.9988245320635362E-3</v>
      </c>
      <c r="I27">
        <f t="shared" si="28"/>
        <v>413.65284202856708</v>
      </c>
      <c r="J27">
        <f t="shared" si="29"/>
        <v>2.4683999999999999</v>
      </c>
      <c r="K27">
        <f t="shared" si="30"/>
        <v>47.949860800000003</v>
      </c>
      <c r="L27">
        <f t="shared" si="31"/>
        <v>50.418260800000006</v>
      </c>
      <c r="M27">
        <f t="shared" si="32"/>
        <v>0</v>
      </c>
      <c r="N27">
        <f t="shared" si="33"/>
        <v>413.65284202856708</v>
      </c>
      <c r="O27">
        <f t="shared" si="34"/>
        <v>5.105303376316575E-2</v>
      </c>
      <c r="P27">
        <f t="shared" si="35"/>
        <v>0.99172980973970914</v>
      </c>
      <c r="Q27">
        <f t="shared" si="36"/>
        <v>0.95131317563947027</v>
      </c>
      <c r="R27">
        <f t="shared" si="37"/>
        <v>-2.4856100878994452E-3</v>
      </c>
      <c r="S27">
        <f t="shared" si="38"/>
        <v>-3.8863881045632841E-2</v>
      </c>
      <c r="T27">
        <f t="shared" si="39"/>
        <v>1.0014333523693426</v>
      </c>
      <c r="U27">
        <f t="shared" si="40"/>
        <v>0</v>
      </c>
      <c r="V27">
        <f t="shared" si="41"/>
        <v>0</v>
      </c>
      <c r="W27">
        <f t="shared" si="42"/>
        <v>0.97134847350532616</v>
      </c>
      <c r="X27">
        <f t="shared" si="43"/>
        <v>19.057318573881524</v>
      </c>
      <c r="Y27">
        <f t="shared" si="44"/>
        <v>20.855656870057498</v>
      </c>
      <c r="Z27">
        <f t="shared" si="45"/>
        <v>2.4209512195257274</v>
      </c>
      <c r="AA27">
        <f t="shared" si="46"/>
        <v>-1.9992364094854551</v>
      </c>
      <c r="AB27">
        <f t="shared" si="47"/>
        <v>242.09512195257275</v>
      </c>
      <c r="AC27">
        <f t="shared" si="48"/>
        <v>1.0427828435028748</v>
      </c>
      <c r="AD27">
        <f t="shared" si="49"/>
        <v>5.105303376316575E-2</v>
      </c>
      <c r="AE27">
        <f t="shared" si="50"/>
        <v>0.99172980973970914</v>
      </c>
      <c r="AF27">
        <f t="shared" si="51"/>
        <v>40429.885366079652</v>
      </c>
      <c r="AG27">
        <f t="shared" si="52"/>
        <v>42099.247768000001</v>
      </c>
      <c r="AH27">
        <f t="shared" si="53"/>
        <v>1.042782843502875</v>
      </c>
    </row>
    <row r="28" spans="1:34" x14ac:dyDescent="0.45">
      <c r="A28" s="6" t="s">
        <v>268</v>
      </c>
      <c r="I28" s="6">
        <f>SUM(I20:I27)</f>
        <v>79893.955657864804</v>
      </c>
      <c r="N28" s="6">
        <f>SUM(N20:N27)</f>
        <v>79893.955657864804</v>
      </c>
      <c r="O28" s="6">
        <f>SUM(O20:O27)</f>
        <v>27.602124473917094</v>
      </c>
      <c r="P28" s="6">
        <f>SUM(P20:P27)</f>
        <v>34.821485416900551</v>
      </c>
      <c r="R28" s="6">
        <f t="shared" ref="R28:Y28" si="54">SUM(R20:R27)</f>
        <v>-1.3438597862390809</v>
      </c>
      <c r="S28" s="6">
        <f t="shared" si="54"/>
        <v>-2.2757201185714711</v>
      </c>
      <c r="T28" s="6">
        <f t="shared" si="54"/>
        <v>58.804029986007095</v>
      </c>
      <c r="U28" s="6">
        <f t="shared" si="54"/>
        <v>0</v>
      </c>
      <c r="V28" s="6">
        <f t="shared" si="54"/>
        <v>0</v>
      </c>
      <c r="W28" s="6">
        <f t="shared" si="54"/>
        <v>525.16529375356038</v>
      </c>
      <c r="X28" s="6">
        <f t="shared" si="54"/>
        <v>650.91530596658163</v>
      </c>
      <c r="Y28" s="6">
        <f t="shared" si="54"/>
        <v>1248.4721978163532</v>
      </c>
      <c r="AC28" s="6">
        <f t="shared" ref="AC28:AH28" si="55">SUM(AC20:AC27)</f>
        <v>62.423609890817644</v>
      </c>
      <c r="AD28" s="6">
        <f t="shared" si="55"/>
        <v>27.602124473917094</v>
      </c>
      <c r="AE28" s="6">
        <f t="shared" si="55"/>
        <v>34.821485416900551</v>
      </c>
      <c r="AF28" s="6">
        <f t="shared" si="55"/>
        <v>187858.86027197039</v>
      </c>
      <c r="AG28" s="6">
        <f t="shared" si="55"/>
        <v>198629.91888799999</v>
      </c>
      <c r="AH28" s="6">
        <f t="shared" si="55"/>
        <v>62.423609890817652</v>
      </c>
    </row>
    <row r="31" spans="1:34" x14ac:dyDescent="0.45">
      <c r="A31" s="3" t="s">
        <v>270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</row>
    <row r="32" spans="1:34" x14ac:dyDescent="0.45">
      <c r="A32" t="s">
        <v>244</v>
      </c>
      <c r="B32" s="7">
        <v>1</v>
      </c>
      <c r="C32" t="s">
        <v>245</v>
      </c>
      <c r="D32" s="7">
        <v>0</v>
      </c>
      <c r="E32" t="s">
        <v>246</v>
      </c>
      <c r="F32" s="7">
        <v>1</v>
      </c>
      <c r="G32" t="s">
        <v>247</v>
      </c>
      <c r="H32">
        <f>Tau*B32</f>
        <v>20</v>
      </c>
      <c r="I32" t="s">
        <v>248</v>
      </c>
      <c r="J32">
        <f>D32*Tau</f>
        <v>0</v>
      </c>
      <c r="K32" t="s">
        <v>249</v>
      </c>
      <c r="L32">
        <f>F32*SigmaEff</f>
        <v>20</v>
      </c>
    </row>
    <row r="33" spans="1:34" x14ac:dyDescent="0.45">
      <c r="A33" s="6" t="s">
        <v>227</v>
      </c>
      <c r="B33" s="6" t="s">
        <v>228</v>
      </c>
      <c r="C33" s="6" t="s">
        <v>229</v>
      </c>
      <c r="D33" s="6" t="s">
        <v>230</v>
      </c>
      <c r="E33" s="6" t="s">
        <v>106</v>
      </c>
      <c r="F33" s="6" t="s">
        <v>231</v>
      </c>
      <c r="G33" s="6" t="s">
        <v>232</v>
      </c>
      <c r="H33" s="6" t="s">
        <v>22</v>
      </c>
      <c r="I33" s="6" t="s">
        <v>40</v>
      </c>
      <c r="J33" s="6" t="s">
        <v>250</v>
      </c>
      <c r="K33" s="6" t="s">
        <v>251</v>
      </c>
      <c r="L33" s="6" t="s">
        <v>252</v>
      </c>
      <c r="M33" s="6" t="s">
        <v>48</v>
      </c>
      <c r="N33" s="6" t="s">
        <v>51</v>
      </c>
      <c r="O33" s="6" t="s">
        <v>253</v>
      </c>
      <c r="P33" s="6" t="s">
        <v>254</v>
      </c>
      <c r="Q33" s="6" t="s">
        <v>255</v>
      </c>
      <c r="R33" s="6" t="s">
        <v>57</v>
      </c>
      <c r="S33" s="6" t="s">
        <v>61</v>
      </c>
      <c r="T33" s="6" t="s">
        <v>256</v>
      </c>
      <c r="U33" s="6" t="s">
        <v>257</v>
      </c>
      <c r="V33" s="6" t="s">
        <v>65</v>
      </c>
      <c r="W33" s="6" t="s">
        <v>258</v>
      </c>
      <c r="X33" s="6" t="s">
        <v>259</v>
      </c>
      <c r="Y33" s="6" t="s">
        <v>260</v>
      </c>
      <c r="Z33" s="6" t="s">
        <v>261</v>
      </c>
      <c r="AA33" s="6" t="s">
        <v>262</v>
      </c>
      <c r="AB33" s="6" t="s">
        <v>72</v>
      </c>
      <c r="AC33" s="6" t="s">
        <v>77</v>
      </c>
      <c r="AD33" s="6" t="s">
        <v>263</v>
      </c>
      <c r="AE33" s="6" t="s">
        <v>264</v>
      </c>
      <c r="AF33" s="6" t="s">
        <v>265</v>
      </c>
      <c r="AG33" s="6" t="s">
        <v>266</v>
      </c>
      <c r="AH33" s="6" t="s">
        <v>267</v>
      </c>
    </row>
    <row r="34" spans="1:34" x14ac:dyDescent="0.45">
      <c r="A34" t="str">
        <f>INDEX(PT_Name,1)</f>
        <v>DRI-EAF steel</v>
      </c>
      <c r="B34">
        <f>INDEX(PT_Q0,1)</f>
        <v>5100</v>
      </c>
      <c r="C34">
        <f>INDEX(PT_Growth,1)</f>
        <v>4.3999999999999997E-2</v>
      </c>
      <c r="D34">
        <f>INDEX(PT_X,1)</f>
        <v>580</v>
      </c>
      <c r="E34">
        <f>INDEX(PT_P,1)</f>
        <v>750</v>
      </c>
      <c r="F34">
        <f>INDEX(PT_FuelFac,1)</f>
        <v>0.57099076999999998</v>
      </c>
      <c r="G34">
        <f>INDEX(PT_ProcFac,1)</f>
        <v>3.7901020000000001E-2</v>
      </c>
      <c r="H34">
        <f>-LN(1-INDEX(PT_ER,1))/PStar</f>
        <v>3.4469507031574592E-3</v>
      </c>
      <c r="I34">
        <f t="shared" ref="I34:I41" si="56">B34*(1+C34)^(Yr-BaseYr)</f>
        <v>6603.4845807876563</v>
      </c>
      <c r="J34">
        <f t="shared" ref="J34:J41" si="57">Tau*F34</f>
        <v>11.419815399999999</v>
      </c>
      <c r="K34">
        <f t="shared" ref="K34:K41" si="58">$H$32*G34</f>
        <v>0.75802040000000004</v>
      </c>
      <c r="L34">
        <f t="shared" ref="L34:L41" si="59">MIN($J$32,Tau)*F34+MIN($J$32,$H$32)*G34</f>
        <v>0</v>
      </c>
      <c r="M34">
        <f t="shared" ref="M34:M41" si="60">(J34+K34-L34)/E34</f>
        <v>1.6237114399999999E-2</v>
      </c>
      <c r="N34">
        <f t="shared" ref="N34:N41" si="61">I34*(1+M34)^EpsQ</f>
        <v>6550.5179664754805</v>
      </c>
      <c r="O34">
        <f t="shared" ref="O34:O41" si="62">N34*F34/1000</f>
        <v>3.7402852975766687</v>
      </c>
      <c r="P34">
        <f t="shared" ref="P34:P41" si="63">N34*G34/1000</f>
        <v>0.24827131245774653</v>
      </c>
      <c r="Q34">
        <f t="shared" ref="Q34:Q41" si="64">EXP(Bf*(Tau+$L$32))</f>
        <v>0.9049967581452536</v>
      </c>
      <c r="R34">
        <f t="shared" ref="R34:R41" si="65">O34*(Q34-1)</f>
        <v>-0.35533922873142837</v>
      </c>
      <c r="S34">
        <f t="shared" ref="S34:S41" si="66">-P34*(1-EXP(-H34*($H$32+$L$32)))</f>
        <v>-3.1976116656347961E-2</v>
      </c>
      <c r="T34">
        <f t="shared" ref="T34:T41" si="67">O34+R34+P34+S34</f>
        <v>3.6012412646466392</v>
      </c>
      <c r="U34">
        <f t="shared" ref="U34:U41" si="68">(O34+P34)*(1-(1+M34)^(-EpsQ))</f>
        <v>-3.2250936598780235E-2</v>
      </c>
      <c r="V34">
        <f t="shared" ref="V34:V41" si="69">P34*(1-(1+M34)^(-EpsQ))</f>
        <v>-2.0074887083780545E-3</v>
      </c>
      <c r="W34">
        <f t="shared" ref="W34:W41" si="70">(O34+R34)*Tau</f>
        <v>67.698921376904806</v>
      </c>
      <c r="X34">
        <f t="shared" ref="X34:X41" si="71">(P34*(G34&gt;0)+S34)*$H$32</f>
        <v>4.3259039160279711</v>
      </c>
      <c r="Y34">
        <f t="shared" ref="Y34:Y41" si="72">L34*N34/1000</f>
        <v>0</v>
      </c>
      <c r="Z34">
        <f t="shared" ref="Z34:Z41" si="73">IF(N34&gt;0,1000*T34/N34,0)</f>
        <v>0.54976435193021755</v>
      </c>
      <c r="AA34">
        <f t="shared" ref="AA34:AA41" si="74">IF(N34&gt;0,1000*(W34+X34)/N34-L34,0)</f>
        <v>10.995287038604349</v>
      </c>
      <c r="AB34">
        <f t="shared" ref="AB34:AB41" si="75">MAX(0,CBF*PEU*Z34-Ssel*MAX(0,AA34))</f>
        <v>43.981148154417411</v>
      </c>
      <c r="AC34">
        <f t="shared" ref="AC34:AC41" si="76">I34*(F34+G34)/1000</f>
        <v>4.0208075466331952</v>
      </c>
      <c r="AD34">
        <f t="shared" ref="AD34:AD41" si="77">I34*F34/1000</f>
        <v>3.7705287454670713</v>
      </c>
      <c r="AE34">
        <f t="shared" ref="AE34:AE41" si="78">I34*G34/1000</f>
        <v>0.25027880116612461</v>
      </c>
      <c r="AF34">
        <f t="shared" ref="AF34:AF41" si="79">D34*AB34</f>
        <v>25509.065929562097</v>
      </c>
      <c r="AG34">
        <f t="shared" ref="AG34:AG41" si="80">D34*CBF*PEU*(F34+G34)</f>
        <v>35315.723819999999</v>
      </c>
      <c r="AH34">
        <f t="shared" ref="AH34:AH41" si="81">O34+P34*(G34&gt;0)*$B$32</f>
        <v>3.9885566100344154</v>
      </c>
    </row>
    <row r="35" spans="1:34" x14ac:dyDescent="0.45">
      <c r="A35" t="str">
        <f>INDEX(PT_Name,2)</f>
        <v>Scrap-EAF steel</v>
      </c>
      <c r="B35">
        <f>INDEX(PT_Q0,2)</f>
        <v>4800</v>
      </c>
      <c r="C35">
        <f>INDEX(PT_Growth,2)</f>
        <v>4.3999999999999997E-2</v>
      </c>
      <c r="D35">
        <f>INDEX(PT_X,2)</f>
        <v>300</v>
      </c>
      <c r="E35">
        <f>INDEX(PT_P,2)</f>
        <v>680</v>
      </c>
      <c r="F35">
        <f>INDEX(PT_FuelFac,2)</f>
        <v>4.4880000000000003E-2</v>
      </c>
      <c r="G35">
        <f>INDEX(PT_ProcFac,2)</f>
        <v>4.3981149999999997E-2</v>
      </c>
      <c r="H35">
        <f>-LN(1-INDEX(PT_ER,2))/PStar</f>
        <v>1.6366491404021942E-3</v>
      </c>
      <c r="I35">
        <f t="shared" si="56"/>
        <v>6215.0443113295587</v>
      </c>
      <c r="J35">
        <f t="shared" si="57"/>
        <v>0.89760000000000006</v>
      </c>
      <c r="K35">
        <f t="shared" si="58"/>
        <v>0.87962299999999993</v>
      </c>
      <c r="L35">
        <f t="shared" si="59"/>
        <v>0</v>
      </c>
      <c r="M35">
        <f t="shared" si="60"/>
        <v>2.6135632352941177E-3</v>
      </c>
      <c r="N35">
        <f t="shared" si="61"/>
        <v>6206.938491020097</v>
      </c>
      <c r="O35">
        <f t="shared" si="62"/>
        <v>0.27856739947698195</v>
      </c>
      <c r="P35">
        <f t="shared" si="63"/>
        <v>0.27298829281432851</v>
      </c>
      <c r="Q35">
        <f t="shared" si="64"/>
        <v>0.9049967581452536</v>
      </c>
      <c r="R35">
        <f t="shared" si="65"/>
        <v>-2.6464806025359472E-2</v>
      </c>
      <c r="S35">
        <f t="shared" si="66"/>
        <v>-1.7299015908963603E-2</v>
      </c>
      <c r="T35">
        <f t="shared" si="67"/>
        <v>0.50779187035698725</v>
      </c>
      <c r="U35">
        <f t="shared" si="68"/>
        <v>-7.2029251439214073E-4</v>
      </c>
      <c r="V35">
        <f t="shared" si="69"/>
        <v>-3.5650329890349043E-4</v>
      </c>
      <c r="W35">
        <f t="shared" si="70"/>
        <v>5.0420518690324485</v>
      </c>
      <c r="X35">
        <f t="shared" si="71"/>
        <v>5.1137855381072983</v>
      </c>
      <c r="Y35">
        <f t="shared" si="72"/>
        <v>0</v>
      </c>
      <c r="Z35">
        <f t="shared" si="73"/>
        <v>8.1810359663082907E-2</v>
      </c>
      <c r="AA35">
        <f t="shared" si="74"/>
        <v>1.6362071932616584</v>
      </c>
      <c r="AB35">
        <f t="shared" si="75"/>
        <v>6.5448287730466319</v>
      </c>
      <c r="AC35">
        <f t="shared" si="76"/>
        <v>0.55227598480570261</v>
      </c>
      <c r="AD35">
        <f t="shared" si="77"/>
        <v>0.27893118869247063</v>
      </c>
      <c r="AE35">
        <f t="shared" si="78"/>
        <v>0.27334479611323198</v>
      </c>
      <c r="AF35">
        <f t="shared" si="79"/>
        <v>1963.4486319139896</v>
      </c>
      <c r="AG35">
        <f t="shared" si="80"/>
        <v>2665.8344999999999</v>
      </c>
      <c r="AH35">
        <f t="shared" si="81"/>
        <v>0.55155569229131052</v>
      </c>
    </row>
    <row r="36" spans="1:34" x14ac:dyDescent="0.45">
      <c r="A36" t="str">
        <f>INDEX(PT_Name,3)</f>
        <v>BF-BOF steel</v>
      </c>
      <c r="B36">
        <f>INDEX(PT_Q0,3)</f>
        <v>0</v>
      </c>
      <c r="C36">
        <f>INDEX(PT_Growth,3)</f>
        <v>0</v>
      </c>
      <c r="D36">
        <f>INDEX(PT_X,3)</f>
        <v>0</v>
      </c>
      <c r="E36">
        <f>INDEX(PT_P,3)</f>
        <v>620</v>
      </c>
      <c r="F36">
        <f>INDEX(PT_FuelFac,3)</f>
        <v>1.42498027</v>
      </c>
      <c r="G36">
        <f>INDEX(PT_ProcFac,3)</f>
        <v>5.276542E-2</v>
      </c>
      <c r="H36">
        <f>-LN(1-INDEX(PT_ER,3))/PStar</f>
        <v>2.6960722989211347E-3</v>
      </c>
      <c r="I36">
        <f t="shared" si="56"/>
        <v>0</v>
      </c>
      <c r="J36">
        <f t="shared" si="57"/>
        <v>28.4996054</v>
      </c>
      <c r="K36">
        <f t="shared" si="58"/>
        <v>1.0553083999999999</v>
      </c>
      <c r="L36">
        <f t="shared" si="59"/>
        <v>0</v>
      </c>
      <c r="M36">
        <f t="shared" si="60"/>
        <v>4.7669215806451615E-2</v>
      </c>
      <c r="N36">
        <f t="shared" si="61"/>
        <v>0</v>
      </c>
      <c r="O36">
        <f t="shared" si="62"/>
        <v>0</v>
      </c>
      <c r="P36">
        <f t="shared" si="63"/>
        <v>0</v>
      </c>
      <c r="Q36">
        <f t="shared" si="64"/>
        <v>0.9049967581452536</v>
      </c>
      <c r="R36">
        <f t="shared" si="65"/>
        <v>0</v>
      </c>
      <c r="S36">
        <f t="shared" si="66"/>
        <v>0</v>
      </c>
      <c r="T36">
        <f t="shared" si="67"/>
        <v>0</v>
      </c>
      <c r="U36">
        <f t="shared" si="68"/>
        <v>0</v>
      </c>
      <c r="V36">
        <f t="shared" si="69"/>
        <v>0</v>
      </c>
      <c r="W36">
        <f t="shared" si="70"/>
        <v>0</v>
      </c>
      <c r="X36">
        <f t="shared" si="71"/>
        <v>0</v>
      </c>
      <c r="Y36">
        <f t="shared" si="72"/>
        <v>0</v>
      </c>
      <c r="Z36">
        <f t="shared" si="73"/>
        <v>0</v>
      </c>
      <c r="AA36">
        <f t="shared" si="74"/>
        <v>0</v>
      </c>
      <c r="AB36">
        <f t="shared" si="75"/>
        <v>0</v>
      </c>
      <c r="AC36">
        <f t="shared" si="76"/>
        <v>0</v>
      </c>
      <c r="AD36">
        <f t="shared" si="77"/>
        <v>0</v>
      </c>
      <c r="AE36">
        <f t="shared" si="78"/>
        <v>0</v>
      </c>
      <c r="AF36">
        <f t="shared" si="79"/>
        <v>0</v>
      </c>
      <c r="AG36">
        <f t="shared" si="80"/>
        <v>0</v>
      </c>
      <c r="AH36">
        <f t="shared" si="81"/>
        <v>0</v>
      </c>
    </row>
    <row r="37" spans="1:34" x14ac:dyDescent="0.45">
      <c r="A37" t="str">
        <f>INDEX(PT_Name,4)</f>
        <v>Clinker</v>
      </c>
      <c r="B37">
        <f>INDEX(PT_Q0,4)</f>
        <v>50000</v>
      </c>
      <c r="C37">
        <f>INDEX(PT_Growth,4)</f>
        <v>3.3000000000000002E-2</v>
      </c>
      <c r="D37">
        <f>INDEX(PT_X,4)</f>
        <v>800</v>
      </c>
      <c r="E37">
        <f>INDEX(PT_P,4)</f>
        <v>110</v>
      </c>
      <c r="F37">
        <f>INDEX(PT_FuelFac,4)</f>
        <v>0.31356850000000003</v>
      </c>
      <c r="G37">
        <f>INDEX(PT_ProcFac,4)</f>
        <v>0.53702616000000003</v>
      </c>
      <c r="H37">
        <f>-LN(1-INDEX(PT_ER,4))/PStar</f>
        <v>3.3464675036139224E-3</v>
      </c>
      <c r="I37">
        <f t="shared" si="56"/>
        <v>60753.588245941261</v>
      </c>
      <c r="J37">
        <f t="shared" si="57"/>
        <v>6.271370000000001</v>
      </c>
      <c r="K37">
        <f t="shared" si="58"/>
        <v>10.7405232</v>
      </c>
      <c r="L37">
        <f t="shared" si="59"/>
        <v>0</v>
      </c>
      <c r="M37">
        <f t="shared" si="60"/>
        <v>0.15465357454545456</v>
      </c>
      <c r="N37">
        <f t="shared" si="61"/>
        <v>56538.734209364455</v>
      </c>
      <c r="O37">
        <f t="shared" si="62"/>
        <v>17.728766077929102</v>
      </c>
      <c r="P37">
        <f t="shared" si="63"/>
        <v>30.362779323715628</v>
      </c>
      <c r="Q37">
        <f t="shared" si="64"/>
        <v>0.9049967581452536</v>
      </c>
      <c r="R37">
        <f t="shared" si="65"/>
        <v>-1.6842902514877223</v>
      </c>
      <c r="S37">
        <f t="shared" si="66"/>
        <v>-3.8040417127839574</v>
      </c>
      <c r="T37">
        <f t="shared" si="67"/>
        <v>42.60321343737305</v>
      </c>
      <c r="U37">
        <f t="shared" si="68"/>
        <v>-3.5851323361916778</v>
      </c>
      <c r="V37">
        <f t="shared" si="69"/>
        <v>-2.2634868782233428</v>
      </c>
      <c r="W37">
        <f t="shared" si="70"/>
        <v>320.88951652882758</v>
      </c>
      <c r="X37">
        <f t="shared" si="71"/>
        <v>531.17475221863344</v>
      </c>
      <c r="Y37">
        <f t="shared" si="72"/>
        <v>0</v>
      </c>
      <c r="Z37">
        <f t="shared" si="73"/>
        <v>0.75352259001080935</v>
      </c>
      <c r="AA37">
        <f t="shared" si="74"/>
        <v>15.070451800216187</v>
      </c>
      <c r="AB37">
        <f t="shared" si="75"/>
        <v>60.281807200864748</v>
      </c>
      <c r="AC37">
        <f t="shared" si="76"/>
        <v>51.676677737836407</v>
      </c>
      <c r="AD37">
        <f t="shared" si="77"/>
        <v>19.050411535897435</v>
      </c>
      <c r="AE37">
        <f t="shared" si="78"/>
        <v>32.626266201938975</v>
      </c>
      <c r="AF37">
        <f t="shared" si="79"/>
        <v>48225.4457606918</v>
      </c>
      <c r="AG37">
        <f t="shared" si="80"/>
        <v>68047.572800000009</v>
      </c>
      <c r="AH37">
        <f t="shared" si="81"/>
        <v>48.09154540164473</v>
      </c>
    </row>
    <row r="38" spans="1:34" x14ac:dyDescent="0.45">
      <c r="A38" t="str">
        <f>INDEX(PT_Name,5)</f>
        <v>Ammonia</v>
      </c>
      <c r="B38">
        <f>INDEX(PT_Q0,5)</f>
        <v>1785</v>
      </c>
      <c r="C38">
        <f>INDEX(PT_Growth,5)</f>
        <v>2.1999999999999999E-2</v>
      </c>
      <c r="D38">
        <f>INDEX(PT_X,5)</f>
        <v>120</v>
      </c>
      <c r="E38">
        <f>INDEX(PT_P,5)</f>
        <v>450</v>
      </c>
      <c r="F38">
        <f>INDEX(PT_FuelFac,5)</f>
        <v>1.97472</v>
      </c>
      <c r="G38">
        <f>INDEX(PT_ProcFac,5)</f>
        <v>0</v>
      </c>
      <c r="H38">
        <f>-LN(1-INDEX(PT_ER,5))/PStar</f>
        <v>2.8931765504132002E-3</v>
      </c>
      <c r="I38">
        <f t="shared" si="56"/>
        <v>2033.9655612021818</v>
      </c>
      <c r="J38">
        <f t="shared" si="57"/>
        <v>39.494399999999999</v>
      </c>
      <c r="K38">
        <f t="shared" si="58"/>
        <v>0</v>
      </c>
      <c r="L38">
        <f t="shared" si="59"/>
        <v>0</v>
      </c>
      <c r="M38">
        <f t="shared" si="60"/>
        <v>8.7765333333333334E-2</v>
      </c>
      <c r="N38">
        <f t="shared" si="61"/>
        <v>1950.1857929500425</v>
      </c>
      <c r="O38">
        <f t="shared" si="62"/>
        <v>3.8510708890543079</v>
      </c>
      <c r="P38">
        <f t="shared" si="63"/>
        <v>0</v>
      </c>
      <c r="Q38">
        <f t="shared" si="64"/>
        <v>0.9049967581452536</v>
      </c>
      <c r="R38">
        <f t="shared" si="65"/>
        <v>-0.36586421907259964</v>
      </c>
      <c r="S38">
        <f t="shared" si="66"/>
        <v>0</v>
      </c>
      <c r="T38">
        <f t="shared" si="67"/>
        <v>3.4852066699817081</v>
      </c>
      <c r="U38">
        <f t="shared" si="68"/>
        <v>-0.1654415839628644</v>
      </c>
      <c r="V38">
        <f t="shared" si="69"/>
        <v>0</v>
      </c>
      <c r="W38">
        <f t="shared" si="70"/>
        <v>69.704133399634159</v>
      </c>
      <c r="X38">
        <f t="shared" si="71"/>
        <v>0</v>
      </c>
      <c r="Y38">
        <f t="shared" si="72"/>
        <v>0</v>
      </c>
      <c r="Z38">
        <f t="shared" si="73"/>
        <v>1.7871151982445952</v>
      </c>
      <c r="AA38">
        <f t="shared" si="74"/>
        <v>35.742303964891903</v>
      </c>
      <c r="AB38">
        <f t="shared" si="75"/>
        <v>142.96921585956761</v>
      </c>
      <c r="AC38">
        <f t="shared" si="76"/>
        <v>4.0165124730171726</v>
      </c>
      <c r="AD38">
        <f t="shared" si="77"/>
        <v>4.0165124730171726</v>
      </c>
      <c r="AE38">
        <f t="shared" si="78"/>
        <v>0</v>
      </c>
      <c r="AF38">
        <f t="shared" si="79"/>
        <v>17156.305903148113</v>
      </c>
      <c r="AG38">
        <f t="shared" si="80"/>
        <v>23696.639999999999</v>
      </c>
      <c r="AH38">
        <f t="shared" si="81"/>
        <v>3.8510708890543079</v>
      </c>
    </row>
    <row r="39" spans="1:34" x14ac:dyDescent="0.45">
      <c r="A39" t="str">
        <f>INDEX(PT_Name,6)</f>
        <v>Urea</v>
      </c>
      <c r="B39">
        <f>INDEX(PT_Q0,6)</f>
        <v>2800</v>
      </c>
      <c r="C39">
        <f>INDEX(PT_Growth,6)</f>
        <v>2.1999999999999999E-2</v>
      </c>
      <c r="D39">
        <f>INDEX(PT_X,6)</f>
        <v>1600</v>
      </c>
      <c r="E39">
        <f>INDEX(PT_P,6)</f>
        <v>380</v>
      </c>
      <c r="F39">
        <f>INDEX(PT_FuelFac,6)</f>
        <v>0.11219999999999999</v>
      </c>
      <c r="G39">
        <f>INDEX(PT_ProcFac,6)</f>
        <v>0</v>
      </c>
      <c r="H39">
        <f>-LN(1-INDEX(PT_ER,6))/PStar</f>
        <v>1.008786865491756E-3</v>
      </c>
      <c r="I39">
        <f t="shared" si="56"/>
        <v>3190.534213650481</v>
      </c>
      <c r="J39">
        <f t="shared" si="57"/>
        <v>2.2439999999999998</v>
      </c>
      <c r="K39">
        <f t="shared" si="58"/>
        <v>0</v>
      </c>
      <c r="L39">
        <f t="shared" si="59"/>
        <v>0</v>
      </c>
      <c r="M39">
        <f t="shared" si="60"/>
        <v>5.9052631578947364E-3</v>
      </c>
      <c r="N39">
        <f t="shared" si="61"/>
        <v>3181.1552600878722</v>
      </c>
      <c r="O39">
        <f t="shared" si="62"/>
        <v>0.35692562018185925</v>
      </c>
      <c r="P39">
        <f t="shared" si="63"/>
        <v>0</v>
      </c>
      <c r="Q39">
        <f t="shared" si="64"/>
        <v>0.9049967581452536</v>
      </c>
      <c r="R39">
        <f t="shared" si="65"/>
        <v>-3.390909101829253E-2</v>
      </c>
      <c r="S39">
        <f t="shared" si="66"/>
        <v>0</v>
      </c>
      <c r="T39">
        <f t="shared" si="67"/>
        <v>0.32301652916356671</v>
      </c>
      <c r="U39">
        <f t="shared" si="68"/>
        <v>-1.0523185897247432E-3</v>
      </c>
      <c r="V39">
        <f t="shared" si="69"/>
        <v>0</v>
      </c>
      <c r="W39">
        <f t="shared" si="70"/>
        <v>6.4603305832713342</v>
      </c>
      <c r="X39">
        <f t="shared" si="71"/>
        <v>0</v>
      </c>
      <c r="Y39">
        <f t="shared" si="72"/>
        <v>0</v>
      </c>
      <c r="Z39">
        <f t="shared" si="73"/>
        <v>0.10154063626389745</v>
      </c>
      <c r="AA39">
        <f t="shared" si="74"/>
        <v>2.0308127252779489</v>
      </c>
      <c r="AB39">
        <f t="shared" si="75"/>
        <v>8.1232509011117955</v>
      </c>
      <c r="AC39">
        <f t="shared" si="76"/>
        <v>0.3579779387715839</v>
      </c>
      <c r="AD39">
        <f t="shared" si="77"/>
        <v>0.3579779387715839</v>
      </c>
      <c r="AE39">
        <f t="shared" si="78"/>
        <v>0</v>
      </c>
      <c r="AF39">
        <f t="shared" si="79"/>
        <v>12997.201441778872</v>
      </c>
      <c r="AG39">
        <f t="shared" si="80"/>
        <v>17952</v>
      </c>
      <c r="AH39">
        <f t="shared" si="81"/>
        <v>0.35692562018185925</v>
      </c>
    </row>
    <row r="40" spans="1:34" x14ac:dyDescent="0.45">
      <c r="A40" t="str">
        <f>INDEX(PT_Name,7)</f>
        <v>Ammonium nitrate</v>
      </c>
      <c r="B40">
        <f>INDEX(PT_Q0,7)</f>
        <v>600</v>
      </c>
      <c r="C40">
        <f>INDEX(PT_Growth,7)</f>
        <v>2.1999999999999999E-2</v>
      </c>
      <c r="D40">
        <f>INDEX(PT_X,7)</f>
        <v>80</v>
      </c>
      <c r="E40">
        <f>INDEX(PT_P,7)</f>
        <v>320</v>
      </c>
      <c r="F40">
        <f>INDEX(PT_FuelFac,7)</f>
        <v>0.11219999999999999</v>
      </c>
      <c r="G40">
        <f>INDEX(PT_ProcFac,7)</f>
        <v>0.99441250000000003</v>
      </c>
      <c r="H40">
        <f>-LN(1-INDEX(PT_ER,7))/PStar</f>
        <v>7.8858436436826454E-3</v>
      </c>
      <c r="I40">
        <f t="shared" si="56"/>
        <v>683.68590292510305</v>
      </c>
      <c r="J40">
        <f t="shared" si="57"/>
        <v>2.2439999999999998</v>
      </c>
      <c r="K40">
        <f t="shared" si="58"/>
        <v>19.888249999999999</v>
      </c>
      <c r="L40">
        <f t="shared" si="59"/>
        <v>0</v>
      </c>
      <c r="M40">
        <f t="shared" si="60"/>
        <v>6.916328125E-2</v>
      </c>
      <c r="N40">
        <f t="shared" si="61"/>
        <v>661.20268364732067</v>
      </c>
      <c r="O40">
        <f t="shared" si="62"/>
        <v>7.4186941105229373E-2</v>
      </c>
      <c r="P40">
        <f t="shared" si="63"/>
        <v>0.65750821365244128</v>
      </c>
      <c r="Q40">
        <f t="shared" si="64"/>
        <v>0.9049967581452536</v>
      </c>
      <c r="R40">
        <f t="shared" si="65"/>
        <v>-7.0479999082839334E-3</v>
      </c>
      <c r="S40">
        <f t="shared" si="66"/>
        <v>-0.17787411896179628</v>
      </c>
      <c r="T40">
        <f t="shared" si="67"/>
        <v>0.54677303588759041</v>
      </c>
      <c r="U40">
        <f t="shared" si="68"/>
        <v>-2.4880211493034925E-2</v>
      </c>
      <c r="V40">
        <f t="shared" si="69"/>
        <v>-2.2357594290067746E-2</v>
      </c>
      <c r="W40">
        <f t="shared" si="70"/>
        <v>1.3427788239389087</v>
      </c>
      <c r="X40">
        <f t="shared" si="71"/>
        <v>9.5926818938128999</v>
      </c>
      <c r="Y40">
        <f t="shared" si="72"/>
        <v>0</v>
      </c>
      <c r="Z40">
        <f t="shared" si="73"/>
        <v>0.82693710931644371</v>
      </c>
      <c r="AA40">
        <f t="shared" si="74"/>
        <v>16.538742186328875</v>
      </c>
      <c r="AB40">
        <f t="shared" si="75"/>
        <v>66.1549687453155</v>
      </c>
      <c r="AC40">
        <f t="shared" si="76"/>
        <v>0.75657536625070554</v>
      </c>
      <c r="AD40">
        <f t="shared" si="77"/>
        <v>7.6709558308196563E-2</v>
      </c>
      <c r="AE40">
        <f t="shared" si="78"/>
        <v>0.67986580794250906</v>
      </c>
      <c r="AF40">
        <f t="shared" si="79"/>
        <v>5292.39749962524</v>
      </c>
      <c r="AG40">
        <f t="shared" si="80"/>
        <v>8852.9</v>
      </c>
      <c r="AH40">
        <f t="shared" si="81"/>
        <v>0.73169515475767066</v>
      </c>
    </row>
    <row r="41" spans="1:34" x14ac:dyDescent="0.45">
      <c r="A41" t="str">
        <f>INDEX(PT_Name,8)</f>
        <v>Aluminium</v>
      </c>
      <c r="B41">
        <f>INDEX(PT_Q0,8)</f>
        <v>300</v>
      </c>
      <c r="C41">
        <f>INDEX(PT_Growth,8)</f>
        <v>5.5E-2</v>
      </c>
      <c r="D41">
        <f>INDEX(PT_X,8)</f>
        <v>167</v>
      </c>
      <c r="E41">
        <f>INDEX(PT_P,8)</f>
        <v>2400</v>
      </c>
      <c r="F41">
        <f>INDEX(PT_FuelFac,8)</f>
        <v>0.12342</v>
      </c>
      <c r="G41">
        <f>INDEX(PT_ProcFac,8)</f>
        <v>2.3974930400000001</v>
      </c>
      <c r="H41">
        <f>-LN(1-INDEX(PT_ER,8))/PStar</f>
        <v>1.9988245320635362E-3</v>
      </c>
      <c r="I41">
        <f t="shared" si="56"/>
        <v>413.65284202856708</v>
      </c>
      <c r="J41">
        <f t="shared" si="57"/>
        <v>2.4683999999999999</v>
      </c>
      <c r="K41">
        <f t="shared" si="58"/>
        <v>47.949860800000003</v>
      </c>
      <c r="L41">
        <f t="shared" si="59"/>
        <v>0</v>
      </c>
      <c r="M41">
        <f t="shared" si="60"/>
        <v>2.100760866666667E-2</v>
      </c>
      <c r="N41">
        <f t="shared" si="61"/>
        <v>409.37519411418629</v>
      </c>
      <c r="O41">
        <f t="shared" si="62"/>
        <v>5.0525086457572872E-2</v>
      </c>
      <c r="P41">
        <f t="shared" si="63"/>
        <v>0.98147417863741071</v>
      </c>
      <c r="Q41">
        <f t="shared" si="64"/>
        <v>0.9049967581452536</v>
      </c>
      <c r="R41">
        <f t="shared" si="65"/>
        <v>-4.8000470084607677E-3</v>
      </c>
      <c r="S41">
        <f t="shared" si="66"/>
        <v>-7.5416720122698691E-2</v>
      </c>
      <c r="T41">
        <f t="shared" si="67"/>
        <v>0.95178249796382408</v>
      </c>
      <c r="U41">
        <f t="shared" si="68"/>
        <v>-1.0783578407891388E-2</v>
      </c>
      <c r="V41">
        <f t="shared" si="69"/>
        <v>-1.0255631102298508E-2</v>
      </c>
      <c r="W41">
        <f t="shared" si="70"/>
        <v>0.91450078898224207</v>
      </c>
      <c r="X41">
        <f t="shared" si="71"/>
        <v>18.121149170294238</v>
      </c>
      <c r="Y41">
        <f t="shared" si="72"/>
        <v>0</v>
      </c>
      <c r="Z41">
        <f t="shared" si="73"/>
        <v>2.3249637780894585</v>
      </c>
      <c r="AA41">
        <f t="shared" si="74"/>
        <v>46.499275561789176</v>
      </c>
      <c r="AB41">
        <f t="shared" si="75"/>
        <v>185.99710224715668</v>
      </c>
      <c r="AC41">
        <f t="shared" si="76"/>
        <v>1.0427828435028748</v>
      </c>
      <c r="AD41">
        <f t="shared" si="77"/>
        <v>5.105303376316575E-2</v>
      </c>
      <c r="AE41">
        <f t="shared" si="78"/>
        <v>0.99172980973970914</v>
      </c>
      <c r="AF41">
        <f t="shared" si="79"/>
        <v>31061.516075275165</v>
      </c>
      <c r="AG41">
        <f t="shared" si="80"/>
        <v>42099.247768000001</v>
      </c>
      <c r="AH41">
        <f t="shared" si="81"/>
        <v>1.0319992650949836</v>
      </c>
    </row>
    <row r="42" spans="1:34" x14ac:dyDescent="0.45">
      <c r="A42" s="6" t="s">
        <v>268</v>
      </c>
      <c r="I42" s="6">
        <f>SUM(I34:I41)</f>
        <v>79893.955657864804</v>
      </c>
      <c r="N42" s="6">
        <f>SUM(N34:N41)</f>
        <v>75498.109597659452</v>
      </c>
      <c r="O42" s="6">
        <f>SUM(O34:O41)</f>
        <v>26.080327311781723</v>
      </c>
      <c r="P42" s="6">
        <f>SUM(P34:P41)</f>
        <v>32.523021321277554</v>
      </c>
      <c r="R42" s="6">
        <f t="shared" ref="R42:Y42" si="82">SUM(R34:R41)</f>
        <v>-2.4777156432521465</v>
      </c>
      <c r="S42" s="6">
        <f t="shared" si="82"/>
        <v>-4.1066076844337642</v>
      </c>
      <c r="T42" s="6">
        <f t="shared" si="82"/>
        <v>52.019025305373368</v>
      </c>
      <c r="U42" s="6">
        <f t="shared" si="82"/>
        <v>-3.8202612577583657</v>
      </c>
      <c r="V42" s="6">
        <f t="shared" si="82"/>
        <v>-2.2984640956229905</v>
      </c>
      <c r="W42" s="6">
        <f t="shared" si="82"/>
        <v>472.05223337059147</v>
      </c>
      <c r="X42" s="6">
        <f t="shared" si="82"/>
        <v>568.32827273687587</v>
      </c>
      <c r="Y42" s="6">
        <f t="shared" si="82"/>
        <v>0</v>
      </c>
      <c r="AC42" s="6">
        <f t="shared" ref="AC42:AH42" si="83">SUM(AC34:AC41)</f>
        <v>62.423609890817644</v>
      </c>
      <c r="AD42" s="6">
        <f t="shared" si="83"/>
        <v>27.602124473917094</v>
      </c>
      <c r="AE42" s="6">
        <f t="shared" si="83"/>
        <v>34.821485416900551</v>
      </c>
      <c r="AF42" s="6">
        <f t="shared" si="83"/>
        <v>142205.38124199526</v>
      </c>
      <c r="AG42" s="6">
        <f t="shared" si="83"/>
        <v>198629.91888799999</v>
      </c>
      <c r="AH42" s="6">
        <f t="shared" si="83"/>
        <v>58.603348633059277</v>
      </c>
    </row>
  </sheetData>
  <pageMargins left="0.75" right="0.75" top="1" bottom="1" header="0.5" footer="0.5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48</vt:i4>
      </vt:variant>
    </vt:vector>
  </HeadingPairs>
  <TitlesOfParts>
    <vt:vector size="51" baseType="lpstr">
      <vt:lpstr>Example</vt:lpstr>
      <vt:lpstr>Inputs</vt:lpstr>
      <vt:lpstr>Block</vt:lpstr>
      <vt:lpstr>BaseYr</vt:lpstr>
      <vt:lpstr>Bf</vt:lpstr>
      <vt:lpstr>CBF</vt:lpstr>
      <vt:lpstr>CPT_EG1</vt:lpstr>
      <vt:lpstr>CPT_EG3</vt:lpstr>
      <vt:lpstr>DEATHS_EG1</vt:lpstr>
      <vt:lpstr>DEATHS_EG3</vt:lpstr>
      <vt:lpstr>DREV_EG1</vt:lpstr>
      <vt:lpstr>DREV_EG3</vt:lpstr>
      <vt:lpstr>EFFCPT_EG1</vt:lpstr>
      <vt:lpstr>EFFCPT_EG3</vt:lpstr>
      <vt:lpstr>ENR0_EG1</vt:lpstr>
      <vt:lpstr>ENR0_EG3</vt:lpstr>
      <vt:lpstr>ENR1_EG1</vt:lpstr>
      <vt:lpstr>ENR1_EG3</vt:lpstr>
      <vt:lpstr>EpsF</vt:lpstr>
      <vt:lpstr>EpsQ</vt:lpstr>
      <vt:lpstr>EpsU</vt:lpstr>
      <vt:lpstr>GHG0_EG1</vt:lpstr>
      <vt:lpstr>GHG0_EG3</vt:lpstr>
      <vt:lpstr>GHG1_EG1</vt:lpstr>
      <vt:lpstr>GHG1_EG3</vt:lpstr>
      <vt:lpstr>IND0_EG1</vt:lpstr>
      <vt:lpstr>IND0_EG3</vt:lpstr>
      <vt:lpstr>IND1_EG1</vt:lpstr>
      <vt:lpstr>IND1_EG3</vt:lpstr>
      <vt:lpstr>IPPU0_EG1</vt:lpstr>
      <vt:lpstr>IPPU0_EG3</vt:lpstr>
      <vt:lpstr>IPPU1_EG1</vt:lpstr>
      <vt:lpstr>IPPU1_EG3</vt:lpstr>
      <vt:lpstr>MORT_EG1</vt:lpstr>
      <vt:lpstr>MORT_EG3</vt:lpstr>
      <vt:lpstr>PEU</vt:lpstr>
      <vt:lpstr>PStar</vt:lpstr>
      <vt:lpstr>PT_ER</vt:lpstr>
      <vt:lpstr>PT_FuelFac</vt:lpstr>
      <vt:lpstr>PT_Growth</vt:lpstr>
      <vt:lpstr>PT_Name</vt:lpstr>
      <vt:lpstr>PT_P</vt:lpstr>
      <vt:lpstr>PT_ProcFac</vt:lpstr>
      <vt:lpstr>PT_Q0</vt:lpstr>
      <vt:lpstr>PT_X</vt:lpstr>
      <vt:lpstr>REVCTAX_EG1</vt:lpstr>
      <vt:lpstr>REVCTAX_EG3</vt:lpstr>
      <vt:lpstr>SigmaEff</vt:lpstr>
      <vt:lpstr>Ssel</vt:lpstr>
      <vt:lpstr>Tau</vt:lpstr>
      <vt:lpstr>Yr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Stephen John Stretton</cp:lastModifiedBy>
  <dcterms:created xsi:type="dcterms:W3CDTF">2026-10-02T23:52:16Z</dcterms:created>
  <dcterms:modified xsi:type="dcterms:W3CDTF">2026-10-02T23:52:24Z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2026-10-02T23:52:24Z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fb04c9b2-3179-4289-8fc6-d9d7ceb04a4b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