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it work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Try it" sheetId="3" state="visible" r:id="rId3"/>
    <sheet xmlns:r="http://schemas.openxmlformats.org/officeDocument/2006/relationships" name="Other parameter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sz val="8"/>
    </font>
    <font>
      <i val="1"/>
      <sz val="8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1" pivotButton="0" quotePrefix="0" xfId="0"/>
    <xf numFmtId="164" fontId="0" fillId="3" borderId="1" pivotButton="0" quotePrefix="0" xfId="0"/>
    <xf numFmtId="164" fontId="2" fillId="4" borderId="1" pivotButton="0" quotePrefix="0" xfId="0"/>
    <xf numFmtId="0" fontId="5" fillId="0" borderId="1" pivotButton="0" quotePrefix="0" xfId="0"/>
    <xf numFmtId="3" fontId="0" fillId="3" borderId="1" pivotButton="0" quotePrefix="0" xfId="0"/>
    <xf numFmtId="1" fontId="0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3" fillId="0" borderId="0" pivotButton="0" quotePrefix="0" xfId="0"/>
    <xf numFmtId="1" fontId="0" fillId="3" borderId="0" pivotButton="0" quotePrefix="0" xfId="0"/>
    <xf numFmtId="0" fontId="6" fillId="0" borderId="0" pivotButton="0" quotePrefix="0" xfId="0"/>
    <xf numFmtId="165" fontId="0" fillId="3" borderId="0" pivotButton="0" quotePrefix="0" xfId="0"/>
    <xf numFmtId="2" fontId="0" fillId="3" borderId="0" pivotButton="0" quotePrefix="0" xfId="0"/>
    <xf numFmtId="166" fontId="0" fillId="3" borderId="0" pivotButton="0" quotePrefix="0" xfId="0"/>
    <xf numFmtId="0" fontId="2" fillId="0" borderId="0" pivotButton="0" quotePrefix="0" xfId="0"/>
    <xf numFmtId="2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66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Egypt carbon price: how the numbers are made</t>
        </is>
      </c>
    </row>
    <row r="2">
      <c r="B2" s="2" t="inlineStr">
        <is>
          <t>Six ideas for putting a price on carbon in Egypt were tested. Everything is for the year 2030 at a price of USD 20 per tonne of CO₂.</t>
        </is>
      </c>
    </row>
    <row r="3">
      <c r="B3" s="2" t="inlineStr"/>
    </row>
    <row r="4">
      <c r="B4" s="3" t="inlineStr">
        <is>
          <t>1.  Start with the World Bank climate tool (called CPAT).</t>
        </is>
      </c>
    </row>
    <row r="5">
      <c r="B5" s="2" t="inlineStr">
        <is>
          <t xml:space="preserve">     It says how much Egypt's emissions fall when carbon gets a price.</t>
        </is>
      </c>
    </row>
    <row r="6">
      <c r="B6" s="3" t="inlineStr">
        <is>
          <t>2.  CPAT is weak on four industries: steel, cement, fertiliser and aluminium.</t>
        </is>
      </c>
    </row>
    <row r="7">
      <c r="B7" s="2" t="inlineStr">
        <is>
          <t xml:space="preserve">     These are the goods the EU taxes at its border (CBAM). So we remove CPAT's rough guess for them.</t>
        </is>
      </c>
    </row>
    <row r="8">
      <c r="B8" s="3" t="inlineStr">
        <is>
          <t>3.  We put in our own estimate for those four industries. It has three simple steps:</t>
        </is>
      </c>
    </row>
    <row r="9">
      <c r="B9" s="2" t="inlineStr">
        <is>
          <t xml:space="preserve">     a) The price makes the goods dearer, so a little less is made.</t>
        </is>
      </c>
    </row>
    <row r="10">
      <c r="B10" s="2" t="inlineStr">
        <is>
          <t xml:space="preserve">     b) Plants burn a little less fuel for each tonne they make.</t>
        </is>
      </c>
    </row>
    <row r="11">
      <c r="B11" s="2" t="inlineStr">
        <is>
          <t xml:space="preserve">     c) The chemistry of making the goods gives off a little less for each tonne.</t>
        </is>
      </c>
    </row>
    <row r="12">
      <c r="B12" s="3" t="inlineStr">
        <is>
          <t>4.  Add it up:  final cut = CPAT's cut − CPAT's guess for the four industries + our estimate.</t>
        </is>
      </c>
    </row>
    <row r="13">
      <c r="B13" s="2" t="inlineStr">
        <is>
          <t xml:space="preserve">     In scenario 3B the free allowances reach all industry, so one more small line is added back.</t>
        </is>
      </c>
    </row>
    <row r="14">
      <c r="B14" s="3" t="inlineStr">
        <is>
          <t>5.  The CBAM bill.</t>
        </is>
      </c>
    </row>
    <row r="15">
      <c r="B15" s="2" t="inlineStr">
        <is>
          <t xml:space="preserve">     The EU charges for the emissions inside each tonne of goods that Egypt sells to it.</t>
        </is>
      </c>
    </row>
    <row r="16">
      <c r="B16" s="2" t="inlineStr">
        <is>
          <t xml:space="preserve">     If the emissions in each tonne fall by 5%, the bill for each tonne falls by 5%. That is all.</t>
        </is>
      </c>
    </row>
    <row r="17">
      <c r="B17" s="2" t="inlineStr"/>
    </row>
    <row r="18">
      <c r="B18" s="2" t="inlineStr">
        <is>
          <t>Sheet 'Results' shows the six scenarios. Sheet 'Try it' lets you change the main numbers for one product and see what happens.</t>
        </is>
      </c>
    </row>
    <row r="19">
      <c r="B19" s="2" t="inlineStr">
        <is>
          <t>Yellow cells can be changed. Green cells are worked out for you. All other settings are hidden (right-click a sheet tab, then Unhide).</t>
        </is>
      </c>
    </row>
    <row r="20">
      <c r="B20" s="4" t="inlineStr">
        <is>
          <t>This is a simplified picture. The full method is in the methodology document.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5" t="inlineStr">
        <is>
          <t>Results for 2030 (carbon price USD 20 per tonne of CO₂)</t>
        </is>
      </c>
    </row>
    <row r="3">
      <c r="A3" s="6" t="inlineStr">
        <is>
          <t>Scenario</t>
        </is>
      </c>
      <c r="B3" s="6" t="inlineStr">
        <is>
          <t>1A</t>
        </is>
      </c>
      <c r="C3" s="6" t="inlineStr">
        <is>
          <t>2A</t>
        </is>
      </c>
      <c r="D3" s="6" t="inlineStr">
        <is>
          <t>2B</t>
        </is>
      </c>
      <c r="E3" s="6" t="inlineStr">
        <is>
          <t>3A</t>
        </is>
      </c>
      <c r="F3" s="6" t="inlineStr">
        <is>
          <t>3B</t>
        </is>
      </c>
      <c r="G3" s="6" t="inlineStr">
        <is>
          <t>3C</t>
        </is>
      </c>
    </row>
    <row r="4" ht="48" customHeight="1">
      <c r="A4" s="7" t="inlineStr">
        <is>
          <t>What it is</t>
        </is>
      </c>
      <c r="B4" s="8" t="inlineStr">
        <is>
          <t>Price on all energy + industry process</t>
        </is>
      </c>
      <c r="C4" s="8" t="inlineStr">
        <is>
          <t>Price on all energy</t>
        </is>
      </c>
      <c r="D4" s="8" t="inlineStr">
        <is>
          <t>Price on all energy, money to people</t>
        </is>
      </c>
      <c r="E4" s="8" t="inlineStr">
        <is>
          <t>Price on industry only</t>
        </is>
      </c>
      <c r="F4" s="8" t="inlineStr">
        <is>
          <t>Industry only + free allowances</t>
        </is>
      </c>
      <c r="G4" s="8" t="inlineStr">
        <is>
          <t>Industry only + clean-up fund</t>
        </is>
      </c>
    </row>
    <row r="5"/>
    <row r="6">
      <c r="A6" s="9" t="inlineStr">
        <is>
          <t>How much emissions fall (million tonnes of CO₂e)</t>
        </is>
      </c>
    </row>
    <row r="7">
      <c r="A7" s="7" t="inlineStr">
        <is>
          <t>CPAT's own cut (whole country)</t>
        </is>
      </c>
      <c r="B7" s="10" t="n">
        <v>-38.877</v>
      </c>
      <c r="C7" s="10" t="n">
        <v>-38.877</v>
      </c>
      <c r="D7" s="10" t="n">
        <v>-41.002</v>
      </c>
      <c r="E7" s="10" t="n">
        <v>-21.542</v>
      </c>
      <c r="F7" s="10" t="n">
        <v>-21.542</v>
      </c>
      <c r="G7" s="10" t="n">
        <v>-21.542</v>
      </c>
    </row>
    <row r="8">
      <c r="A8" s="7" t="inlineStr">
        <is>
          <t>Take out CPAT's guess for steel, cement, fertiliser, aluminium</t>
        </is>
      </c>
      <c r="B8" s="10" t="n">
        <v>8.7781</v>
      </c>
      <c r="C8" s="10" t="n">
        <v>8.7781</v>
      </c>
      <c r="D8" s="10" t="n">
        <v>9.224299999999999</v>
      </c>
      <c r="E8" s="10" t="n">
        <v>6.0665</v>
      </c>
      <c r="F8" s="10" t="n">
        <v>6.0665</v>
      </c>
      <c r="G8" s="10" t="n">
        <v>6.0665</v>
      </c>
    </row>
    <row r="9">
      <c r="A9" s="7" t="inlineStr">
        <is>
          <t>Put in our estimate for those four</t>
        </is>
      </c>
      <c r="B9" s="10" t="n">
        <v>-4.5615</v>
      </c>
      <c r="C9" s="10" t="n">
        <v>-1.8279</v>
      </c>
      <c r="D9" s="10" t="n">
        <v>-1.9008</v>
      </c>
      <c r="E9" s="10" t="n">
        <v>-4.5615</v>
      </c>
      <c r="F9" s="10" t="n">
        <v>-3.6649</v>
      </c>
      <c r="G9" s="10" t="n">
        <v>-15.3548</v>
      </c>
    </row>
    <row r="10">
      <c r="A10" s="7" t="inlineStr">
        <is>
          <t>3B only: free allowances reach all industry (adds back)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7.1643</v>
      </c>
      <c r="G10" s="10" t="n">
        <v>0</v>
      </c>
    </row>
    <row r="11">
      <c r="A11" s="9" t="inlineStr">
        <is>
          <t>Final cut</t>
        </is>
      </c>
      <c r="B11" s="11">
        <f>SUM(B7:B10)</f>
        <v/>
      </c>
      <c r="C11" s="11">
        <f>SUM(C7:C10)</f>
        <v/>
      </c>
      <c r="D11" s="11">
        <f>SUM(D7:D10)</f>
        <v/>
      </c>
      <c r="E11" s="11">
        <f>SUM(E7:E10)</f>
        <v/>
      </c>
      <c r="F11" s="11">
        <f>SUM(F7:F10)</f>
        <v/>
      </c>
      <c r="G11" s="11">
        <f>SUM(G7:G10)</f>
        <v/>
      </c>
    </row>
    <row r="12">
      <c r="A12" s="12" t="inlineStr">
        <is>
          <t>(Rows may not add exactly on screen because of rounding.)</t>
        </is>
      </c>
    </row>
    <row r="13"/>
    <row r="14">
      <c r="A14" s="9" t="inlineStr">
        <is>
          <t>Other results</t>
        </is>
      </c>
    </row>
    <row r="15">
      <c r="A15" s="7" t="inlineStr">
        <is>
          <t>Money raised (USD billion)</t>
        </is>
      </c>
      <c r="B15" s="10" t="n">
        <v>6.914</v>
      </c>
      <c r="C15" s="10" t="n">
        <v>6.2756</v>
      </c>
      <c r="D15" s="10" t="n">
        <v>6.2382</v>
      </c>
      <c r="E15" s="10" t="n">
        <v>1.5898</v>
      </c>
      <c r="F15" s="10" t="n">
        <v>0.3157</v>
      </c>
      <c r="G15" s="10" t="n">
        <v>0.4057</v>
      </c>
    </row>
    <row r="16">
      <c r="A16" s="7" t="inlineStr">
        <is>
          <t>People spared early death from air pollution (per year)</t>
        </is>
      </c>
      <c r="B16" s="13" t="n">
        <v>1440.3299</v>
      </c>
      <c r="C16" s="13" t="n">
        <v>1430.8363</v>
      </c>
      <c r="D16" s="13" t="n">
        <v>1492.0462</v>
      </c>
      <c r="E16" s="13" t="n">
        <v>508.523</v>
      </c>
      <c r="F16" s="13" t="n">
        <v>329.7507</v>
      </c>
      <c r="G16" s="13" t="n">
        <v>606.5145</v>
      </c>
    </row>
    <row r="17">
      <c r="A17" s="7" t="inlineStr">
        <is>
          <t>Share of Egypt's emissions that are priced (%)</t>
        </is>
      </c>
      <c r="B17" s="14" t="n">
        <v>63.2093</v>
      </c>
      <c r="C17" s="14" t="n">
        <v>57.3351</v>
      </c>
      <c r="D17" s="14" t="n">
        <v>57.3351</v>
      </c>
      <c r="E17" s="14" t="n">
        <v>13.9156</v>
      </c>
      <c r="F17" s="14" t="n">
        <v>13.9156</v>
      </c>
      <c r="G17" s="14" t="n">
        <v>13.9156</v>
      </c>
    </row>
    <row r="18"/>
    <row r="19">
      <c r="A19" s="9" t="inlineStr">
        <is>
          <t>The CBAM bill</t>
        </is>
      </c>
    </row>
    <row r="20">
      <c r="A20" s="7" t="inlineStr">
        <is>
          <t>Emissions in each tonne of CBAM goods: change before → after (%)</t>
        </is>
      </c>
    </row>
    <row r="21">
      <c r="A21" s="7" t="inlineStr">
        <is>
          <t>Emissions in each tonne before (index)</t>
        </is>
      </c>
      <c r="B21" s="15" t="n">
        <v>100</v>
      </c>
      <c r="C21" s="15" t="n">
        <v>100</v>
      </c>
      <c r="D21" s="15" t="n">
        <v>100</v>
      </c>
      <c r="E21" s="15" t="n">
        <v>100</v>
      </c>
      <c r="F21" s="15" t="n">
        <v>100</v>
      </c>
      <c r="G21" s="15" t="n">
        <v>100</v>
      </c>
    </row>
    <row r="22">
      <c r="A22" s="7" t="inlineStr">
        <is>
          <t>Emissions in each tonne after (index)</t>
        </is>
      </c>
      <c r="B22" s="10" t="n">
        <v>94.577</v>
      </c>
      <c r="C22" s="10" t="n">
        <v>97.447</v>
      </c>
      <c r="D22" s="10" t="n">
        <v>97.31</v>
      </c>
      <c r="E22" s="10" t="n">
        <v>94.577</v>
      </c>
      <c r="F22" s="10" t="n">
        <v>94.577</v>
      </c>
      <c r="G22" s="10" t="n">
        <v>79.258</v>
      </c>
    </row>
    <row r="23">
      <c r="A23" s="7" t="inlineStr">
        <is>
          <t>Change in the CBAM bill for each tonne sold to the EU (%)</t>
        </is>
      </c>
      <c r="B23" s="11">
        <f>(B22/B21-1)*100</f>
        <v/>
      </c>
      <c r="C23" s="11">
        <f>(C22/C21-1)*100</f>
        <v/>
      </c>
      <c r="D23" s="11">
        <f>(D22/D21-1)*100</f>
        <v/>
      </c>
      <c r="E23" s="11">
        <f>(E22/E21-1)*100</f>
        <v/>
      </c>
      <c r="F23" s="11">
        <f>(F22/F21-1)*100</f>
        <v/>
      </c>
      <c r="G23" s="11">
        <f>(G22/G21-1)*100</f>
        <v/>
      </c>
    </row>
    <row r="25" ht="42" customHeight="1">
      <c r="A25" s="2" t="inlineStr">
        <is>
          <t>Reading the table: a minus sign means a fall. The bill moves by the same percentage as the emissions in each tonne, because the EU price and the EU's phase-in cancel out.</t>
        </is>
      </c>
    </row>
    <row r="26">
      <c r="A26" s="16" t="inlineStr">
        <is>
          <t>Yellow = a result taken from the full model. Green = worked out here.</t>
        </is>
      </c>
    </row>
  </sheetData>
  <mergeCells count="1"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70" customWidth="1" min="3" max="3"/>
  </cols>
  <sheetData>
    <row r="1">
      <c r="A1" s="5" t="inlineStr">
        <is>
          <t>Try it: what a carbon price does to one product</t>
        </is>
      </c>
    </row>
    <row r="2">
      <c r="A2" s="17" t="inlineStr">
        <is>
          <t>Example: cement clinker, carbon price on both fuel and process emissions. Change the yellow cells.</t>
        </is>
      </c>
    </row>
    <row r="4">
      <c r="A4" t="inlineStr">
        <is>
          <t>Carbon price (USD per tonne of CO₂)</t>
        </is>
      </c>
      <c r="B4" s="18" t="n">
        <v>20</v>
      </c>
      <c r="C4" s="19" t="inlineStr">
        <is>
          <t>The price on each tonne of CO₂.</t>
        </is>
      </c>
    </row>
    <row r="5">
      <c r="A5" t="inlineStr">
        <is>
          <t>Price of the product (USD per tonne)</t>
        </is>
      </c>
      <c r="B5" s="18" t="n">
        <v>110</v>
      </c>
      <c r="C5" s="19" t="inlineStr">
        <is>
          <t>What a tonne of clinker sells for.</t>
        </is>
      </c>
    </row>
    <row r="6">
      <c r="A6" t="inlineStr">
        <is>
          <t>Emissions per tonne from burning fuel (tonnes CO₂)</t>
        </is>
      </c>
      <c r="B6" s="20" t="n">
        <v>0.314</v>
      </c>
      <c r="C6" s="19" t="inlineStr">
        <is>
          <t>Heat for the kiln.</t>
        </is>
      </c>
    </row>
    <row r="7">
      <c r="A7" t="inlineStr">
        <is>
          <t>Emissions per tonne from the process itself (tonnes CO₂)</t>
        </is>
      </c>
      <c r="B7" s="20" t="n">
        <v>0.537</v>
      </c>
      <c r="C7" s="19" t="inlineStr">
        <is>
          <t>Chemistry: limestone turning into lime.</t>
        </is>
      </c>
    </row>
    <row r="8">
      <c r="A8" t="inlineStr">
        <is>
          <t>Output response (1% dearer → this % less made)</t>
        </is>
      </c>
      <c r="B8" s="21" t="n">
        <v>-0.1</v>
      </c>
      <c r="C8" s="19" t="inlineStr">
        <is>
          <t>-0.1 for cement: 1% dearer gives 0.1% less output. Steel and fertiliser -0.4, aluminium -0.5. Based on studies of demand and pass-through.</t>
        </is>
      </c>
    </row>
    <row r="9">
      <c r="A9" t="inlineStr">
        <is>
          <t>Fuel saved per tonne at this price</t>
        </is>
      </c>
      <c r="B9" s="22" t="n">
        <v>-0.049</v>
      </c>
      <c r="C9" s="19" t="inlineStr">
        <is>
          <t>Plants get a little more efficient. From the climate tool.</t>
        </is>
      </c>
    </row>
    <row r="10">
      <c r="A10" t="inlineStr">
        <is>
          <t>Process emissions saved per tonne at this price</t>
        </is>
      </c>
      <c r="B10" s="22" t="n">
        <v>0.065</v>
      </c>
      <c r="C10" s="19" t="inlineStr">
        <is>
          <t>From international cost studies of cleaner methods.</t>
        </is>
      </c>
    </row>
    <row r="12">
      <c r="A12" s="23" t="inlineStr">
        <is>
          <t>What happens</t>
        </is>
      </c>
    </row>
    <row r="13">
      <c r="A13" t="inlineStr">
        <is>
          <t>Extra cost for each tonne (USD)</t>
        </is>
      </c>
      <c r="B13" s="24">
        <f>B4*(B6+B7)</f>
        <v/>
      </c>
      <c r="C13" s="19" t="inlineStr">
        <is>
          <t>Carbon price × emissions in a tonne.</t>
        </is>
      </c>
    </row>
    <row r="14">
      <c r="A14" t="inlineStr">
        <is>
          <t>Cost rise (%)</t>
        </is>
      </c>
      <c r="B14" s="25">
        <f>B13/B5</f>
        <v/>
      </c>
      <c r="C14" s="19" t="inlineStr">
        <is>
          <t>Extra cost ÷ price of the product.</t>
        </is>
      </c>
    </row>
    <row r="15">
      <c r="A15" t="inlineStr">
        <is>
          <t>Change in how much is made</t>
        </is>
      </c>
      <c r="B15" s="25">
        <f>(1+B14)^B8-1</f>
        <v/>
      </c>
      <c r="C15" s="19" t="inlineStr">
        <is>
          <t>Dearer goods, a little less sold.</t>
        </is>
      </c>
    </row>
    <row r="16">
      <c r="A16" t="inlineStr">
        <is>
          <t>Emissions in a tonne, before</t>
        </is>
      </c>
      <c r="B16" s="26">
        <f>B6+B7</f>
        <v/>
      </c>
      <c r="C16" s="19" t="inlineStr">
        <is>
          <t>Fuel plus process.</t>
        </is>
      </c>
    </row>
    <row r="17">
      <c r="A17" t="inlineStr">
        <is>
          <t>Emissions in a tonne, after</t>
        </is>
      </c>
      <c r="B17" s="26">
        <f>B6*(1+B9)+B7*(1-B10)</f>
        <v/>
      </c>
      <c r="C17" s="19" t="inlineStr">
        <is>
          <t>Less fuel and less process emissions per tonne.</t>
        </is>
      </c>
    </row>
    <row r="18">
      <c r="A18" s="23" t="inlineStr">
        <is>
          <t>Change in emissions in each tonne</t>
        </is>
      </c>
      <c r="B18" s="27">
        <f>B17/B16-1</f>
        <v/>
      </c>
      <c r="C18" s="19" t="inlineStr">
        <is>
          <t>This is also the change in the CBAM bill for each tonne sold to the EU.</t>
        </is>
      </c>
    </row>
    <row r="19">
      <c r="A19" t="inlineStr">
        <is>
          <t>Change in total emissions from this product</t>
        </is>
      </c>
      <c r="B19" s="25">
        <f>(1+B15)*(1+B18)-1</f>
        <v/>
      </c>
      <c r="C19" s="19" t="inlineStr">
        <is>
          <t>Fewer tonnes made, and fewer emissions in each.</t>
        </is>
      </c>
    </row>
    <row r="21" ht="30" customHeight="1">
      <c r="A21" s="2" t="inlineStr">
        <is>
          <t>This is one product only. The real model does this for eight products, then adds them up and combines them with the climate tool's results.</t>
        </is>
      </c>
    </row>
  </sheetData>
  <mergeCells count="1">
    <mergeCell ref="A21:C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</cols>
  <sheetData>
    <row r="1">
      <c r="A1" s="5" t="inlineStr">
        <is>
          <t>Settings that are not needed to follow the story (hidden sheet)</t>
        </is>
      </c>
    </row>
    <row r="3">
      <c r="A3" t="inlineStr">
        <is>
          <t>EU carbon price (USD per tonne)</t>
        </is>
      </c>
      <c r="B3" t="n">
        <v>100</v>
      </c>
      <c r="C3" t="inlineStr">
        <is>
          <t>Placeholder. Cancels out of the CBAM bill change.</t>
        </is>
      </c>
    </row>
    <row r="4">
      <c r="A4" t="inlineStr">
        <is>
          <t>EU CBAM phase-in share in 2030</t>
        </is>
      </c>
      <c r="B4" t="n">
        <v>0.485</v>
      </c>
      <c r="C4" t="inlineStr">
        <is>
          <t>Cancels out of the CBAM bill change.</t>
        </is>
      </c>
    </row>
    <row r="5">
      <c r="A5" t="inlineStr">
        <is>
          <t>Efficiency share of the climate tool's industry fuel response</t>
        </is>
      </c>
      <c r="B5" t="inlineStr">
        <is>
          <t>1/3</t>
        </is>
      </c>
      <c r="C5" t="inlineStr">
        <is>
          <t>The other two thirds is less output.</t>
        </is>
      </c>
    </row>
    <row r="6">
      <c r="A6" t="inlineStr">
        <is>
          <t>Share of industry energy CO₂ priced in the industry-only run (EG3)</t>
        </is>
      </c>
      <c r="B6" t="n">
        <v>0.537</v>
      </c>
      <c r="C6" t="inlineStr">
        <is>
          <t>Used as run, no scaling.</t>
        </is>
      </c>
    </row>
    <row r="7">
      <c r="A7" t="inlineStr">
        <is>
          <t>Growth of steel output 2024-2030 (adjustment)</t>
        </is>
      </c>
      <c r="B7" t="n">
        <v>0.976</v>
      </c>
      <c r="C7" t="inlineStr">
        <is>
          <t>Matches the climate tool.</t>
        </is>
      </c>
    </row>
    <row r="8">
      <c r="A8" t="inlineStr">
        <is>
          <t>Growth of cement output 2024-2030 (adjustment)</t>
        </is>
      </c>
      <c r="B8" t="n">
        <v>1.001</v>
      </c>
      <c r="C8" t="inlineStr">
        <is>
          <t>Matches the climate tool.</t>
        </is>
      </c>
    </row>
    <row r="9">
      <c r="A9" t="inlineStr">
        <is>
          <t>CBAM goods' emissions before any policy (million tonnes CO₂e)</t>
        </is>
      </c>
      <c r="B9" t="n">
        <v>63.1</v>
      </c>
      <c r="C9" t="inlineStr">
        <is>
          <t>Fuel plus process.</t>
        </is>
      </c>
    </row>
    <row r="10">
      <c r="A10" t="inlineStr">
        <is>
          <t>3B rebate to the rest of covered industry (USD billion)</t>
        </is>
      </c>
      <c r="B10" t="n">
        <v>0.33</v>
      </c>
      <c r="C10" t="inlineStr">
        <is>
          <t>Comes off revenue.</t>
        </is>
      </c>
    </row>
    <row r="11">
      <c r="A11" t="inlineStr">
        <is>
          <t>Price base for process clean-up studies</t>
        </is>
      </c>
      <c r="B11" t="inlineStr">
        <is>
          <t>USD 122 (2024)</t>
        </is>
      </c>
      <c r="C11" t="inlineStr">
        <is>
          <t>100 in 2019 dollars.</t>
        </is>
      </c>
    </row>
    <row r="12">
      <c r="A12" t="inlineStr">
        <is>
          <t>Climate tool runs used</t>
        </is>
      </c>
      <c r="B12" t="inlineStr">
        <is>
          <t>EG1, EG2, EG3</t>
        </is>
      </c>
      <c r="C12" t="inlineStr">
        <is>
          <t>1A, 2A: EG1. 2B: EG2. 3A-3C: EG3.</t>
        </is>
      </c>
    </row>
    <row r="13">
      <c r="A13" t="inlineStr">
        <is>
          <t>Where the numbers come from</t>
        </is>
      </c>
      <c r="B13" t="inlineStr">
        <is>
          <t>Egypt_Model.xlsx</t>
        </is>
      </c>
      <c r="C13" t="inlineStr">
        <is>
          <t>Sheets CarveOut_Table2 and Table2_Final.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2026-10-04T17:02:25Z</dcterms:created>
  <dcterms:modified xmlns:dcterms="http://purl.org/dc/terms/" xmlns:xsi="http://www.w3.org/2001/XMLSchema-instance" xsi:type="dcterms:W3CDTF">2026-10-04T17:02:25Z</dcterms:modified>
</cp:coreProperties>
</file>