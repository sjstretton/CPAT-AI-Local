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definedName name="HHSurvey_Headers">HHSurvey!$A$1:$BQ$1</definedName>
    <definedName name="HHSurvey_Data">HHSurvey!$A$2:$BQ$133</definedName>
    <definedName name="HHSurvey_Key">HHSurvey!$BQ$2:$BQ$133</definedName>
    <definedName name="HH_Elast_Headers">HH_Elast!$A$1:$AF$1</definedName>
    <definedName name="HH_Elast_Data">HH_Elast!$A$2:$AF$12</definedName>
    <definedName name="HH_Elast_Key">HH_Elast!$AF$2:$AF$12</definedName>
    <definedName name="ASPIRE_Programs">ASPIRE!$A$36:$A$41</definedName>
    <definedName name="ASPIRE_Quintiles">ASPIRE!$C$35:$G$35</definedName>
    <definedName name="ASPIRE_Values">ASPIRE!$C$36:$G$41</definedName>
    <definedName name="PriceDirect_Codes">Price_Changes!$A$3:$A$10</definedName>
    <definedName name="PriceDirect_Values">Price_Changes!$C$3:$C$10</definedName>
    <definedName name="PriceIndirect_Codes">Price_Changes!$A$15:$A$28</definedName>
    <definedName name="PriceIndirect_Values">Price_Changes!$C$15:$C$28</definedName>
    <definedName name="DECILE_ARRAY">{1,2,3,4,5,6,7,8,9,10}</definedName>
    <definedName name="ElastAdj_Codes">Price_Changes!$A$33:$A$54</definedName>
    <definedName name="ElastAdj_Data">Price_Changes!$B$33:$K$54</definedName>
    <definedName name="AdjustBehaviorSwitch">Distribution_Inputs!$I$56</definedName>
    <definedName name="BehaviorAdjFactor">Distribution_Inputs!$I$58</definedName>
    <definedName name="AdjustDWLSwitch">Distribution_Inputs!$I$59</definedName>
    <definedName name="UseDecileElastSwitch">Distribution_Inputs!$I$60</definedName>
    <definedName name="ExemptSwitch">Distribution_Inputs!$I$138</definedName>
    <definedName name="ExemptFuelLabel">Distribution_Inputs!$I$139</definedName>
    <definedName name="ExemptShare">Distribution_Inputs!$I$140</definedName>
    <definedName name="ExemptDeciles">Distribution_Inputs!$I$141</definedName>
    <definedName name="LaborTaxMethod">Distribution_Inputs!$I$80</definedName>
    <definedName name="LaborTaxCutCoef">Distribution_Inputs!$I$82</definedName>
    <definedName name="PITSourceSwitch">Distribution_Inputs!$I$79</definedName>
    <definedName name="PITBaselineLCU">Distribution_Inputs!$I$78</definedName>
    <definedName name="ExemptBottomDeciles_PIT">Distribution_Inputs!$I$81</definedName>
    <definedName name="StatOutputs">Distribution_Inputs!$I$51</definedName>
    <definedName name="PopAnalysisYear">Distribution_Inputs!$I$145</definedName>
    <definedName name="PopSurveyYear">Distribution_Inputs!$I$143</definedName>
    <definedName name="PopAdjFactor">Distribution_Inputs!$I$146</definedName>
    <definedName name="HHConsAdjFactor">Distribution_Inputs!$I$162</definedName>
    <definedName name="TotConsSurveyYear">Distribution_Inputs!$I$158</definedName>
    <definedName name="GDPDeflatorRatioSvy">Distribution_Inputs!$I$156</definedName>
    <definedName name="RevLaborTaxLCU">Distribution_Inputs!$I$76</definedName>
    <definedName name="RevTargetedTransferLCU">Distribution_Inputs!$I$86</definedName>
    <definedName name="RevPublicInvestLCU">Distribution_Inputs!$I$90</definedName>
    <definedName name="RevCurrentSpendLCU">Distribution_Inputs!$I$94</definedName>
    <definedName name="TargetedTransferASPIREUsed">Distribution_Inputs!$I$128</definedName>
    <definedName name="TargetedTransferCode">Distribution_Inputs!$I$129</definedName>
    <definedName name="CurrentSpendCode">Distribution_Inputs!$I$130</definedName>
    <definedName name="InfraAccessCode">Distribution_Inputs!$I$106</definedName>
    <definedName name="HHKEY">=_xlfn.LAMBDA(_xlpm.sample,_xlpm.qtype,_xlpm.stat,_xlpm.dnum, _xlpm.sample&amp;"|"&amp;_xlpm.qtype&amp;"|"&amp;_xlpm.stat&amp;"|"&amp;_xlpm.dnum)</definedName>
    <definedName name="BSHARE">=_xlfn.LAMBDA(_xlpm.colname,_xlpm.decile,_xlpm.sample,_xlpm.stat,_xlfn.LET(_xlpm.qtype,IF(_xlpm.decile=0,"Basket","Deciles"),_xlpm.dnum,IF(_xlpm.decile=0,9999,_xlpm.decile),_xlpm.key,HHKEY(_xlpm.sample,_xlpm.qtype,_xlpm.stat,_xlpm.dnum),_xlpm.col,MATCH(_xlpm.colname,HHSurvey_Headers,0),_xlfn.XLOOKUP(_xlpm.key,HHSurvey_Key,INDEX(HHSurvey_Data,0,_xlpm.col))))</definedName>
    <definedName name="ELAST">=_xlfn.LAMBDA(_xlpm.colname,_xlpm.decile,_xlpm.sample,_xlpm.stat,_xlfn.LET(_xlpm.qtype,IF(_xlpm.decile=0,"Basket","Deciles"),_xlpm.dnum,IF(_xlpm.decile=0,9999,_xlpm.decile),_xlpm.key,HHKEY(_xlpm.sample,_xlpm.qtype,_xlpm.stat,_xlpm.dnum),_xlpm.col,MATCH(_xlpm.colname,HH_Elast_Headers,0),_xlfn.XLOOKUP(_xlpm.key,HH_Elast_Key,INDEX(HH_Elast_Data,0,_xlpm.col))))</definedName>
    <definedName name="PCHANGE_DIRECT">=_xlfn.LAMBDA(_xlpm.fuel,_xlfn.XLOOKUP(_xlpm.fuel,PriceDirect_Codes,PriceDirect_Values))</definedName>
    <definedName name="PCHANGE_INDIRECT">=_xlfn.LAMBDA(_xlpm.cat,_xlfn.XLOOKUP(_xlpm.cat,PriceIndirect_Codes,PriceIndirect_Values))</definedName>
    <definedName name="ELASTADJ">=_xlfn.LAMBDA(_xlpm.item,_xlpm.decile,_xlfn.XLOOKUP(_xlpm.item,ElastAdj_Codes,INDEX(ElastAdj_Data,0,IF(_xlpm.decile=0,1,_xlpm.decile))))</definedName>
    <definedName name="BEHAVIOR_ADJ">=_xlfn.LAMBDA(IF(AdjustBehaviorSwitch="Yes",BehaviorAdjFactor,1))</definedName>
    <definedName name="DWL">=_xlfn.LAMBDA(_xlpm.sharecol,_xlpm.elastcol,_xlpm.decile,_xlpm.sample,_xlpm.stat,_xlpm.pricepct,IF(AdjustDWLSwitch="Yes",0.5*ELAST(_xlpm.elastcol,_xlpm.decile,_xlpm.sample,_xlpm.stat)*(_xlpm.pricepct/100)^2*(BSHARE(_xlpm.sharecol,_xlpm.decile,_xlpm.sample,_xlpm.stat)/100)*100,0))</definedName>
    <definedName name="DIRECT_EFFECT">=_xlfn.LAMBDA(_xlpm.fuel,_xlpm.fuellabel,_xlpm.sharecol,_xlpm.elastcol,_xlpm.decile,_xlpm.sample,_xlpm.stat,_xlfn.LET(_xlpm.price,PCHANGE_DIRECT(_xlpm.fuel)*ELASTADJ(_xlpm.fuel,_xlpm.decile),_xlpm.bs,BSHARE(_xlpm.sharecol,_xlpm.decile,_xlpm.sample,_xlpm.stat),_xlpm.raw,(_xlpm.bs/100)*(_xlpm.price/100)*BEHAVIOR_ADJ()*100-DWL(_xlpm.sharecol,_xlpm.elastcol,_xlpm.decile,_xlpm.sample,_xlpm.stat,_xlpm.price),_xlpm.exempt,IF(AND(ExemptSwitch="Yes",_xlpm.fuellabel=ExemptFuelLabel,_xlpm.decile&lt;=ExemptDeciles,_xlpm.decile&gt;0),1-ExemptShare,1),_xlpm.raw*_xlpm.exempt))</definedName>
    <definedName name="INDIRECT_EFFECT">=_xlfn.LAMBDA(_xlpm.cat,_xlpm.sharecol,_xlpm.elastcol,_xlpm.decile,_xlpm.sample,_xlpm.stat,_xlfn.LET(_xlpm.price,PCHANGE_INDIRECT(_xlpm.cat)*ELASTADJ(_xlpm.cat,_xlpm.decile),_xlpm.bs,BSHARE(_xlpm.sharecol,_xlpm.decile,_xlpm.sample,_xlpm.stat),(_xlpm.bs/100)*(_xlpm.price/100)*BEHAVIOR_ADJ()*100-DWL(_xlpm.sharecol,_xlpm.elastcol,_xlpm.decile,_xlpm.sample,_xlpm.stat,_xlpm.price)))</definedName>
    <definedName name="TOTAL_DIRECT_EFFECT">=_xlfn.LAMBDA(_xlpm.decile,_xlpm.sample,_xlpm.stat,DIRECT_EFFECT("coa","Coal","coa_share","coa_elasticity",_xlpm.decile,_xlpm.sample,_xlpm.stat)+DIRECT_EFFECT("ely","Electricity","ely_share","ely_elasticity",_xlpm.decile,_xlpm.sample,_xlpm.stat)+DIRECT_EFFECT("nga","Natural Gas","nga_share","nga_elasticity",_xlpm.decile,_xlpm.sample,_xlpm.stat)+DIRECT_EFFECT("oil","Non-Road Oil","oil_share","oil_elasticity",_xlpm.decile,_xlpm.sample,_xlpm.stat)+DIRECT_EFFECT("gso","Gasoline","gso_share","gso_elasticity",_xlpm.decile,_xlpm.sample,_xlpm.stat)+DIRECT_EFFECT("die","Diesel","die_share","die_elasticity",_xlpm.decile,_xlpm.sample,_xlpm.stat)+DIRECT_EFFECT("ker","Kerosene","ker_share","ker_elasticity",_xlpm.decile,_xlpm.sample,_xlpm.stat)+DIRECT_EFFECT("lpg","LPG","lpg_share","lpg_elasticity",_xlpm.decile,_xlpm.sample,_xlpm.stat))</definedName>
    <definedName name="TOTAL_INDIRECT_EFFECT">=_xlfn.LAMBDA(_xlpm.decile,_xlpm.sample,_xlpm.stat,INDIRECT_EFFECT("app","appliances_share","appliances_elasticity",_xlpm.decile,_xlpm.sample,_xlpm.stat)+INDIRECT_EFFECT("che","chemicals_share","chemicals_elasticity",_xlpm.decile,_xlpm.sample,_xlpm.stat)+INDIRECT_EFFECT("clo","clothing_share","clothing_elasticity",_xlpm.decile,_xlpm.sample,_xlpm.stat)+INDIRECT_EFFECT("com","communications_share","communications_elasticity",_xlpm.decile,_xlpm.sample,_xlpm.stat)+INDIRECT_EFFECT("edu","education_share","education_elasticity",_xlpm.decile,_xlpm.sample,_xlpm.stat)+INDIRECT_EFFECT("food","food_share","food_elasticity",_xlpm.decile,_xlpm.sample,_xlpm.stat)+INDIRECT_EFFECT("hea","health_srv_share","health_srv_elasticity",_xlpm.decile,_xlpm.sample,_xlpm.stat)+INDIRECT_EFFECT("hou","housing_share","housing_elasticity",_xlpm.decile,_xlpm.sample,_xlpm.stat)+INDIRECT_EFFECT("oth","other_share","other_elasticity",_xlpm.decile,_xlpm.sample,_xlpm.stat)+INDIRECT_EFFECT("pap","paper_share","paper_elasticity",_xlpm.decile,_xlpm.sample,_xlpm.stat)+INDIRECT_EFFECT("pha","pharma_share","pharma_elasticity",_xlpm.decile,_xlpm.sample,_xlpm.stat)+INDIRECT_EFFECT("ret","rectourism_share","rectourism_elasticity",_xlpm.decile,_xlpm.sample,_xlpm.stat)+INDIRECT_EFFECT("teq","transp_eqt_share","transp_eqt_elasticity",_xlpm.decile,_xlpm.sample,_xlpm.stat)+INDIRECT_EFFECT("tpu","transp_pub_share","transp_pub_elasticity",_xlpm.decile,_xlpm.sample,_xlpm.stat))</definedName>
    <definedName name="TOTAL_EFFECT">=_xlfn.LAMBDA(_xlpm.decile,_xlpm.sample,_xlpm.stat,TOTAL_DIRECT_EFFECT(_xlpm.decile,_xlpm.sample,_xlpm.stat)+TOTAL_INDIRECT_EFFECT(_xlpm.decile,_xlpm.sample,_xlpm.stat))</definedName>
    <definedName name="ADJ_POP">=_xlfn.LAMBDA(_xlpm.decile,_xlpm.sample,BSHARE("popw",_xlpm.decile,_xlpm.sample,"mean")*PopAdjFactor)</definedName>
    <definedName name="ADJ_CONS_PC">=_xlfn.LAMBDA(_xlpm.decile,_xlpm.sample,BSHARE("cons_pc_acrent",_xlpm.decile,_xlpm.sample,"mean")*GDPDeflatorRatioSvy*HHConsAdjFactor)</definedName>
    <definedName name="ADJ_CONS_TOT">=_xlfn.LAMBDA(_xlpm.decile,_xlpm.sample,ADJ_CONS_PC(_xlpm.decile,_xlpm.sample)*ADJ_POP(_xlpm.decile,_xlpm.sample))</definedName>
    <definedName name="TAX_BURDEN_PRE">=_xlfn.LAMBDA(_xlpm.decile,_xlpm.sample,TOTAL_EFFECT(_xlpm.decile,_xlpm.sample,"mean")/100*ADJ_CONS_TOT(_xlpm.decile,_xlpm.sample))</definedName>
    <definedName name="PIT_SHARE_RAW">=_xlfn.LAMBDA(_xlpm.decile,BSHARE(IF(PITSourceSwitch="income","pit_share_income","pit_share_region"),_xlpm.decile,"Overall","mean"))</definedName>
    <definedName name="PIT_SHARE_SUM">=_xlfn.LAMBDA(SUM(PIT_SHARE_RAW(DECILE_ARRAY)))</definedName>
    <definedName name="PIT_LIABILITY">=_xlfn.LAMBDA(_xlpm.decile,PIT_SHARE_RAW(_xlpm.decile)/PIT_SHARE_SUM()*PITBaselineLCU)</definedName>
    <definedName name="TOTAL_ADJ_POP">=_xlfn.LAMBDA(SUM(BSHARE("popw",DECILE_ARRAY,"Overall","mean"))*PopAdjFactor)</definedName>
    <definedName name="PIT_MAX_TRANSFER_PC">=_xlfn.LAMBDA(RevLaborTaxLCU/TOTAL_ADJ_POP())</definedName>
    <definedName name="PIT_SHORTFALL_TOTAL">=_xlfn.LAMBDA(SUM(MAX(0,PIT_MAX_TRANSFER_PC()-PIT_LIABILITY(DECILE_ARRAY)/ADJ_POP(DECILE_ARRAY,"Overall"))*ADJ_POP(DECILE_ARRAY,"Overall")))</definedName>
    <definedName name="PIT_ADDITIONAL_PC">=_xlfn.LAMBDA(PIT_SHORTFALL_TOTAL()/TOTAL_ADJ_POP())</definedName>
    <definedName name="PIT_LIABILITY_TOTAL_EXEMPT">=_xlfn.LAMBDA(SUM(IF(DECILE_ARRAY&lt;=ExemptBottomDeciles_PIT,PIT_LIABILITY(DECILE_ARRAY),0)))</definedName>
    <definedName name="PIT_REDUCTION">=_xlfn.LAMBDA(_xlpm.decile,_xlfn.LET(_xlpm.liability,PIT_LIABILITY(_xlpm.decile),_xlpm.pop,ADJ_POP(_xlpm.decile,"Overall"),_xlpm.prop_amt,_xlpm.liability*LaborTaxCutCoef,_xlpm.pa_pc,MIN(PIT_MAX_TRANSFER_PC(),_xlpm.liability/_xlpm.pop)+PIT_ADDITIONAL_PC(),_xlpm.pa_amt,_xlpm.pa_pc*_xlpm.pop,_xlpm.te_scale,MIN(1,RevLaborTaxLCU/PIT_LIABILITY_TOTAL_EXEMPT()),_xlpm.te_amt,IF(_xlpm.decile&lt;=ExemptBottomDeciles_PIT,_xlpm.liability*_xlpm.te_scale,0),IF(LaborTaxMethod="Proportional Compensation",_xlpm.prop_amt,IF(LaborTaxMethod="Personal Allowance",_xlpm.pa_amt,_xlpm.te_amt))))</definedName>
    <definedName name="TOTAL_UNSERVED_POP">=_xlfn.LAMBDA(SUM(BSHARE("popw",DECILE_ARRAY,"Overall","mean")*(1-BSHARE("all_acs_share",DECILE_ARRAY,"Overall","mean")/100)))</definedName>
    <definedName name="INFRA_SHARE">=_xlfn.LAMBDA(_xlpm.decile,_xlfn.LET(_xlpm.pop,BSHARE("popw",_xlpm.decile,"Overall","mean"),_xlpm.access,BSHARE("all_acs_share",_xlpm.decile,"Overall","mean"),(_xlpm.pop*(1-_xlpm.access/100))/TOTAL_UNSERVED_POP()))</definedName>
    <definedName name="TARGETED_TRANSFER">=_xlfn.LAMBDA(_xlpm.decile,RevTargetedTransferLCU*INFRA_SHARE(_xlpm.decile))</definedName>
    <definedName name="PUBLIC_INVESTMENT">=_xlfn.LAMBDA(_xlpm.decile,RevPublicInvestLCU*INFRA_SHARE(_xlpm.decile))</definedName>
    <definedName name="ASPIRE_PC">=_xlfn.LAMBDA(_xlpm.program,_xlpm.decile,_xlfn.LET(_xlpm.q,ROUNDUP(_xlpm.decile/2,0),_xlfn.XLOOKUP(_xlpm.program,ASPIRE_Programs,INDEX(ASPIRE_Values,0,_xlpm.q))))</definedName>
    <definedName name="ASPIRE_TOTAL">=_xlfn.LAMBDA(_xlpm.program,SUMPRODUCT(ASPIRE_PC(_xlpm.program,DECILE_ARRAY)*BSHARE("popw",DECILE_ARRAY,"Overall","mean")))</definedName>
    <definedName name="ASPIRE_SHARE">=_xlfn.LAMBDA(_xlpm.program,_xlpm.decile,_xlfn.LET(_xlpm.pop,BSHARE("popw",_xlpm.decile,"Overall","mean"),_xlpm.pc,ASPIRE_PC(_xlpm.program,_xlpm.decile),(_xlpm.pc*_xlpm.pop)/ASPIRE_TOTAL(_xlpm.program)))</definedName>
    <definedName name="CURRENT_SPENDING">=_xlfn.LAMBDA(_xlpm.decile,RevCurrentSpendLCU*ASPIRE_SHARE("allsp",_xlpm.decile))</definedName>
    <definedName name="AMOUNT_RECYCLED">=_xlfn.LAMBDA(_xlpm.decile,PIT_REDUCTION(_xlpm.decile)+TARGETED_TRANSFER(_xlpm.decile)+PUBLIC_INVESTMENT(_xlpm.decile)+CURRENT_SPENDING(_xlpm.decile))</definedName>
    <definedName name="TOTAL_RECYCLED">=_xlfn.LAMBDA(SUM(AMOUNT_RECYCLED(DECILE_ARRAY)))</definedName>
    <definedName name="NET_EFFECT">=_xlfn.LAMBDA(_xlpm.decile,_xlpm.sample,(TOTAL_EFFECT(_xlpm.decile,_xlpm.sample,"mean")/100-AMOUNT_RECYCLED(_xlpm.decile)/ADJ_CONS_TOT(_xlpm.decile,_xlpm.sample))*100)</definedName>
    <definedName name="POST_CP_EXCL_RECYCLING">=_xlfn.LAMBDA(_xlpm.decile,_xlpm.sample,ADJ_CONS_TOT(_xlpm.decile,_xlpm.sample)*(1-TOTAL_EFFECT(_xlpm.decile,_xlpm.sample,"mean")/100))</definedName>
    <definedName name="POST_CP_INCL_RECYCLING">=_xlfn.LAMBDA(_xlpm.decile,_xlpm.sample,POST_CP_EXCL_RECYCLING(_xlpm.decile,_xlpm.sample)+AMOUNT_RECYCLED(_xlpm.decile))</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6"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 displayName="ElastAdj"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3">
      <c r="B3" s="2" t="inlineStr">
        <is>
          <t>What this is</t>
        </is>
      </c>
    </row>
    <row r="4" ht="90" customHeight="1">
      <c r="B4" s="3"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2" t="inlineStr">
        <is>
          <t>Structure</t>
        </is>
      </c>
    </row>
    <row r="7" ht="105" customHeight="1">
      <c r="B7" s="3"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2" t="inlineStr">
        <is>
          <t>What is computed vs. given</t>
        </is>
      </c>
    </row>
    <row r="10" ht="180" customHeight="1">
      <c r="B10" s="3"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2" t="inlineStr">
        <is>
          <t>Known simplification: targeted-transfer/public-investment targeting</t>
        </is>
      </c>
    </row>
    <row r="13" ht="90" customHeight="1">
      <c r="B13" s="3"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2" t="inlineStr">
        <is>
          <t>Verification</t>
        </is>
      </c>
    </row>
    <row r="16" ht="105" customHeight="1">
      <c r="B16" s="3"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2" t="inlineStr">
        <is>
          <t>Conventions</t>
        </is>
      </c>
    </row>
    <row r="19" ht="90" customHeight="1">
      <c r="B19" s="3"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4" t="inlineStr">
        <is>
          <t>A.</t>
        </is>
      </c>
      <c r="B3" s="4" t="inlineStr">
        <is>
          <t>Module overview</t>
        </is>
      </c>
      <c r="C3" s="5" t="n"/>
      <c r="D3" s="5" t="n"/>
      <c r="E3" s="5" t="n"/>
      <c r="F3" s="5" t="n"/>
      <c r="G3" s="5" t="n"/>
      <c r="H3" s="5" t="n"/>
      <c r="I3" s="5" t="n"/>
      <c r="J3" s="5" t="n"/>
      <c r="K3" s="5" t="n"/>
      <c r="L3" s="5" t="n"/>
      <c r="M3" s="5" t="n"/>
      <c r="N3" s="5" t="n"/>
    </row>
    <row r="4"/>
    <row r="5">
      <c r="A5" s="2" t="inlineStr">
        <is>
          <t>A.I.</t>
        </is>
      </c>
      <c r="B5" s="2" t="inlineStr">
        <is>
          <t>Description</t>
        </is>
      </c>
    </row>
    <row r="6" ht="90" customHeight="1">
      <c r="C6" s="3"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2" t="inlineStr">
        <is>
          <t>A.II.</t>
        </is>
      </c>
      <c r="B11" s="2" t="inlineStr">
        <is>
          <t>Scope of this standalone workbook</t>
        </is>
      </c>
    </row>
    <row r="12" ht="170" customHeight="1">
      <c r="C12" s="3"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2" t="inlineStr">
        <is>
          <t>A.III.</t>
        </is>
      </c>
      <c r="B21" s="2" t="inlineStr">
        <is>
          <t>Country coverage</t>
        </is>
      </c>
    </row>
    <row r="22">
      <c r="C22" s="6" t="inlineStr">
        <is>
          <t>This workbook is built for a single country:</t>
        </is>
      </c>
    </row>
    <row r="23">
      <c r="C23" s="6" t="inlineStr">
        <is>
          <t>Country Name</t>
        </is>
      </c>
      <c r="D23" s="6" t="inlineStr">
        <is>
          <t>Egypt</t>
        </is>
      </c>
    </row>
    <row r="24">
      <c r="C24" s="6" t="inlineStr">
        <is>
          <t>ISO-3 Country Code</t>
        </is>
      </c>
      <c r="D24" s="6" t="inlineStr">
        <is>
          <t>EGY</t>
        </is>
      </c>
    </row>
    <row r="25">
      <c r="C25" s="6" t="inlineStr">
        <is>
          <t>Reference Year (HH Survey)</t>
        </is>
      </c>
      <c r="D25" s="6" t="n">
        <v>2017</v>
      </c>
    </row>
    <row r="26">
      <c r="C26" s="6" t="inlineStr">
        <is>
          <t>Survey Acronym</t>
        </is>
      </c>
      <c r="D26" s="6" t="inlineStr">
        <is>
          <t>HBS</t>
        </is>
      </c>
    </row>
    <row r="27">
      <c r="C27" s="6" t="inlineStr">
        <is>
          <t>Survey Name</t>
        </is>
      </c>
      <c r="D27" s="6" t="inlineStr">
        <is>
          <t>Household Budget Survey</t>
        </is>
      </c>
    </row>
    <row r="28"/>
    <row r="29">
      <c r="A29" s="4" t="inlineStr">
        <is>
          <t>B.</t>
        </is>
      </c>
      <c r="B29" s="4" t="inlineStr">
        <is>
          <t>Key assumptions and inputs</t>
        </is>
      </c>
      <c r="C29" s="5" t="n"/>
      <c r="D29" s="5" t="n"/>
      <c r="E29" s="5" t="n"/>
      <c r="F29" s="5" t="n"/>
      <c r="G29" s="5" t="n"/>
      <c r="H29" s="5" t="n"/>
      <c r="I29" s="5" t="n"/>
      <c r="J29" s="5" t="n"/>
      <c r="K29" s="5" t="n"/>
      <c r="L29" s="5" t="n"/>
      <c r="M29" s="5" t="n"/>
      <c r="N29" s="5" t="n"/>
    </row>
    <row r="30"/>
    <row r="31">
      <c r="A31" s="2" t="inlineStr">
        <is>
          <t>B.I.</t>
        </is>
      </c>
      <c r="B31" s="2" t="inlineStr">
        <is>
          <t>Key assumptions</t>
        </is>
      </c>
    </row>
    <row r="32"/>
    <row r="33"/>
    <row r="34">
      <c r="A34" s="2" t="inlineStr">
        <is>
          <t>B.</t>
        </is>
      </c>
      <c r="B34" s="2" t="inlineStr">
        <is>
          <t>Key assumptions and inputs</t>
        </is>
      </c>
    </row>
    <row r="35"/>
    <row r="36">
      <c r="A36" s="2" t="inlineStr">
        <is>
          <t>B.I.</t>
        </is>
      </c>
      <c r="B36" s="2" t="inlineStr">
        <is>
          <t>Key assumptions</t>
        </is>
      </c>
    </row>
    <row r="37">
      <c r="C37" s="7" t="inlineStr">
        <is>
          <t>Basic Inputs</t>
        </is>
      </c>
    </row>
    <row r="38">
      <c r="C38" s="6" t="inlineStr">
        <is>
          <t>Country Name</t>
        </is>
      </c>
      <c r="D38" s="8" t="inlineStr">
        <is>
          <t>Country name</t>
        </is>
      </c>
      <c r="F38" s="6" t="inlineStr">
        <is>
          <t>Country Name</t>
        </is>
      </c>
      <c r="G38" s="6" t="inlineStr">
        <is>
          <t>MTInputs</t>
        </is>
      </c>
      <c r="H38" s="6" t="n"/>
      <c r="I38" s="9" t="inlineStr">
        <is>
          <t>Egypt</t>
        </is>
      </c>
    </row>
    <row r="39">
      <c r="C39" s="6" t="inlineStr">
        <is>
          <t>Country Code</t>
        </is>
      </c>
      <c r="D39" s="8" t="inlineStr">
        <is>
          <t>Country code</t>
        </is>
      </c>
      <c r="F39" s="6" t="inlineStr">
        <is>
          <t>ISO-3 Country Code</t>
        </is>
      </c>
      <c r="G39" s="6" t="inlineStr">
        <is>
          <t>Dashboard</t>
        </is>
      </c>
      <c r="H39" s="6" t="n"/>
      <c r="I39" s="9" t="inlineStr">
        <is>
          <t>EGY</t>
        </is>
      </c>
    </row>
    <row r="40">
      <c r="C40" s="6" t="inlineStr">
        <is>
          <t>GTAP Code</t>
        </is>
      </c>
      <c r="D40" s="8" t="inlineStr">
        <is>
          <t>GTAP data country/region code</t>
        </is>
      </c>
      <c r="F40" s="6" t="inlineStr">
        <is>
          <t>ISO-3 Country Code/GTAP Region Code</t>
        </is>
      </c>
      <c r="G40" s="6" t="inlineStr">
        <is>
          <t>IO_GTAP</t>
        </is>
      </c>
      <c r="H40" s="6" t="n"/>
      <c r="I40" s="9" t="inlineStr">
        <is>
          <t>egy</t>
        </is>
      </c>
    </row>
    <row r="41">
      <c r="C41" s="6" t="inlineStr">
        <is>
          <t>Survey Year</t>
        </is>
      </c>
      <c r="D41" s="8" t="inlineStr">
        <is>
          <t>Household budget survey year</t>
        </is>
      </c>
      <c r="F41" s="6" t="inlineStr">
        <is>
          <t>Calendar Years</t>
        </is>
      </c>
      <c r="G41" s="6" t="inlineStr">
        <is>
          <t>HHSurvey</t>
        </is>
      </c>
      <c r="H41" s="6" t="n"/>
      <c r="I41" s="9" t="n">
        <v>2017</v>
      </c>
    </row>
    <row r="42">
      <c r="C42" s="6" t="inlineStr">
        <is>
          <t>GTAP Year</t>
        </is>
      </c>
      <c r="D42" s="8" t="inlineStr">
        <is>
          <t>GTAP data year</t>
        </is>
      </c>
      <c r="F42" s="6" t="inlineStr">
        <is>
          <t>Calendar Years</t>
        </is>
      </c>
      <c r="G42" s="6" t="inlineStr">
        <is>
          <t>IO_GTAP</t>
        </is>
      </c>
      <c r="H42" s="6" t="n"/>
      <c r="I42" s="9" t="n">
        <v>2014</v>
      </c>
    </row>
    <row r="43">
      <c r="C43" s="6" t="inlineStr">
        <is>
          <t>ASPIRE Year</t>
        </is>
      </c>
      <c r="D43" s="8" t="inlineStr">
        <is>
          <t>ASPIRE PPP data year</t>
        </is>
      </c>
      <c r="F43" s="6" t="inlineStr">
        <is>
          <t>Calendar Years</t>
        </is>
      </c>
      <c r="G43" s="6" t="inlineStr">
        <is>
          <t>ASPIRE</t>
        </is>
      </c>
      <c r="H43" s="6" t="n"/>
      <c r="I43" s="9" t="n">
        <v>2011</v>
      </c>
    </row>
    <row r="44">
      <c r="C44" s="6" t="inlineStr">
        <is>
          <t>Start Year</t>
        </is>
      </c>
      <c r="D44" s="8" t="inlineStr">
        <is>
          <t>Start year of climate mitigation policy scenario</t>
        </is>
      </c>
      <c r="F44" s="6" t="inlineStr">
        <is>
          <t>Calendar Years</t>
        </is>
      </c>
      <c r="G44" s="6" t="inlineStr">
        <is>
          <t>MTInputs</t>
        </is>
      </c>
      <c r="H44" s="6" t="n"/>
      <c r="I44" s="9" t="n">
        <v>2026</v>
      </c>
    </row>
    <row r="45">
      <c r="C45" s="6" t="inlineStr">
        <is>
          <t>End Year</t>
        </is>
      </c>
      <c r="D45" s="8" t="inlineStr">
        <is>
          <t>End year of climate mitigation policy scenario</t>
        </is>
      </c>
      <c r="F45" s="6" t="inlineStr">
        <is>
          <t>Calendar Years</t>
        </is>
      </c>
      <c r="G45" s="6" t="inlineStr">
        <is>
          <t>MTInputs</t>
        </is>
      </c>
      <c r="H45" s="6" t="n"/>
      <c r="I45" s="9" t="n">
        <v>2030</v>
      </c>
    </row>
    <row r="46">
      <c r="C46" s="6" t="inlineStr">
        <is>
          <t>Analysis Year</t>
        </is>
      </c>
      <c r="D46" s="8" t="inlineStr">
        <is>
          <t>Year of interest for distributional analysis</t>
        </is>
      </c>
      <c r="F46" s="6" t="inlineStr">
        <is>
          <t>Calendar Years</t>
        </is>
      </c>
      <c r="G46" s="6" t="inlineStr">
        <is>
          <t>MTInputs</t>
        </is>
      </c>
      <c r="H46" s="6" t="n"/>
      <c r="I46" s="9" t="n">
        <v>2030</v>
      </c>
    </row>
    <row r="47">
      <c r="C47" s="6" t="inlineStr">
        <is>
          <t>Statistic 1</t>
        </is>
      </c>
      <c r="D47" s="8" t="inlineStr">
        <is>
          <t>Statistic 1 - Mean</t>
        </is>
      </c>
      <c r="F47" s="6" t="inlineStr">
        <is>
          <t>Label</t>
        </is>
      </c>
      <c r="G47" s="6" t="inlineStr">
        <is>
          <t>Distribution</t>
        </is>
      </c>
      <c r="H47" s="6" t="n"/>
      <c r="I47" s="9" t="inlineStr">
        <is>
          <t>mean</t>
        </is>
      </c>
    </row>
    <row r="48">
      <c r="C48" s="6" t="inlineStr">
        <is>
          <t>Statistic 2</t>
        </is>
      </c>
      <c r="D48" s="8" t="inlineStr">
        <is>
          <t>Statistic 2 - Median</t>
        </is>
      </c>
      <c r="F48" s="6" t="inlineStr">
        <is>
          <t>Label</t>
        </is>
      </c>
      <c r="G48" s="6" t="inlineStr">
        <is>
          <t>Distribution</t>
        </is>
      </c>
      <c r="H48" s="6" t="n"/>
      <c r="I48" s="9" t="inlineStr">
        <is>
          <t>median</t>
        </is>
      </c>
    </row>
    <row r="49">
      <c r="C49" s="6" t="inlineStr">
        <is>
          <t>Statistic 3</t>
        </is>
      </c>
      <c r="D49" s="8" t="inlineStr">
        <is>
          <t>Statistic 3 - 25th Percentile</t>
        </is>
      </c>
      <c r="F49" s="6" t="inlineStr">
        <is>
          <t>Label</t>
        </is>
      </c>
      <c r="G49" s="6" t="inlineStr">
        <is>
          <t>Distribution</t>
        </is>
      </c>
      <c r="H49" s="6" t="n"/>
      <c r="I49" s="9" t="inlineStr">
        <is>
          <t>p25</t>
        </is>
      </c>
    </row>
    <row r="50">
      <c r="C50" s="6" t="inlineStr">
        <is>
          <t>Statistic 4</t>
        </is>
      </c>
      <c r="D50" s="8" t="inlineStr">
        <is>
          <t>Statistic 4 - 75th Percentile</t>
        </is>
      </c>
      <c r="F50" s="6" t="inlineStr">
        <is>
          <t>Label</t>
        </is>
      </c>
      <c r="G50" s="6" t="inlineStr">
        <is>
          <t>Distribution</t>
        </is>
      </c>
      <c r="H50" s="6" t="n"/>
      <c r="I50" s="9" t="inlineStr">
        <is>
          <t>p75</t>
        </is>
      </c>
    </row>
    <row r="51">
      <c r="C51" s="6" t="inlineStr">
        <is>
          <t>Statistic - Outputs</t>
        </is>
      </c>
      <c r="D51" s="8" t="inlineStr">
        <is>
          <t>Statistic for calculations/figures (default: "mean")</t>
        </is>
      </c>
      <c r="F51" s="6" t="inlineStr">
        <is>
          <t>Label</t>
        </is>
      </c>
      <c r="G51" s="6" t="inlineStr">
        <is>
          <t>MTInputs</t>
        </is>
      </c>
      <c r="H51" s="6" t="n"/>
      <c r="I51" s="9" t="inlineStr">
        <is>
          <t>mean</t>
        </is>
      </c>
    </row>
    <row r="52">
      <c r="C52" s="6" t="inlineStr">
        <is>
          <t>Sample Type 1</t>
        </is>
      </c>
      <c r="D52" s="8" t="inlineStr">
        <is>
          <t>Sample Type 1 - Overall/Total Sample</t>
        </is>
      </c>
      <c r="F52" s="6" t="inlineStr">
        <is>
          <t>Label</t>
        </is>
      </c>
      <c r="G52" s="6" t="inlineStr">
        <is>
          <t>Distribution</t>
        </is>
      </c>
      <c r="H52" s="6" t="n"/>
      <c r="I52" s="9" t="inlineStr">
        <is>
          <t>ove</t>
        </is>
      </c>
    </row>
    <row r="53">
      <c r="C53" s="6" t="inlineStr">
        <is>
          <t>Sample Type 2</t>
        </is>
      </c>
      <c r="D53" s="8" t="inlineStr">
        <is>
          <t>Sample Type 2 - Urban</t>
        </is>
      </c>
      <c r="F53" s="6" t="inlineStr">
        <is>
          <t>Label</t>
        </is>
      </c>
      <c r="G53" s="6" t="inlineStr">
        <is>
          <t>Distribution</t>
        </is>
      </c>
      <c r="H53" s="6" t="n"/>
      <c r="I53" s="9" t="inlineStr">
        <is>
          <t>urb</t>
        </is>
      </c>
    </row>
    <row r="54">
      <c r="C54" s="6" t="inlineStr">
        <is>
          <t>Sample Type 3</t>
        </is>
      </c>
      <c r="D54" s="8" t="inlineStr">
        <is>
          <t>Sample Type 3 - Rural</t>
        </is>
      </c>
      <c r="F54" s="6" t="inlineStr">
        <is>
          <t>Label</t>
        </is>
      </c>
      <c r="G54" s="6" t="inlineStr">
        <is>
          <t>Distribution</t>
        </is>
      </c>
      <c r="H54" s="6" t="n"/>
      <c r="I54" s="9" t="inlineStr">
        <is>
          <t>rur</t>
        </is>
      </c>
    </row>
    <row r="55">
      <c r="C55" s="7" t="inlineStr">
        <is>
          <t>Incidence Adjustments</t>
        </is>
      </c>
    </row>
    <row r="56">
      <c r="C56" s="6" t="inlineStr">
        <is>
          <t>Adjust for behavioral &amp; structural change?</t>
        </is>
      </c>
      <c r="D56" s="8" t="inlineStr">
        <is>
          <t>Whether to adjust consumption incidence for behavioral responses and structural change</t>
        </is>
      </c>
      <c r="F56" s="6" t="inlineStr">
        <is>
          <t>Switch</t>
        </is>
      </c>
      <c r="G56" s="6" t="inlineStr">
        <is>
          <t>MTInputs</t>
        </is>
      </c>
      <c r="H56" s="6" t="n"/>
      <c r="I56" s="9" t="inlineStr">
        <is>
          <t>No</t>
        </is>
      </c>
    </row>
    <row r="57">
      <c r="C57" s="6" t="inlineStr">
        <is>
          <t>CP Revenues - Distributional Analysis</t>
        </is>
      </c>
      <c r="D57" s="8" t="inlineStr">
        <is>
          <t>Expected climate mitigation policy scenario revenues based on distributional analysis, sum across deciles</t>
        </is>
      </c>
      <c r="F57" s="6" t="inlineStr">
        <is>
          <t>Real 2026 LCU</t>
        </is>
      </c>
      <c r="G57" s="6" t="inlineStr">
        <is>
          <t>Distribution</t>
        </is>
      </c>
      <c r="H57" s="6" t="n"/>
      <c r="I57" s="9" t="n">
        <v>658112557861.5359</v>
      </c>
    </row>
    <row r="58">
      <c r="C58" s="6" t="inlineStr">
        <is>
          <t>Behavioral Response Adj. Factor</t>
        </is>
      </c>
      <c r="D58" s="8" t="inlineStr">
        <is>
          <t>Consumption adjustment factor for behavioral responses and structural change</t>
        </is>
      </c>
      <c r="F58" s="6" t="inlineStr">
        <is>
          <t>Ratio</t>
        </is>
      </c>
      <c r="G58" s="6" t="inlineStr">
        <is>
          <t>Distribution</t>
        </is>
      </c>
      <c r="H58" s="6" t="n"/>
      <c r="I58" s="9" t="n">
        <v>1</v>
      </c>
    </row>
    <row r="59">
      <c r="C59" s="6" t="inlineStr">
        <is>
          <t>Adjust for deadweight losses?</t>
        </is>
      </c>
      <c r="D59" s="8" t="inlineStr">
        <is>
          <t>Whether to adjust consumption incidence for deadweight losses</t>
        </is>
      </c>
      <c r="F59" s="6" t="n"/>
      <c r="G59" s="6" t="n"/>
      <c r="H59" s="6" t="n"/>
      <c r="I59" s="9" t="inlineStr">
        <is>
          <t>No</t>
        </is>
      </c>
    </row>
    <row r="60">
      <c r="C60" s="6" t="inlineStr">
        <is>
          <t>Decile-specific price elasticities of demand?</t>
        </is>
      </c>
      <c r="D60" s="8" t="inlineStr">
        <is>
          <t>Whether to adjust consumption incidence for price elasticities of demand by decile</t>
        </is>
      </c>
      <c r="F60" s="6" t="inlineStr">
        <is>
          <t>Switch</t>
        </is>
      </c>
      <c r="G60" s="6" t="inlineStr">
        <is>
          <t>MTInputs</t>
        </is>
      </c>
      <c r="H60" s="6" t="n"/>
      <c r="I60" s="9" t="inlineStr">
        <is>
          <t>Yes</t>
        </is>
      </c>
    </row>
    <row r="61">
      <c r="C61" s="6" t="inlineStr">
        <is>
          <t>Data on decile-specific price elasticities of demand?</t>
        </is>
      </c>
      <c r="D61" s="8" t="inlineStr">
        <is>
          <t>Whether there is data on price elasticities of demand by decile</t>
        </is>
      </c>
      <c r="F61" s="6" t="inlineStr">
        <is>
          <t>Switch</t>
        </is>
      </c>
      <c r="G61" s="6" t="inlineStr">
        <is>
          <t>Distribution</t>
        </is>
      </c>
      <c r="H61" s="6" t="n"/>
      <c r="I61" s="9" t="inlineStr">
        <is>
          <t>Yes</t>
        </is>
      </c>
    </row>
    <row r="62">
      <c r="C62" s="6" t="inlineStr">
        <is>
          <t>Assume imperfect pass-through?</t>
        </is>
      </c>
      <c r="D62" s="8" t="inlineStr">
        <is>
          <t>Whether to adjust consumption incidence for partial pass-through of commodity price changes onto retail/consumer prices</t>
        </is>
      </c>
      <c r="F62" s="6" t="inlineStr">
        <is>
          <t>Switch</t>
        </is>
      </c>
      <c r="G62" s="6" t="inlineStr">
        <is>
          <t>MTInputs</t>
        </is>
      </c>
      <c r="H62" s="6" t="n"/>
      <c r="I62" s="9" t="inlineStr">
        <is>
          <t>No</t>
        </is>
      </c>
    </row>
    <row r="63">
      <c r="C63" s="7" t="inlineStr">
        <is>
          <t>Climate Mitigation Policy Revenues</t>
        </is>
      </c>
    </row>
    <row r="64">
      <c r="C64" s="6" t="inlineStr">
        <is>
          <t>CP Amount - End Year</t>
        </is>
      </c>
      <c r="D64" s="8" t="inlineStr">
        <is>
          <t>Carbon price in end year of climate mitigation policy scenario</t>
        </is>
      </c>
      <c r="F64" s="6" t="inlineStr">
        <is>
          <t>Real 2026 $/ton CO2</t>
        </is>
      </c>
      <c r="G64" s="6" t="inlineStr">
        <is>
          <t>Mitigation</t>
        </is>
      </c>
      <c r="H64" s="6" t="n"/>
      <c r="I64" s="9" t="n">
        <v>50</v>
      </c>
    </row>
    <row r="65">
      <c r="C65" s="6" t="inlineStr">
        <is>
          <t>CP Amount - Analysis Year</t>
        </is>
      </c>
      <c r="D65" s="8" t="inlineStr">
        <is>
          <t>Carbon price in year of interest for distributional analysis</t>
        </is>
      </c>
      <c r="F65" s="6" t="inlineStr">
        <is>
          <t>Real 2026 $/ton CO2</t>
        </is>
      </c>
      <c r="G65" s="6" t="inlineStr">
        <is>
          <t>Mitigation</t>
        </is>
      </c>
      <c r="H65" s="6" t="inlineStr">
        <is>
          <t>egy.mit.cptraj.2</t>
        </is>
      </c>
      <c r="I65" s="9" t="n">
        <v>50</v>
      </c>
    </row>
    <row r="66">
      <c r="C66" s="6" t="inlineStr">
        <is>
          <t>CP Revenue - Analysis Year</t>
        </is>
      </c>
      <c r="D66" s="8" t="inlineStr">
        <is>
          <t>Additional revenues from climate mitigation policy scenario</t>
        </is>
      </c>
      <c r="F66" s="6" t="inlineStr">
        <is>
          <t>% GDP</t>
        </is>
      </c>
      <c r="G66" s="6" t="inlineStr">
        <is>
          <t>Mitigation</t>
        </is>
      </c>
      <c r="H66" s="6" t="n"/>
      <c r="I66" s="9" t="n">
        <v>1.801453809690079</v>
      </c>
    </row>
    <row r="67">
      <c r="C67" s="6" t="inlineStr">
        <is>
          <t>CP Revenue - Analysis Year</t>
        </is>
      </c>
      <c r="D67" s="8" t="inlineStr">
        <is>
          <t>Additional revenues from climate mitigation policy scenario</t>
        </is>
      </c>
      <c r="F67" s="6" t="inlineStr">
        <is>
          <t>Real 2026 LCU</t>
        </is>
      </c>
      <c r="G67" s="6" t="inlineStr">
        <is>
          <t>Distribution</t>
        </is>
      </c>
      <c r="H67" s="6" t="n"/>
      <c r="I67" s="9" t="n">
        <v>684023687068.2189</v>
      </c>
    </row>
    <row r="68">
      <c r="C68" s="7" t="inlineStr">
        <is>
          <t>Revenue Recycling Options</t>
        </is>
      </c>
    </row>
    <row r="69">
      <c r="C69" s="7" t="inlineStr">
        <is>
          <t>Labor Tax Reductions</t>
        </is>
      </c>
    </row>
    <row r="70">
      <c r="C70" s="6" t="inlineStr">
        <is>
          <t>Labor tax data covered?</t>
        </is>
      </c>
      <c r="D70" s="8" t="n"/>
      <c r="F70" s="6" t="inlineStr">
        <is>
          <t>Switch</t>
        </is>
      </c>
      <c r="G70" s="6" t="inlineStr">
        <is>
          <t>Distribution</t>
        </is>
      </c>
      <c r="H70" s="6" t="n"/>
      <c r="I70" s="9" t="inlineStr">
        <is>
          <t>Yes</t>
        </is>
      </c>
    </row>
    <row r="71">
      <c r="C71" s="6" t="inlineStr">
        <is>
          <t>Labor Tax Reduction Method - Option 1</t>
        </is>
      </c>
      <c r="D71" s="8" t="n"/>
      <c r="F71" s="6" t="inlineStr">
        <is>
          <t>Label</t>
        </is>
      </c>
      <c r="G71" s="6" t="inlineStr">
        <is>
          <t>Distribution</t>
        </is>
      </c>
      <c r="H71" s="6" t="n"/>
      <c r="I71" s="9" t="inlineStr">
        <is>
          <t>Personal Allowance</t>
        </is>
      </c>
    </row>
    <row r="72">
      <c r="C72" s="6" t="inlineStr">
        <is>
          <t>Labor Tax Reduction Method - Option 2</t>
        </is>
      </c>
      <c r="D72" s="8" t="n"/>
      <c r="F72" s="6" t="inlineStr">
        <is>
          <t>Label</t>
        </is>
      </c>
      <c r="G72" s="6" t="inlineStr">
        <is>
          <t>Distribution</t>
        </is>
      </c>
      <c r="H72" s="6" t="n"/>
      <c r="I72" s="9" t="inlineStr">
        <is>
          <t>Proportional Compensation</t>
        </is>
      </c>
    </row>
    <row r="73">
      <c r="C73" s="6" t="inlineStr">
        <is>
          <t>Labor Tax Reduction Method - Option 3</t>
        </is>
      </c>
      <c r="D73" s="8" t="n"/>
      <c r="F73" s="6" t="inlineStr">
        <is>
          <t>Label</t>
        </is>
      </c>
      <c r="G73" s="6" t="inlineStr">
        <is>
          <t>Distribution</t>
        </is>
      </c>
      <c r="H73" s="6" t="n"/>
      <c r="I73" s="9" t="inlineStr">
        <is>
          <t>Targeted Exemption</t>
        </is>
      </c>
    </row>
    <row r="74">
      <c r="C74" s="6" t="inlineStr">
        <is>
          <t>CP Revenue - Labor Tax Reductions - Analysis Year</t>
        </is>
      </c>
      <c r="D74" s="8" t="inlineStr">
        <is>
          <t>Percent climate mitigation policy revenues used for labor tax reductions in year of interest for distributional analysis</t>
        </is>
      </c>
      <c r="F74" s="6" t="inlineStr">
        <is>
          <t>% Total</t>
        </is>
      </c>
      <c r="G74" s="6" t="inlineStr">
        <is>
          <t>MTInputs</t>
        </is>
      </c>
      <c r="H74" s="6" t="n"/>
      <c r="I74" s="9" t="n">
        <v>30</v>
      </c>
    </row>
    <row r="75">
      <c r="C75" s="6" t="inlineStr">
        <is>
          <t>CP Revenue - Labor Tax Reductions - Analysis Year</t>
        </is>
      </c>
      <c r="D75" s="8" t="inlineStr">
        <is>
          <t>Climate mitigation policy revenues used for labor tax reductions in year of interest for distributional analysis</t>
        </is>
      </c>
      <c r="F75" s="6" t="inlineStr">
        <is>
          <t>% GDP</t>
        </is>
      </c>
      <c r="G75" s="6" t="inlineStr">
        <is>
          <t>Distribution</t>
        </is>
      </c>
      <c r="H75" s="6" t="n"/>
      <c r="I75" s="9" t="n">
        <v>0.5404361429070238</v>
      </c>
    </row>
    <row r="76">
      <c r="C76" s="6" t="inlineStr">
        <is>
          <t>CP Revenue - Labor Tax Reductions - Analysis Year</t>
        </is>
      </c>
      <c r="D76" s="8" t="inlineStr">
        <is>
          <t>Climate mitigation policy revenues used for labor tax reductions in year of interest for distributional analysis</t>
        </is>
      </c>
      <c r="F76" s="6" t="inlineStr">
        <is>
          <t>Real 2026 LCU</t>
        </is>
      </c>
      <c r="G76" s="6" t="inlineStr">
        <is>
          <t>Distribution</t>
        </is>
      </c>
      <c r="H76" s="6" t="n"/>
      <c r="I76" s="9" t="n">
        <v>205207106120.4657</v>
      </c>
    </row>
    <row r="77">
      <c r="C77" s="6" t="inlineStr">
        <is>
          <t>Baseline PIT Revenues - Analysis Year</t>
        </is>
      </c>
      <c r="D77" s="8" t="inlineStr">
        <is>
          <t>Total personal income tax (PIT) revenues-to-GDP in year of interest for distributional analysis (assumed constant)</t>
        </is>
      </c>
      <c r="F77" s="6" t="inlineStr">
        <is>
          <t>% GDP</t>
        </is>
      </c>
      <c r="G77" s="6" t="inlineStr">
        <is>
          <t>HHSurvey</t>
        </is>
      </c>
      <c r="H77" s="6" t="inlineStr">
        <is>
          <t>egy.distn.bsh.dec.ove.mean</t>
        </is>
      </c>
      <c r="I77" s="9" t="n">
        <v>1.569999477391376</v>
      </c>
    </row>
    <row r="78">
      <c r="C78" s="6" t="inlineStr">
        <is>
          <t>Baseline PIT Revenues - Analysis Year</t>
        </is>
      </c>
      <c r="D78" s="8" t="inlineStr">
        <is>
          <t>Total personal income tax (PIT) revenues in year of interest for distributional analysis</t>
        </is>
      </c>
      <c r="F78" s="6" t="inlineStr">
        <is>
          <t>Real 2026 LCU</t>
        </is>
      </c>
      <c r="G78" s="6" t="inlineStr">
        <is>
          <t>Distribution</t>
        </is>
      </c>
      <c r="H78" s="6" t="n"/>
      <c r="I78" s="9" t="n">
        <v>596138976999.4611</v>
      </c>
    </row>
    <row r="79">
      <c r="C79" s="6" t="inlineStr">
        <is>
          <t>Replace Missing PIT Data Based on:</t>
        </is>
      </c>
      <c r="D79" s="8" t="inlineStr">
        <is>
          <t>Countries with missing data on personal income taxes (PIT) paid are assigned data based on WB income mean</t>
        </is>
      </c>
      <c r="F79" s="6" t="inlineStr">
        <is>
          <t>Switch</t>
        </is>
      </c>
      <c r="G79" s="6" t="inlineStr">
        <is>
          <t>MTInputs</t>
        </is>
      </c>
      <c r="H79" s="6" t="n"/>
      <c r="I79" s="9" t="inlineStr">
        <is>
          <t>income</t>
        </is>
      </c>
    </row>
    <row r="80">
      <c r="C80" s="6" t="inlineStr">
        <is>
          <t>Labor Tax Reduction Method</t>
        </is>
      </c>
      <c r="D80" s="8" t="inlineStr">
        <is>
          <t>Calculation method under CP revenue recycling into labor tax reductions</t>
        </is>
      </c>
      <c r="F80" s="6" t="inlineStr">
        <is>
          <t>Switch</t>
        </is>
      </c>
      <c r="G80" s="6" t="inlineStr">
        <is>
          <t>MTInputs</t>
        </is>
      </c>
      <c r="H80" s="6" t="n"/>
      <c r="I80" s="9" t="inlineStr">
        <is>
          <t>Personal Allowance</t>
        </is>
      </c>
    </row>
    <row r="81">
      <c r="C81" s="6" t="inlineStr">
        <is>
          <t>If "Labor Tax Reduction Method" is "Targeted Exemption", exempt labor taxes for bottom XX deciles:</t>
        </is>
      </c>
      <c r="D81" s="8" t="inlineStr">
        <is>
          <t>Deciles exempt from labor tax liability</t>
        </is>
      </c>
      <c r="F81" s="6" t="inlineStr">
        <is>
          <t>Deciles</t>
        </is>
      </c>
      <c r="G81" s="6" t="inlineStr">
        <is>
          <t>MTInputs</t>
        </is>
      </c>
      <c r="H81" s="6" t="n"/>
      <c r="I81" s="9" t="n">
        <v>4</v>
      </c>
    </row>
    <row r="82">
      <c r="C82" s="6" t="inlineStr">
        <is>
          <t>If Method is "Proportional Compensation", Labor Tax Cut Coefficient</t>
        </is>
      </c>
      <c r="D82" s="8" t="inlineStr">
        <is>
          <t>LCU recycled per LCU of labor taxes paid</t>
        </is>
      </c>
      <c r="F82" s="6" t="inlineStr">
        <is>
          <t>Ratio</t>
        </is>
      </c>
      <c r="G82" s="6" t="inlineStr">
        <is>
          <t>Distribution</t>
        </is>
      </c>
      <c r="H82" s="6" t="n"/>
      <c r="I82" s="9" t="n">
        <v>0.3442269571993632</v>
      </c>
    </row>
    <row r="83">
      <c r="C83" s="7" t="inlineStr">
        <is>
          <t>Targeted Transfers</t>
        </is>
      </c>
    </row>
    <row r="84">
      <c r="C84" s="6" t="inlineStr">
        <is>
          <t>CP Revenue - Targeted Transfer - Analysis Year</t>
        </is>
      </c>
      <c r="D84" s="8" t="inlineStr">
        <is>
          <t>Percent climate mitigation policy revenues used for targeted transfers in year of interest for distributional analysis</t>
        </is>
      </c>
      <c r="F84" s="6" t="inlineStr">
        <is>
          <t>% Total</t>
        </is>
      </c>
      <c r="G84" s="6" t="inlineStr">
        <is>
          <t>MTInputs</t>
        </is>
      </c>
      <c r="H84" s="6" t="n"/>
      <c r="I84" s="9" t="n">
        <v>20</v>
      </c>
    </row>
    <row r="85">
      <c r="C85" s="6" t="inlineStr">
        <is>
          <t>CP Revenue - Targeted Transfer - Analysis Year</t>
        </is>
      </c>
      <c r="D85" s="8" t="inlineStr">
        <is>
          <t>Climate mitigation policy revenues used for targeted transfers in year of interest for distributional analysis</t>
        </is>
      </c>
      <c r="F85" s="6" t="inlineStr">
        <is>
          <t>% GDP</t>
        </is>
      </c>
      <c r="G85" s="6" t="inlineStr">
        <is>
          <t>Distribution</t>
        </is>
      </c>
      <c r="H85" s="6" t="n"/>
      <c r="I85" s="9" t="n">
        <v>0.3602907619380158</v>
      </c>
    </row>
    <row r="86">
      <c r="C86" s="6" t="inlineStr">
        <is>
          <t>CP Revenue - Targeted Transfer - Analysis Year</t>
        </is>
      </c>
      <c r="D86" s="8" t="inlineStr">
        <is>
          <t>Climate mitigation policy revenues used for targeted transfers in year of interest for distributional analysis</t>
        </is>
      </c>
      <c r="F86" s="6" t="inlineStr">
        <is>
          <t>Real 2026 LCU</t>
        </is>
      </c>
      <c r="G86" s="6" t="inlineStr">
        <is>
          <t>Distribution</t>
        </is>
      </c>
      <c r="H86" s="6" t="n"/>
      <c r="I86" s="9" t="n">
        <v>136804737413.6438</v>
      </c>
    </row>
    <row r="87">
      <c r="C87" s="7" t="inlineStr">
        <is>
          <t>Public Investment</t>
        </is>
      </c>
    </row>
    <row r="88">
      <c r="C88" s="6" t="inlineStr">
        <is>
          <t>CP Revenue - Public Investment - Analysis Year</t>
        </is>
      </c>
      <c r="D88" s="8" t="inlineStr">
        <is>
          <t>Percent climate mitigation policy revenues used for public investment in year of interest for distributional analysis</t>
        </is>
      </c>
      <c r="F88" s="6" t="inlineStr">
        <is>
          <t>% Total</t>
        </is>
      </c>
      <c r="G88" s="6" t="inlineStr">
        <is>
          <t>MTInputs</t>
        </is>
      </c>
      <c r="H88" s="6" t="n"/>
      <c r="I88" s="9" t="n">
        <v>50</v>
      </c>
    </row>
    <row r="89">
      <c r="C89" s="6" t="inlineStr">
        <is>
          <t>CP Revenue - Public Investment - Analysis Year</t>
        </is>
      </c>
      <c r="D89" s="8" t="inlineStr">
        <is>
          <t>Climate mitigation policy revenues used for public investment in year of interest for distributional analysis</t>
        </is>
      </c>
      <c r="F89" s="6" t="inlineStr">
        <is>
          <t>% GDP</t>
        </is>
      </c>
      <c r="G89" s="6" t="inlineStr">
        <is>
          <t>Distribution</t>
        </is>
      </c>
      <c r="H89" s="6" t="n"/>
      <c r="I89" s="9" t="n">
        <v>0.9007269048450397</v>
      </c>
    </row>
    <row r="90">
      <c r="C90" s="6" t="inlineStr">
        <is>
          <t>CP Revenue - Public Investment - Analysis Year</t>
        </is>
      </c>
      <c r="D90" s="8" t="inlineStr">
        <is>
          <t>Climate mitigation policy revenues used for public investment in year of interest for distributional analysis</t>
        </is>
      </c>
      <c r="F90" s="6" t="inlineStr">
        <is>
          <t>Real 2026 LCU</t>
        </is>
      </c>
      <c r="G90" s="6" t="inlineStr">
        <is>
          <t>Distribution</t>
        </is>
      </c>
      <c r="H90" s="6" t="n"/>
      <c r="I90" s="9" t="n">
        <v>342011843534.1094</v>
      </c>
    </row>
    <row r="91">
      <c r="C91" s="7" t="inlineStr">
        <is>
          <t>Current Spending</t>
        </is>
      </c>
    </row>
    <row r="92">
      <c r="C92" s="6" t="inlineStr">
        <is>
          <t>CP Revenue - Current Spending - Analysis Year</t>
        </is>
      </c>
      <c r="D92" s="8" t="inlineStr">
        <is>
          <t>Percent climate mitigation policy revenues used for current spending in year of interest for distributional analysis</t>
        </is>
      </c>
      <c r="F92" s="6" t="inlineStr">
        <is>
          <t>% Total</t>
        </is>
      </c>
      <c r="G92" s="6" t="inlineStr">
        <is>
          <t>MTInputs</t>
        </is>
      </c>
      <c r="H92" s="6" t="n"/>
      <c r="I92" s="9" t="n">
        <v>0</v>
      </c>
    </row>
    <row r="93">
      <c r="C93" s="6" t="inlineStr">
        <is>
          <t>CP Revenue - Current Spending - Analysis Year</t>
        </is>
      </c>
      <c r="D93" s="8" t="inlineStr">
        <is>
          <t>Climate mitigation policy revenues used for current spending in year of interest for distributional analysis</t>
        </is>
      </c>
      <c r="F93" s="6" t="inlineStr">
        <is>
          <t>% GDP</t>
        </is>
      </c>
      <c r="G93" s="6" t="inlineStr">
        <is>
          <t>Distribution</t>
        </is>
      </c>
      <c r="H93" s="6" t="n"/>
      <c r="I93" s="9" t="n">
        <v>0</v>
      </c>
    </row>
    <row r="94">
      <c r="C94" s="6" t="inlineStr">
        <is>
          <t>CP Revenue - Current Spending - Analysis Year</t>
        </is>
      </c>
      <c r="D94" s="8" t="inlineStr">
        <is>
          <t>Climate mitigation policy revenues used for current spending in year of interest for distributional analysis</t>
        </is>
      </c>
      <c r="F94" s="6" t="inlineStr">
        <is>
          <t>Real 2026 LCU</t>
        </is>
      </c>
      <c r="G94" s="6" t="inlineStr">
        <is>
          <t>Distribution</t>
        </is>
      </c>
      <c r="H94" s="6" t="n"/>
      <c r="I94" s="9" t="n">
        <v>0</v>
      </c>
    </row>
    <row r="95">
      <c r="C95" s="7" t="inlineStr">
        <is>
          <t>Revenue Recycling Scenarios for Transfers</t>
        </is>
      </c>
    </row>
    <row r="96">
      <c r="C96" s="6" t="inlineStr">
        <is>
          <t>Scenario 0</t>
        </is>
      </c>
      <c r="D96" s="8" t="n"/>
      <c r="F96" s="6" t="inlineStr">
        <is>
          <t>Label</t>
        </is>
      </c>
      <c r="G96" s="6" t="inlineStr">
        <is>
          <t>Distribution</t>
        </is>
      </c>
      <c r="H96" s="6" t="n"/>
      <c r="I96" s="9" t="inlineStr">
        <is>
          <t>Cash</t>
        </is>
      </c>
    </row>
    <row r="97">
      <c r="C97" s="6" t="inlineStr">
        <is>
          <t>Scenario 1</t>
        </is>
      </c>
      <c r="D97" s="8" t="n"/>
      <c r="F97" s="6" t="inlineStr">
        <is>
          <t>Label</t>
        </is>
      </c>
      <c r="G97" s="6" t="inlineStr">
        <is>
          <t>Distribution</t>
        </is>
      </c>
      <c r="H97" s="6" t="n"/>
      <c r="I97" s="9" t="inlineStr">
        <is>
          <t>All Infr.</t>
        </is>
      </c>
    </row>
    <row r="98">
      <c r="C98" s="6" t="inlineStr">
        <is>
          <t>Scenario 2</t>
        </is>
      </c>
      <c r="D98" s="8" t="n"/>
      <c r="F98" s="6" t="inlineStr">
        <is>
          <t>Label</t>
        </is>
      </c>
      <c r="G98" s="6" t="inlineStr">
        <is>
          <t>Distribution</t>
        </is>
      </c>
      <c r="H98" s="6" t="n"/>
      <c r="I98" s="9" t="inlineStr">
        <is>
          <t>ICT Infr.</t>
        </is>
      </c>
    </row>
    <row r="99">
      <c r="C99" s="6" t="inlineStr">
        <is>
          <t>Scenario 3</t>
        </is>
      </c>
      <c r="D99" s="8" t="n"/>
      <c r="F99" s="6" t="inlineStr">
        <is>
          <t>Label</t>
        </is>
      </c>
      <c r="G99" s="6" t="inlineStr">
        <is>
          <t>Distribution</t>
        </is>
      </c>
      <c r="H99" s="6" t="n"/>
      <c r="I99" s="9" t="inlineStr">
        <is>
          <t>Electricity Infr.</t>
        </is>
      </c>
    </row>
    <row r="100">
      <c r="C100" s="6" t="inlineStr">
        <is>
          <t>Scenario 4</t>
        </is>
      </c>
      <c r="D100" s="8" t="n"/>
      <c r="F100" s="6" t="inlineStr">
        <is>
          <t>Label</t>
        </is>
      </c>
      <c r="G100" s="6" t="inlineStr">
        <is>
          <t>Distribution</t>
        </is>
      </c>
      <c r="H100" s="6" t="n"/>
      <c r="I100" s="9" t="inlineStr">
        <is>
          <t>Water Infr.</t>
        </is>
      </c>
    </row>
    <row r="101">
      <c r="C101" s="6" t="inlineStr">
        <is>
          <t>Scenario 5</t>
        </is>
      </c>
      <c r="D101" s="8" t="n"/>
      <c r="F101" s="6" t="inlineStr">
        <is>
          <t>Label</t>
        </is>
      </c>
      <c r="G101" s="6" t="inlineStr">
        <is>
          <t>Distribution</t>
        </is>
      </c>
      <c r="H101" s="6" t="n"/>
      <c r="I101" s="9" t="inlineStr">
        <is>
          <t>Sanitation Infr.</t>
        </is>
      </c>
    </row>
    <row r="102">
      <c r="C102" s="6" t="inlineStr">
        <is>
          <t>Scenario 6</t>
        </is>
      </c>
      <c r="D102" s="8" t="n"/>
      <c r="F102" s="6" t="inlineStr">
        <is>
          <t>Label</t>
        </is>
      </c>
      <c r="G102" s="6" t="inlineStr">
        <is>
          <t>Distribution</t>
        </is>
      </c>
      <c r="H102" s="6" t="n"/>
      <c r="I102" s="9" t="inlineStr">
        <is>
          <t>Public Transport Infr.</t>
        </is>
      </c>
    </row>
    <row r="103">
      <c r="C103" s="7" t="inlineStr">
        <is>
          <t>Infrastructure Access Data Coverage</t>
        </is>
      </c>
    </row>
    <row r="104">
      <c r="C104" s="6" t="inlineStr">
        <is>
          <t>Infrastructure access data generally available?</t>
        </is>
      </c>
      <c r="D104" s="8" t="inlineStr">
        <is>
          <t>Whether any infrastructure access data is available for the selected country</t>
        </is>
      </c>
      <c r="F104" s="6" t="inlineStr">
        <is>
          <t>Switch</t>
        </is>
      </c>
      <c r="G104" s="6" t="inlineStr">
        <is>
          <t>Distribution</t>
        </is>
      </c>
      <c r="H104" s="6" t="n"/>
      <c r="I104" s="9" t="inlineStr">
        <is>
          <t>Yes</t>
        </is>
      </c>
    </row>
    <row r="105">
      <c r="C105" s="6" t="inlineStr">
        <is>
          <t>Infrastructure access data available for active transfer choice?</t>
        </is>
      </c>
      <c r="D105" s="8" t="inlineStr">
        <is>
          <t>Whether any ASPIRE data is available for the selected country and public investment type</t>
        </is>
      </c>
      <c r="F105" s="6" t="inlineStr">
        <is>
          <t>Switch</t>
        </is>
      </c>
      <c r="G105" s="6" t="inlineStr">
        <is>
          <t>Distribution</t>
        </is>
      </c>
      <c r="H105" s="6" t="n"/>
      <c r="I105" s="9" t="inlineStr">
        <is>
          <t>Yes</t>
        </is>
      </c>
    </row>
    <row r="106">
      <c r="C106" s="6" t="inlineStr">
        <is>
          <t>Infrastructure access data code</t>
        </is>
      </c>
      <c r="D106" s="8" t="inlineStr">
        <is>
          <t>Infrastructure access data code</t>
        </is>
      </c>
      <c r="F106" s="6" t="inlineStr">
        <is>
          <t>Label</t>
        </is>
      </c>
      <c r="G106" s="6" t="inlineStr">
        <is>
          <t>Distribution</t>
        </is>
      </c>
      <c r="H106" s="6" t="n"/>
      <c r="I106" s="9" t="inlineStr">
        <is>
          <t>all_acs_share</t>
        </is>
      </c>
    </row>
    <row r="107">
      <c r="C107" s="7" t="inlineStr">
        <is>
          <t>Revenue Recycling Scenarios from ASPIRE Database</t>
        </is>
      </c>
    </row>
    <row r="108">
      <c r="C108" s="6" t="inlineStr">
        <is>
          <t>Scenario 9</t>
        </is>
      </c>
      <c r="D108" s="8" t="n"/>
      <c r="F108" s="6" t="inlineStr">
        <is>
          <t>Label</t>
        </is>
      </c>
      <c r="G108" s="6" t="inlineStr">
        <is>
          <t>ASPIRE</t>
        </is>
      </c>
      <c r="H108" s="6" t="n"/>
      <c r="I108" s="9" t="inlineStr">
        <is>
          <t>Active Labor Market</t>
        </is>
      </c>
    </row>
    <row r="109">
      <c r="C109" s="6" t="inlineStr">
        <is>
          <t>Scenario 10</t>
        </is>
      </c>
      <c r="D109" s="8" t="n"/>
      <c r="F109" s="6" t="inlineStr">
        <is>
          <t>Label</t>
        </is>
      </c>
      <c r="G109" s="6" t="inlineStr">
        <is>
          <t>ASPIRE</t>
        </is>
      </c>
      <c r="H109" s="6" t="n"/>
      <c r="I109" s="9" t="inlineStr">
        <is>
          <t>All Labor Market</t>
        </is>
      </c>
    </row>
    <row r="110">
      <c r="C110" s="6" t="inlineStr">
        <is>
          <t>Scenario 11</t>
        </is>
      </c>
      <c r="D110" s="8" t="n"/>
      <c r="F110" s="6" t="inlineStr">
        <is>
          <t>Label</t>
        </is>
      </c>
      <c r="G110" s="6" t="inlineStr">
        <is>
          <t>ASPIRE</t>
        </is>
      </c>
      <c r="H110" s="6" t="n"/>
      <c r="I110" s="9" t="inlineStr">
        <is>
          <t>All Social Assistance</t>
        </is>
      </c>
    </row>
    <row r="111">
      <c r="C111" s="6" t="inlineStr">
        <is>
          <t>Scenario 12</t>
        </is>
      </c>
      <c r="D111" s="8" t="n"/>
      <c r="F111" s="6" t="inlineStr">
        <is>
          <t>Label</t>
        </is>
      </c>
      <c r="G111" s="6" t="inlineStr">
        <is>
          <t>ASPIRE</t>
        </is>
      </c>
      <c r="H111" s="6" t="n"/>
      <c r="I111" s="9" t="inlineStr">
        <is>
          <t>All Social Insurance</t>
        </is>
      </c>
    </row>
    <row r="112">
      <c r="C112" s="6" t="inlineStr">
        <is>
          <t>Scenario 13</t>
        </is>
      </c>
      <c r="D112" s="8" t="n"/>
      <c r="F112" s="6" t="inlineStr">
        <is>
          <t>Label</t>
        </is>
      </c>
      <c r="G112" s="6" t="inlineStr">
        <is>
          <t>ASPIRE</t>
        </is>
      </c>
      <c r="H112" s="6" t="n"/>
      <c r="I112" s="9" t="inlineStr">
        <is>
          <t>All Social Protection and Labor</t>
        </is>
      </c>
    </row>
    <row r="113">
      <c r="C113" s="6" t="inlineStr">
        <is>
          <t>Scenario 14</t>
        </is>
      </c>
      <c r="D113" s="8" t="n"/>
      <c r="F113" s="6" t="inlineStr">
        <is>
          <t>Label</t>
        </is>
      </c>
      <c r="G113" s="6" t="inlineStr">
        <is>
          <t>ASPIRE</t>
        </is>
      </c>
      <c r="H113" s="6" t="n"/>
      <c r="I113" s="9" t="inlineStr">
        <is>
          <t>Cash Transfers</t>
        </is>
      </c>
    </row>
    <row r="114">
      <c r="C114" s="6" t="inlineStr">
        <is>
          <t>Scenario 15</t>
        </is>
      </c>
      <c r="D114" s="8" t="n"/>
      <c r="F114" s="6" t="inlineStr">
        <is>
          <t>Label</t>
        </is>
      </c>
      <c r="G114" s="6" t="inlineStr">
        <is>
          <t>ASPIRE</t>
        </is>
      </c>
      <c r="H114" s="6" t="n"/>
      <c r="I114" s="9" t="inlineStr">
        <is>
          <t>Conditional Cash Transfers</t>
        </is>
      </c>
    </row>
    <row r="115">
      <c r="C115" s="6" t="inlineStr">
        <is>
          <t>Scenario 16</t>
        </is>
      </c>
      <c r="D115" s="8" t="n"/>
      <c r="F115" s="6" t="inlineStr">
        <is>
          <t>Label</t>
        </is>
      </c>
      <c r="G115" s="6" t="inlineStr">
        <is>
          <t>ASPIRE</t>
        </is>
      </c>
      <c r="H115" s="6" t="n"/>
      <c r="I115" s="9" t="inlineStr">
        <is>
          <t>Contributory Pensions</t>
        </is>
      </c>
    </row>
    <row r="116">
      <c r="C116" s="6" t="inlineStr">
        <is>
          <t>Scenario 17</t>
        </is>
      </c>
      <c r="D116" s="8" t="n"/>
      <c r="F116" s="6" t="inlineStr">
        <is>
          <t>Label</t>
        </is>
      </c>
      <c r="G116" s="6" t="inlineStr">
        <is>
          <t>ASPIRE</t>
        </is>
      </c>
      <c r="H116" s="6" t="n"/>
      <c r="I116" s="9" t="inlineStr">
        <is>
          <t>Fee waivers and targeted subsidies</t>
        </is>
      </c>
    </row>
    <row r="117">
      <c r="C117" s="6" t="inlineStr">
        <is>
          <t>Scenario 18</t>
        </is>
      </c>
      <c r="D117" s="8" t="n"/>
      <c r="F117" s="6" t="inlineStr">
        <is>
          <t>Label</t>
        </is>
      </c>
      <c r="G117" s="6" t="inlineStr">
        <is>
          <t>ASPIRE</t>
        </is>
      </c>
      <c r="H117" s="6" t="n"/>
      <c r="I117" s="9" t="inlineStr">
        <is>
          <t>In-Kind</t>
        </is>
      </c>
    </row>
    <row r="118">
      <c r="C118" s="6" t="inlineStr">
        <is>
          <t>Scenario 19</t>
        </is>
      </c>
      <c r="D118" s="8" t="n"/>
      <c r="F118" s="6" t="inlineStr">
        <is>
          <t>Label</t>
        </is>
      </c>
      <c r="G118" s="6" t="inlineStr">
        <is>
          <t>ASPIRE</t>
        </is>
      </c>
      <c r="H118" s="6" t="n"/>
      <c r="I118" s="9" t="inlineStr">
        <is>
          <t>Other Social Assistance</t>
        </is>
      </c>
    </row>
    <row r="119">
      <c r="C119" s="6" t="inlineStr">
        <is>
          <t>Scenario 20</t>
        </is>
      </c>
      <c r="D119" s="8" t="n"/>
      <c r="F119" s="6" t="inlineStr">
        <is>
          <t>Label</t>
        </is>
      </c>
      <c r="G119" s="6" t="inlineStr">
        <is>
          <t>ASPIRE</t>
        </is>
      </c>
      <c r="H119" s="6" t="n"/>
      <c r="I119" s="9" t="inlineStr">
        <is>
          <t>Other Social Insurance</t>
        </is>
      </c>
    </row>
    <row r="120">
      <c r="C120" s="6" t="inlineStr">
        <is>
          <t>Scenario 21</t>
        </is>
      </c>
      <c r="D120" s="8" t="n"/>
      <c r="F120" s="6" t="inlineStr">
        <is>
          <t>Label</t>
        </is>
      </c>
      <c r="G120" s="6" t="inlineStr">
        <is>
          <t>ASPIRE</t>
        </is>
      </c>
      <c r="H120" s="6" t="n"/>
      <c r="I120" s="9" t="inlineStr">
        <is>
          <t>Passive Labor Market</t>
        </is>
      </c>
    </row>
    <row r="121">
      <c r="C121" s="6" t="inlineStr">
        <is>
          <t>Scenario 22</t>
        </is>
      </c>
      <c r="D121" s="8" t="n"/>
      <c r="F121" s="6" t="inlineStr">
        <is>
          <t>Label</t>
        </is>
      </c>
      <c r="G121" s="6" t="inlineStr">
        <is>
          <t>ASPIRE</t>
        </is>
      </c>
      <c r="H121" s="6" t="n"/>
      <c r="I121" s="9" t="inlineStr">
        <is>
          <t>Public Works</t>
        </is>
      </c>
    </row>
    <row r="122">
      <c r="C122" s="6" t="inlineStr">
        <is>
          <t>Scenario 23</t>
        </is>
      </c>
      <c r="D122" s="8" t="n"/>
      <c r="F122" s="6" t="inlineStr">
        <is>
          <t>Label</t>
        </is>
      </c>
      <c r="G122" s="6" t="inlineStr">
        <is>
          <t>ASPIRE</t>
        </is>
      </c>
      <c r="H122" s="6" t="n"/>
      <c r="I122" s="9" t="inlineStr">
        <is>
          <t>School Feeding</t>
        </is>
      </c>
    </row>
    <row r="123">
      <c r="C123" s="6" t="inlineStr">
        <is>
          <t>Scenario 24</t>
        </is>
      </c>
      <c r="D123" s="8" t="n"/>
      <c r="F123" s="6" t="inlineStr">
        <is>
          <t>Label</t>
        </is>
      </c>
      <c r="G123" s="6" t="inlineStr">
        <is>
          <t>ASPIRE</t>
        </is>
      </c>
      <c r="H123" s="6" t="n"/>
      <c r="I123" s="9" t="inlineStr">
        <is>
          <t>Social Pensions</t>
        </is>
      </c>
    </row>
    <row r="124">
      <c r="C124" s="7" t="inlineStr">
        <is>
          <t>ASPIRE Database Coverage</t>
        </is>
      </c>
    </row>
    <row r="125">
      <c r="C125" s="6" t="inlineStr">
        <is>
          <t>ASPIRE data generally available?</t>
        </is>
      </c>
      <c r="D125" s="8" t="inlineStr">
        <is>
          <t>Whether any ASPIRE data is available for the selected country</t>
        </is>
      </c>
      <c r="F125" s="6" t="inlineStr">
        <is>
          <t>Switch</t>
        </is>
      </c>
      <c r="G125" s="6" t="inlineStr">
        <is>
          <t>Distribution</t>
        </is>
      </c>
      <c r="H125" s="6" t="n"/>
      <c r="I125" s="9" t="inlineStr">
        <is>
          <t>Yes</t>
        </is>
      </c>
    </row>
    <row r="126">
      <c r="C126" s="6" t="inlineStr">
        <is>
          <t>ASPIRE data available for active targeted transfer choice?</t>
        </is>
      </c>
      <c r="D126" s="8" t="inlineStr">
        <is>
          <t>Whether any ASPIRE data is available for the selected country and targeted transfer type</t>
        </is>
      </c>
      <c r="F126" s="6" t="inlineStr">
        <is>
          <t>Switch</t>
        </is>
      </c>
      <c r="G126" s="6" t="inlineStr">
        <is>
          <t>Distribution</t>
        </is>
      </c>
      <c r="H126" s="6" t="n"/>
      <c r="I126" s="9" t="inlineStr">
        <is>
          <t>n.a.</t>
        </is>
      </c>
    </row>
    <row r="127">
      <c r="C127" s="6" t="inlineStr">
        <is>
          <t>ASPIRE data available for active current spending choice?</t>
        </is>
      </c>
      <c r="D127" s="8" t="inlineStr">
        <is>
          <t>Whether any ASPIRE data is available for the selected country and current spending type</t>
        </is>
      </c>
      <c r="F127" s="6" t="inlineStr">
        <is>
          <t>Switch</t>
        </is>
      </c>
      <c r="G127" s="6" t="inlineStr">
        <is>
          <t>Distribution</t>
        </is>
      </c>
      <c r="H127" s="6" t="n"/>
      <c r="I127" s="9" t="inlineStr">
        <is>
          <t>Yes</t>
        </is>
      </c>
    </row>
    <row r="128">
      <c r="C128" s="6" t="inlineStr">
        <is>
          <t>Using ASPIRE for targeted transfer?</t>
        </is>
      </c>
      <c r="D128" s="8" t="inlineStr">
        <is>
          <t>Whether ASPIRE data is being used for targeted transfer calculations</t>
        </is>
      </c>
      <c r="F128" s="6" t="inlineStr">
        <is>
          <t>Switch</t>
        </is>
      </c>
      <c r="G128" s="6" t="inlineStr">
        <is>
          <t>Dashboard</t>
        </is>
      </c>
      <c r="H128" s="6" t="n"/>
      <c r="I128" s="9" t="inlineStr">
        <is>
          <t>No</t>
        </is>
      </c>
    </row>
    <row r="129">
      <c r="C129" s="6" t="inlineStr">
        <is>
          <t>ASPIRE targeted transfer code</t>
        </is>
      </c>
      <c r="D129" s="8" t="inlineStr">
        <is>
          <t>ASPIRE targeted transfer code</t>
        </is>
      </c>
      <c r="F129" s="6" t="inlineStr">
        <is>
          <t>Label</t>
        </is>
      </c>
      <c r="G129" s="6" t="inlineStr">
        <is>
          <t>ASPIRE</t>
        </is>
      </c>
      <c r="H129" s="6" t="n"/>
      <c r="I129" s="9" t="inlineStr">
        <is>
          <t>n.a.</t>
        </is>
      </c>
    </row>
    <row r="130">
      <c r="C130" s="6" t="inlineStr">
        <is>
          <t>ASPIRE current spending code</t>
        </is>
      </c>
      <c r="D130" s="8" t="inlineStr">
        <is>
          <t>ASPIRE current spending code</t>
        </is>
      </c>
      <c r="F130" s="6" t="inlineStr">
        <is>
          <t>Label</t>
        </is>
      </c>
      <c r="G130" s="6" t="inlineStr">
        <is>
          <t>ASPIRE</t>
        </is>
      </c>
      <c r="H130" s="6" t="n"/>
      <c r="I130" s="9" t="inlineStr">
        <is>
          <t>per_allsp.avt_q</t>
        </is>
      </c>
    </row>
    <row r="131">
      <c r="C131" s="7" t="inlineStr">
        <is>
          <t>For Rebasing of ASPIRE Database</t>
        </is>
      </c>
    </row>
    <row r="132">
      <c r="C132" s="6" t="inlineStr">
        <is>
          <t>ASPIRE Data Year</t>
        </is>
      </c>
      <c r="D132" s="8" t="inlineStr">
        <is>
          <t>Latest available year of ASPIRE data</t>
        </is>
      </c>
      <c r="F132" s="6" t="inlineStr">
        <is>
          <t>Calendar Years</t>
        </is>
      </c>
      <c r="G132" s="6" t="inlineStr">
        <is>
          <t>ASPIRE</t>
        </is>
      </c>
      <c r="H132" s="6" t="inlineStr">
        <is>
          <t>egy</t>
        </is>
      </c>
      <c r="I132" s="9" t="n">
        <v>2008</v>
      </c>
    </row>
    <row r="133">
      <c r="C133" s="6" t="inlineStr">
        <is>
          <t>2011 GDP Deflator</t>
        </is>
      </c>
      <c r="D133" s="8" t="inlineStr">
        <is>
          <t>ASPIRE year PPP GDP deflator</t>
        </is>
      </c>
      <c r="F133" s="6" t="inlineStr">
        <is>
          <t>GDP Deflator</t>
        </is>
      </c>
      <c r="G133" s="6" t="inlineStr">
        <is>
          <t>Mitigation</t>
        </is>
      </c>
      <c r="H133" s="6" t="inlineStr">
        <is>
          <t>egy.ngdp_d.a</t>
        </is>
      </c>
      <c r="I133" s="9" t="n">
        <v>28.744735</v>
      </c>
    </row>
    <row r="134">
      <c r="C134" s="6" t="inlineStr">
        <is>
          <t>2008 GDP Deflator</t>
        </is>
      </c>
      <c r="D134" s="8" t="inlineStr">
        <is>
          <t>ASPIRE year GDP deflator</t>
        </is>
      </c>
      <c r="F134" s="6" t="inlineStr">
        <is>
          <t>GDP Deflator</t>
        </is>
      </c>
      <c r="G134" s="6" t="inlineStr">
        <is>
          <t>Mitigation</t>
        </is>
      </c>
      <c r="H134" s="6" t="inlineStr">
        <is>
          <t>egy.ngdp_d.a</t>
        </is>
      </c>
      <c r="I134" s="9" t="n">
        <v>21.02744</v>
      </c>
    </row>
    <row r="135">
      <c r="C135" s="6" t="inlineStr">
        <is>
          <t>2026 GDP Deflator</t>
        </is>
      </c>
      <c r="D135" s="8" t="inlineStr">
        <is>
          <t>Mitigation Module reference GDP deflator</t>
        </is>
      </c>
      <c r="F135" s="6" t="inlineStr">
        <is>
          <t>GDP Deflator</t>
        </is>
      </c>
      <c r="G135" s="6" t="inlineStr">
        <is>
          <t>Mitigation</t>
        </is>
      </c>
      <c r="H135" s="6" t="inlineStr">
        <is>
          <t>egy.ngdp_d.a</t>
        </is>
      </c>
      <c r="I135" s="9" t="n">
        <v>234.718325</v>
      </c>
    </row>
    <row r="136">
      <c r="C136" s="6" t="inlineStr">
        <is>
          <t>GDP Deflator Ratio</t>
        </is>
      </c>
      <c r="D136" s="8" t="inlineStr">
        <is>
          <t>Ratio of 2011 to Mitigation Module reference GDP deflator</t>
        </is>
      </c>
      <c r="F136" s="6" t="inlineStr">
        <is>
          <t>Ratio</t>
        </is>
      </c>
      <c r="G136" s="6" t="n"/>
      <c r="H136" s="6" t="n"/>
      <c r="I136" s="10">
        <f>$I$135/$I$133</f>
        <v/>
      </c>
    </row>
    <row r="137">
      <c r="C137" s="7" t="inlineStr">
        <is>
          <t>Exemptions</t>
        </is>
      </c>
    </row>
    <row r="138">
      <c r="C138" s="6" t="inlineStr">
        <is>
          <t>Exempt most-used cooking fossil fuel?</t>
        </is>
      </c>
      <c r="D138" s="8" t="inlineStr">
        <is>
          <t>Whether "direct (incidence) effect" will be set to zero for most-used cooking fossil fuel, if exempt</t>
        </is>
      </c>
      <c r="F138" s="6" t="inlineStr">
        <is>
          <t>Switch</t>
        </is>
      </c>
      <c r="G138" s="6" t="inlineStr">
        <is>
          <t>MTInputs</t>
        </is>
      </c>
      <c r="H138" s="6" t="n"/>
      <c r="I138" s="9" t="inlineStr">
        <is>
          <t>No</t>
        </is>
      </c>
    </row>
    <row r="139">
      <c r="C139" s="6" t="inlineStr">
        <is>
          <t>Cooking fossil fuel exempt (if applicable)</t>
        </is>
      </c>
      <c r="D139" s="8" t="inlineStr">
        <is>
          <t>Cooking fossil fuel for which direct effect will be set to zero, if exempt</t>
        </is>
      </c>
      <c r="F139" s="6" t="inlineStr">
        <is>
          <t>Label</t>
        </is>
      </c>
      <c r="G139" s="6" t="inlineStr">
        <is>
          <t>WHOfuelshares</t>
        </is>
      </c>
      <c r="H139" s="6" t="inlineStr">
        <is>
          <t>egy.distn.pcoff.ove</t>
        </is>
      </c>
      <c r="I139" s="9" t="inlineStr">
        <is>
          <t>n.a.</t>
        </is>
      </c>
    </row>
    <row r="140">
      <c r="C140" s="6" t="inlineStr">
        <is>
          <t>Share of exempt cooking fossil fuel</t>
        </is>
      </c>
      <c r="D140" s="8" t="inlineStr">
        <is>
          <t>Share of exempt cooking fossil fuel in total cooking fossil fuel use</t>
        </is>
      </c>
      <c r="F140" s="6" t="inlineStr">
        <is>
          <t>Ratio</t>
        </is>
      </c>
      <c r="G140" s="6" t="inlineStr">
        <is>
          <t>WHOfuelshares</t>
        </is>
      </c>
      <c r="H140" s="6" t="inlineStr">
        <is>
          <t>egy.distn.pcoff.ove</t>
        </is>
      </c>
      <c r="I140" s="9" t="inlineStr">
        <is>
          <t>n.a.</t>
        </is>
      </c>
    </row>
    <row r="141">
      <c r="C141" s="6" t="inlineStr">
        <is>
          <t>Exempt cooking fossil fuel for bottom XX deciles</t>
        </is>
      </c>
      <c r="D141" s="8" t="inlineStr">
        <is>
          <t>Deciles for which "direct (incidence) effect" will be set to zero for most-used cooking fossil fuel, if exempt</t>
        </is>
      </c>
      <c r="F141" s="6" t="inlineStr">
        <is>
          <t>Deciles</t>
        </is>
      </c>
      <c r="G141" s="6" t="inlineStr">
        <is>
          <t>MTInputs</t>
        </is>
      </c>
      <c r="H141" s="6" t="n"/>
      <c r="I141" s="9" t="n">
        <v>4</v>
      </c>
    </row>
    <row r="142">
      <c r="C142" s="7" t="inlineStr">
        <is>
          <t>Population</t>
        </is>
      </c>
    </row>
    <row r="143">
      <c r="C143" s="6" t="inlineStr">
        <is>
          <t>Population - Survey Year</t>
        </is>
      </c>
      <c r="D143" s="8" t="inlineStr">
        <is>
          <t>Total population in household budget survey year</t>
        </is>
      </c>
      <c r="F143" s="6" t="inlineStr">
        <is>
          <t>Individuals</t>
        </is>
      </c>
      <c r="G143" s="6" t="inlineStr">
        <is>
          <t>HHSurvey</t>
        </is>
      </c>
      <c r="H143" s="6" t="inlineStr">
        <is>
          <t>egy.distn.popw.bkt.ove</t>
        </is>
      </c>
      <c r="I143" s="10">
        <f>_xlfn.XLOOKUP("Overall|Basket|mean|9999",HHSurvey_Key,INDEX(HHSurvey_Data,0,MATCH("popw",HHSurvey_Headers,0)))</f>
        <v/>
      </c>
    </row>
    <row r="144">
      <c r="C144" s="6" t="inlineStr">
        <is>
          <t>Population - End Year</t>
        </is>
      </c>
      <c r="D144" s="8" t="inlineStr">
        <is>
          <t>Total population in end year of climate mitigation policy scenario</t>
        </is>
      </c>
      <c r="F144" s="6" t="inlineStr">
        <is>
          <t>Individuals</t>
        </is>
      </c>
      <c r="G144" s="6" t="inlineStr">
        <is>
          <t>Mitigation</t>
        </is>
      </c>
      <c r="H144" s="6" t="n"/>
      <c r="I144" s="9" t="n">
        <v>120298263</v>
      </c>
    </row>
    <row r="145">
      <c r="C145" s="6" t="inlineStr">
        <is>
          <t>Population - Analysis Year</t>
        </is>
      </c>
      <c r="D145" s="8" t="inlineStr">
        <is>
          <t>Total population in year of interest for distributional analysis</t>
        </is>
      </c>
      <c r="F145" s="6" t="inlineStr">
        <is>
          <t>Individuals</t>
        </is>
      </c>
      <c r="G145" s="6" t="inlineStr">
        <is>
          <t>Mitigation</t>
        </is>
      </c>
      <c r="H145" s="6" t="n"/>
      <c r="I145" s="9" t="n">
        <v>120298263</v>
      </c>
    </row>
    <row r="146">
      <c r="C146" s="6" t="inlineStr">
        <is>
          <t>Population Adj. Factor</t>
        </is>
      </c>
      <c r="D146" s="8" t="inlineStr">
        <is>
          <t>Adjustment factor for total household budget survey population</t>
        </is>
      </c>
      <c r="F146" s="6" t="inlineStr">
        <is>
          <t>Ratio</t>
        </is>
      </c>
      <c r="G146" s="6" t="inlineStr">
        <is>
          <t>Distribution</t>
        </is>
      </c>
      <c r="H146" s="6" t="n"/>
      <c r="I146" s="10">
        <f>$I$145/$I$143</f>
        <v/>
      </c>
    </row>
    <row r="147">
      <c r="C147" s="7" t="inlineStr">
        <is>
          <t>Gross Domestic Product</t>
        </is>
      </c>
    </row>
    <row r="148">
      <c r="C148" s="6" t="inlineStr">
        <is>
          <t>Real GDP - Start Year</t>
        </is>
      </c>
      <c r="D148" s="8" t="inlineStr">
        <is>
          <t>Real GDP in start year of climate mitigation policy scenario</t>
        </is>
      </c>
      <c r="F148" s="6" t="inlineStr">
        <is>
          <t>Real 2026 LCU</t>
        </is>
      </c>
      <c r="G148" s="6" t="inlineStr">
        <is>
          <t>Mitigation</t>
        </is>
      </c>
      <c r="H148" s="6" t="n"/>
      <c r="I148" s="9" t="n">
        <v>31131854315366.79</v>
      </c>
    </row>
    <row r="149">
      <c r="C149" s="6" t="inlineStr">
        <is>
          <t>Real GDP - End Year</t>
        </is>
      </c>
      <c r="D149" s="8" t="inlineStr">
        <is>
          <t>Real GDP in end year of climate mitigation policy scenario</t>
        </is>
      </c>
      <c r="F149" s="6" t="inlineStr">
        <is>
          <t>Real 2026 LCU</t>
        </is>
      </c>
      <c r="G149" s="6" t="inlineStr">
        <is>
          <t>Mitigation</t>
        </is>
      </c>
      <c r="H149" s="6" t="n"/>
      <c r="I149" s="9" t="n">
        <v>37970648117028.2</v>
      </c>
    </row>
    <row r="150">
      <c r="C150" s="6" t="inlineStr">
        <is>
          <t>Real GDP - Analysis Year</t>
        </is>
      </c>
      <c r="D150" s="8" t="inlineStr">
        <is>
          <t>Real GDP in year of interest for distributional analysis</t>
        </is>
      </c>
      <c r="F150" s="6" t="inlineStr">
        <is>
          <t>Real 2026 LCU</t>
        </is>
      </c>
      <c r="G150" s="6" t="inlineStr">
        <is>
          <t>Mitigation</t>
        </is>
      </c>
      <c r="H150" s="6" t="n"/>
      <c r="I150" s="9" t="n">
        <v>37970648117028.2</v>
      </c>
    </row>
    <row r="151">
      <c r="C151" s="6" t="inlineStr">
        <is>
          <t>Per-Capita Real GDP - Analysis Year</t>
        </is>
      </c>
      <c r="D151" s="8" t="inlineStr">
        <is>
          <t>Per-capita real GDP in year of interest for distributional analysis</t>
        </is>
      </c>
      <c r="F151" s="6" t="inlineStr">
        <is>
          <t>Real 2026 LCU</t>
        </is>
      </c>
      <c r="G151" s="6" t="inlineStr">
        <is>
          <t>Distribution</t>
        </is>
      </c>
      <c r="H151" s="6" t="n"/>
      <c r="I151" s="10">
        <f>$I$150/$I$145</f>
        <v/>
      </c>
    </row>
    <row r="152">
      <c r="C152" s="7" t="inlineStr">
        <is>
          <t>Household Consumption</t>
        </is>
      </c>
    </row>
    <row r="153">
      <c r="C153" s="6" t="inlineStr">
        <is>
          <t>2026 GDP Deflator</t>
        </is>
      </c>
      <c r="D153" s="8" t="inlineStr">
        <is>
          <t>Mitigation Module reference GDP deflator</t>
        </is>
      </c>
      <c r="F153" s="6" t="inlineStr">
        <is>
          <t>GDP Deflator in Mitigation Module</t>
        </is>
      </c>
      <c r="G153" s="6" t="inlineStr">
        <is>
          <t>Mitigation</t>
        </is>
      </c>
      <c r="H153" s="6" t="inlineStr">
        <is>
          <t>egy.ngdp_d.a</t>
        </is>
      </c>
      <c r="I153" s="9" t="n">
        <v>234.718325</v>
      </c>
    </row>
    <row r="154">
      <c r="C154" s="6" t="inlineStr">
        <is>
          <t>2017 GDP Deflator</t>
        </is>
      </c>
      <c r="D154" s="8" t="inlineStr">
        <is>
          <t>HH Survey Year GDP deflator</t>
        </is>
      </c>
      <c r="F154" s="6" t="inlineStr">
        <is>
          <t>GDP Deflator in household survey year</t>
        </is>
      </c>
      <c r="G154" s="6" t="inlineStr">
        <is>
          <t>Mitigation</t>
        </is>
      </c>
      <c r="H154" s="6" t="inlineStr">
        <is>
          <t>egy.ngdp_d.a</t>
        </is>
      </c>
      <c r="I154" s="9" t="n">
        <v>59.110091</v>
      </c>
    </row>
    <row r="155">
      <c r="C155" s="6" t="inlineStr">
        <is>
          <t>2014 GDP Deflator</t>
        </is>
      </c>
      <c r="D155" s="8" t="inlineStr">
        <is>
          <t>GTAP Year GDP deflator</t>
        </is>
      </c>
      <c r="F155" s="6" t="inlineStr">
        <is>
          <t>GDP Deflator in year of GTAP data</t>
        </is>
      </c>
      <c r="G155" s="6" t="inlineStr">
        <is>
          <t>Mitigation</t>
        </is>
      </c>
      <c r="H155" s="6" t="inlineStr">
        <is>
          <t>egy.ngdp_d.a</t>
        </is>
      </c>
      <c r="I155" s="9" t="n">
        <v>41.125541</v>
      </c>
    </row>
    <row r="156">
      <c r="C156" s="6" t="inlineStr">
        <is>
          <t>GDP Deflator Ratio (HH Survey)</t>
        </is>
      </c>
      <c r="D156" s="8" t="inlineStr">
        <is>
          <t>Ratio</t>
        </is>
      </c>
      <c r="F156" s="6" t="inlineStr">
        <is>
          <t>Ratio</t>
        </is>
      </c>
      <c r="G156" s="6" t="inlineStr">
        <is>
          <t>Distribution</t>
        </is>
      </c>
      <c r="H156" s="6" t="n"/>
      <c r="I156" s="10">
        <f>$I$153/$I$154</f>
        <v/>
      </c>
    </row>
    <row r="157">
      <c r="C157" s="6" t="inlineStr">
        <is>
          <t>GDP Deflator Ratio (GTAP)</t>
        </is>
      </c>
      <c r="D157" s="8" t="inlineStr">
        <is>
          <t>Ratio</t>
        </is>
      </c>
      <c r="F157" s="6" t="inlineStr">
        <is>
          <t>Ratio</t>
        </is>
      </c>
      <c r="G157" s="6" t="inlineStr">
        <is>
          <t>Distribution</t>
        </is>
      </c>
      <c r="H157" s="6" t="n"/>
      <c r="I157" s="10">
        <f>$I$153/$I$155</f>
        <v/>
      </c>
    </row>
    <row r="158">
      <c r="C158" s="6" t="inlineStr">
        <is>
          <t>Total Household Consumption - Survey Year</t>
        </is>
      </c>
      <c r="D158" s="8" t="inlineStr">
        <is>
          <t>Total household consumption from household budget survey</t>
        </is>
      </c>
      <c r="F158" s="6" t="inlineStr">
        <is>
          <t>Real 2026 LCU</t>
        </is>
      </c>
      <c r="G158" s="6" t="inlineStr">
        <is>
          <t>HHSurvey</t>
        </is>
      </c>
      <c r="H158" s="6" t="inlineStr">
        <is>
          <t>egy.distn.tot_cons_svy.bkt.ove.mean</t>
        </is>
      </c>
      <c r="I158" s="9" t="n">
        <v>6002457383220.692</v>
      </c>
    </row>
    <row r="159">
      <c r="C159" s="6" t="inlineStr">
        <is>
          <t>Latest Year of Consumption/GDP Data</t>
        </is>
      </c>
      <c r="D159" s="8" t="inlineStr">
        <is>
          <t>Latest year of national accounts household consumption-to-GDP ratio data</t>
        </is>
      </c>
      <c r="F159" s="6" t="inlineStr">
        <is>
          <t>Calendar Years</t>
        </is>
      </c>
      <c r="G159" s="6" t="inlineStr">
        <is>
          <t>WDI</t>
        </is>
      </c>
      <c r="H159" s="6" t="inlineStr">
        <is>
          <t>NE.CON.PRVT.ZS</t>
        </is>
      </c>
      <c r="I159" s="9" t="n">
        <v>2023</v>
      </c>
    </row>
    <row r="160">
      <c r="C160" s="6" t="inlineStr">
        <is>
          <t>National Accounts Household Consumption-to-GDP</t>
        </is>
      </c>
      <c r="D160" s="8" t="inlineStr">
        <is>
          <t>Proportion of GDP that is household consumption (assumed constant)</t>
        </is>
      </c>
      <c r="F160" s="6" t="inlineStr">
        <is>
          <t>% GDP</t>
        </is>
      </c>
      <c r="G160" s="6" t="inlineStr">
        <is>
          <t>WDI</t>
        </is>
      </c>
      <c r="H160" s="6" t="inlineStr">
        <is>
          <t>NE.CON.PRVT.ZS</t>
        </is>
      </c>
      <c r="I160" s="10">
        <f>_xlfn.XLOOKUP("Y"&amp;$I$159,GDPRatios!$F$1:$BQ$1,GDPRatios!$F$2:$BQ$2)</f>
        <v/>
      </c>
    </row>
    <row r="161">
      <c r="C161" s="6" t="inlineStr">
        <is>
          <t>National Accounts Household Consumption - Analysis Year</t>
        </is>
      </c>
      <c r="D161" s="8" t="inlineStr">
        <is>
          <t>Total household consumption from national accounts in year of interest for distributional analysis</t>
        </is>
      </c>
      <c r="F161" s="6" t="inlineStr">
        <is>
          <t>Real 2026 LCU</t>
        </is>
      </c>
      <c r="G161" s="6" t="inlineStr">
        <is>
          <t>Distribution</t>
        </is>
      </c>
      <c r="H161" s="6" t="n"/>
      <c r="I161" s="10">
        <f>$I$150*$I$160/100</f>
        <v/>
      </c>
    </row>
    <row r="162">
      <c r="C162" s="6" t="inlineStr">
        <is>
          <t>Household Consumption Adj. Factor</t>
        </is>
      </c>
      <c r="D162" s="8" t="inlineStr">
        <is>
          <t>Implied adjustment factor for scaling household budget survey to national accounts consumption</t>
        </is>
      </c>
      <c r="F162" s="6" t="inlineStr">
        <is>
          <t>Ratio</t>
        </is>
      </c>
      <c r="G162" s="6" t="inlineStr">
        <is>
          <t>Distribution</t>
        </is>
      </c>
      <c r="H162" s="6" t="n"/>
      <c r="I162" s="10">
        <f>$I$161/$I$158</f>
        <v/>
      </c>
    </row>
    <row r="163"/>
    <row r="164">
      <c r="A164" s="2" t="inlineStr">
        <is>
          <t>B.II.</t>
        </is>
      </c>
      <c r="B164" s="2" t="inlineStr">
        <is>
          <t>Energy price change data</t>
        </is>
      </c>
    </row>
    <row r="165"/>
    <row r="166">
      <c r="A166" s="2" t="inlineStr">
        <is>
          <t xml:space="preserve">B.III. </t>
        </is>
      </c>
      <c r="B166" s="2" t="inlineStr">
        <is>
          <t>Price change calculations</t>
        </is>
      </c>
    </row>
    <row r="167"/>
    <row r="168">
      <c r="A168" s="2" t="inlineStr">
        <is>
          <t>B.IV.</t>
        </is>
      </c>
      <c r="B168" s="2" t="inlineStr">
        <is>
          <t>Cost pass-through assumptions</t>
        </is>
      </c>
    </row>
    <row r="169">
      <c r="C169" s="7" t="inlineStr">
        <is>
          <t>Electricity production</t>
        </is>
      </c>
    </row>
    <row r="170">
      <c r="C170" s="6" t="inlineStr">
        <is>
          <t>Rail</t>
        </is>
      </c>
      <c r="D170" s="8" t="n"/>
      <c r="F170" s="6" t="n"/>
      <c r="G170" s="6" t="n"/>
      <c r="H170" s="6" t="n">
        <v>0.905</v>
      </c>
      <c r="I170" s="9" t="n">
        <v>0.905</v>
      </c>
    </row>
    <row r="171">
      <c r="C171" s="6" t="inlineStr">
        <is>
          <t>Road</t>
        </is>
      </c>
      <c r="D171" s="8" t="n"/>
      <c r="F171" s="6" t="n"/>
      <c r="G171" s="6" t="n"/>
      <c r="H171" s="6" t="n">
        <v>0.905</v>
      </c>
      <c r="I171" s="9" t="n">
        <v>0.905</v>
      </c>
    </row>
    <row r="172">
      <c r="C172" s="6" t="inlineStr">
        <is>
          <t>Domestic aviation</t>
        </is>
      </c>
      <c r="D172" s="8" t="n"/>
      <c r="F172" s="6" t="n"/>
      <c r="G172" s="6" t="n"/>
      <c r="H172" s="6" t="n">
        <v>0.905</v>
      </c>
      <c r="I172" s="9" t="n">
        <v>0.905</v>
      </c>
    </row>
    <row r="173">
      <c r="C173" s="6" t="inlineStr">
        <is>
          <t>Domestic navigation</t>
        </is>
      </c>
      <c r="D173" s="8" t="n"/>
      <c r="F173" s="6" t="n"/>
      <c r="G173" s="6" t="n"/>
      <c r="H173" s="6" t="n">
        <v>0.905</v>
      </c>
      <c r="I173" s="9" t="n">
        <v>0.905</v>
      </c>
    </row>
    <row r="174">
      <c r="C174" s="6" t="inlineStr">
        <is>
          <t>Residential sector</t>
        </is>
      </c>
      <c r="D174" s="8" t="n"/>
      <c r="F174" s="6" t="n"/>
      <c r="G174" s="6" t="n"/>
      <c r="H174" s="6" t="n">
        <v>0.905</v>
      </c>
      <c r="I174" s="9" t="n">
        <v>0.905</v>
      </c>
    </row>
    <row r="175">
      <c r="C175" s="6" t="inlineStr">
        <is>
          <t>Food &amp; forestry</t>
        </is>
      </c>
      <c r="D175" s="8" t="n"/>
      <c r="F175" s="6" t="n">
        <v>0.681</v>
      </c>
      <c r="G175" s="6" t="n">
        <v>0.5</v>
      </c>
      <c r="H175" s="6" t="n"/>
      <c r="I175" s="9" t="n">
        <v>0.681</v>
      </c>
    </row>
    <row r="176">
      <c r="C176" s="6" t="inlineStr">
        <is>
          <t>Services (public &amp; private)</t>
        </is>
      </c>
      <c r="D176" s="8" t="n"/>
      <c r="F176" s="6" t="n">
        <v>0.963</v>
      </c>
      <c r="G176" s="6" t="n">
        <v>0.5</v>
      </c>
      <c r="H176" s="6" t="n"/>
      <c r="I176" s="9" t="n">
        <v>0.963</v>
      </c>
    </row>
    <row r="177">
      <c r="C177" s="6" t="inlineStr">
        <is>
          <t>Mining &amp; Chemicals</t>
        </is>
      </c>
      <c r="D177" s="8" t="n"/>
      <c r="F177" s="6" t="n">
        <v>0.711</v>
      </c>
      <c r="G177" s="6" t="n">
        <v>0.5</v>
      </c>
      <c r="H177" s="6" t="n"/>
      <c r="I177" s="9" t="n">
        <v>0.711</v>
      </c>
    </row>
    <row r="178">
      <c r="C178" s="6" t="inlineStr">
        <is>
          <t>Iron and steel</t>
        </is>
      </c>
      <c r="D178" s="8" t="n"/>
      <c r="F178" s="6" t="n">
        <v>0.711</v>
      </c>
      <c r="G178" s="6" t="n">
        <v>0.5</v>
      </c>
      <c r="H178" s="6" t="n"/>
      <c r="I178" s="9" t="n">
        <v>0.711</v>
      </c>
    </row>
    <row r="179">
      <c r="C179" s="6" t="inlineStr">
        <is>
          <t>Non-ferrous metals</t>
        </is>
      </c>
      <c r="D179" s="8" t="n"/>
      <c r="F179" s="6" t="n">
        <v>0.711</v>
      </c>
      <c r="G179" s="6" t="n">
        <v>0.5</v>
      </c>
      <c r="H179" s="6" t="n"/>
      <c r="I179" s="9" t="n">
        <v>0.711</v>
      </c>
    </row>
    <row r="180">
      <c r="C180" s="6" t="inlineStr">
        <is>
          <t>Machinery</t>
        </is>
      </c>
      <c r="D180" s="8" t="n"/>
      <c r="F180" s="6" t="n">
        <v>0.6919999999999999</v>
      </c>
      <c r="G180" s="6" t="n">
        <v>0.5</v>
      </c>
      <c r="H180" s="6" t="n"/>
      <c r="I180" s="9" t="n">
        <v>0.6919999999999999</v>
      </c>
    </row>
    <row r="181">
      <c r="C181" s="6" t="inlineStr">
        <is>
          <t>Cement</t>
        </is>
      </c>
      <c r="D181" s="8" t="n"/>
      <c r="F181" s="6" t="n">
        <v>0.775</v>
      </c>
      <c r="G181" s="6" t="n">
        <v>0.5</v>
      </c>
      <c r="H181" s="6" t="n"/>
      <c r="I181" s="9" t="n">
        <v>0.775</v>
      </c>
    </row>
    <row r="182">
      <c r="C182" s="6" t="inlineStr">
        <is>
          <t>Other manufacturing</t>
        </is>
      </c>
      <c r="D182" s="8" t="n"/>
      <c r="F182" s="6" t="n">
        <v>0.6919999999999999</v>
      </c>
      <c r="G182" s="6" t="n">
        <v>0.5</v>
      </c>
      <c r="H182" s="6" t="n"/>
      <c r="I182" s="9" t="n">
        <v>0.6919999999999999</v>
      </c>
    </row>
    <row r="183">
      <c r="C183" s="6" t="inlineStr">
        <is>
          <t>Construction</t>
        </is>
      </c>
      <c r="D183" s="8" t="n"/>
      <c r="F183" s="6" t="n">
        <v>0.6919999999999999</v>
      </c>
      <c r="G183" s="6" t="n">
        <v>0.5</v>
      </c>
      <c r="H183" s="6" t="n"/>
      <c r="I183" s="9" t="n">
        <v>0.6919999999999999</v>
      </c>
    </row>
    <row r="184">
      <c r="C184" s="6" t="inlineStr">
        <is>
          <t>Fuel transformation &amp; transportation</t>
        </is>
      </c>
      <c r="D184" s="8" t="n"/>
      <c r="F184" s="6" t="n">
        <v>0.327</v>
      </c>
      <c r="G184" s="6" t="n">
        <v>0.5</v>
      </c>
      <c r="H184" s="6" t="n"/>
      <c r="I184" s="9" t="n">
        <v>0.327</v>
      </c>
    </row>
    <row r="185">
      <c r="C185" s="6" t="inlineStr">
        <is>
          <t>Pipeline transport</t>
        </is>
      </c>
      <c r="D185" s="8" t="n"/>
      <c r="F185" s="6" t="n">
        <v>0.327</v>
      </c>
      <c r="G185" s="6" t="n">
        <v>0.5</v>
      </c>
      <c r="H185" s="6" t="n"/>
      <c r="I185" s="9" t="n">
        <v>0.327</v>
      </c>
    </row>
    <row r="186">
      <c r="C186" s="6" t="inlineStr">
        <is>
          <t>Median</t>
        </is>
      </c>
      <c r="D186" s="8" t="n"/>
      <c r="F186" s="6" t="n">
        <v>0.6919999999999999</v>
      </c>
      <c r="G186" s="6" t="n">
        <v>0.5</v>
      </c>
      <c r="H186" s="6"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4" t="inlineStr">
        <is>
          <t>C.</t>
        </is>
      </c>
      <c r="B3" s="4" t="inlineStr">
        <is>
          <t>Carbon tax incidence calculations</t>
        </is>
      </c>
      <c r="C3" s="5" t="n"/>
      <c r="D3" s="5" t="n"/>
      <c r="E3" s="5" t="n"/>
      <c r="F3" s="5" t="n"/>
      <c r="G3" s="5" t="n"/>
      <c r="H3" s="5" t="n"/>
      <c r="I3" s="5" t="n"/>
      <c r="J3" s="5" t="n"/>
      <c r="K3" s="5" t="n"/>
      <c r="L3" s="5" t="n"/>
      <c r="M3" s="5" t="n"/>
      <c r="N3" s="5" t="n"/>
    </row>
    <row r="4"/>
    <row r="5">
      <c r="A5" s="4" t="inlineStr">
        <is>
          <t>C.I.</t>
        </is>
      </c>
      <c r="B5" s="4" t="inlineStr">
        <is>
          <t>Price changes from policy scenario</t>
        </is>
      </c>
      <c r="C5" s="5" t="n"/>
      <c r="D5" s="5" t="n"/>
      <c r="E5" s="5" t="n"/>
      <c r="F5" s="5" t="n"/>
      <c r="G5" s="5" t="n"/>
      <c r="H5" s="5" t="n"/>
      <c r="I5" s="5" t="n"/>
      <c r="J5" s="5" t="n"/>
      <c r="K5" s="5" t="n"/>
      <c r="L5" s="5" t="n"/>
      <c r="M5" s="5" t="n"/>
      <c r="N5" s="5"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4" t="inlineStr">
        <is>
          <t>C.II.</t>
        </is>
      </c>
      <c r="B10" s="4" t="inlineStr">
        <is>
          <t>Price elasticities of demand, behavioral/structural change and deadweight loss (DWL) adjustments</t>
        </is>
      </c>
      <c r="C10" s="5" t="n"/>
      <c r="D10" s="5" t="n"/>
      <c r="E10" s="5" t="n"/>
      <c r="F10" s="5" t="n"/>
      <c r="G10" s="5" t="n"/>
      <c r="H10" s="5" t="n"/>
      <c r="I10" s="5" t="n"/>
      <c r="J10" s="5" t="n"/>
      <c r="K10" s="5" t="n"/>
      <c r="L10" s="5" t="n"/>
      <c r="M10" s="5" t="n"/>
      <c r="N10" s="5"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7" t="inlineStr">
        <is>
          <t>Item</t>
        </is>
      </c>
      <c r="G15" s="7" t="inlineStr">
        <is>
          <t>Code</t>
        </is>
      </c>
      <c r="H15" s="7" t="inlineStr">
        <is>
          <t>Elasticity (Overall, mean)</t>
        </is>
      </c>
      <c r="O15" s="7" t="inlineStr">
        <is>
          <t>Decile --&gt;</t>
        </is>
      </c>
      <c r="Q15" s="7" t="n">
        <v>1</v>
      </c>
      <c r="R15" s="7" t="n">
        <v>2</v>
      </c>
      <c r="S15" s="7" t="n">
        <v>3</v>
      </c>
      <c r="T15" s="7" t="n">
        <v>4</v>
      </c>
      <c r="U15" s="7" t="n">
        <v>5</v>
      </c>
      <c r="V15" s="7" t="n">
        <v>6</v>
      </c>
      <c r="W15" s="7" t="n">
        <v>7</v>
      </c>
      <c r="X15" s="7" t="n">
        <v>8</v>
      </c>
      <c r="Y15" s="7" t="n">
        <v>9</v>
      </c>
      <c r="Z15" s="7" t="n">
        <v>10</v>
      </c>
      <c r="AA15" s="7" t="inlineStr">
        <is>
          <t>Price chg. x ElastAdj (%)</t>
        </is>
      </c>
      <c r="AB15" s="7" t="inlineStr">
        <is>
          <t>DWL, Basket (%)</t>
        </is>
      </c>
    </row>
    <row r="16">
      <c r="C16" s="6" t="inlineStr">
        <is>
          <t>Coal</t>
        </is>
      </c>
      <c r="G16" s="6" t="inlineStr">
        <is>
          <t>coa</t>
        </is>
      </c>
      <c r="P16" s="12">
        <f>ELAST("coa_elasticity",0,"Overall","mean")</f>
        <v/>
      </c>
      <c r="Q16" s="12">
        <f>ELAST("coa_elasticity",DECILE_ARRAY,"Overall","mean")</f>
        <v/>
      </c>
      <c r="AA16" s="12">
        <f>PCHANGE_DIRECT("coa")*ELASTADJ("coa",0)</f>
        <v/>
      </c>
      <c r="AB16" s="12">
        <f>DWL("coa_share","coa_elasticity",0,"Overall","mean",PCHANGE_DIRECT("coa")*ELASTADJ("coa",0))</f>
        <v/>
      </c>
    </row>
    <row r="17">
      <c r="C17" s="6" t="inlineStr">
        <is>
          <t>Electricity</t>
        </is>
      </c>
      <c r="G17" s="6" t="inlineStr">
        <is>
          <t>ely</t>
        </is>
      </c>
      <c r="P17" s="12">
        <f>ELAST("ely_elasticity",0,"Overall","mean")</f>
        <v/>
      </c>
      <c r="Q17" s="12">
        <f>ELAST("ely_elasticity",DECILE_ARRAY,"Overall","mean")</f>
        <v/>
      </c>
      <c r="AA17" s="12">
        <f>PCHANGE_DIRECT("ely")*ELASTADJ("ely",0)</f>
        <v/>
      </c>
      <c r="AB17" s="12">
        <f>DWL("ely_share","ely_elasticity",0,"Overall","mean",PCHANGE_DIRECT("ely")*ELASTADJ("ely",0))</f>
        <v/>
      </c>
    </row>
    <row r="18">
      <c r="C18" s="6" t="inlineStr">
        <is>
          <t>Natural Gas</t>
        </is>
      </c>
      <c r="G18" s="6" t="inlineStr">
        <is>
          <t>nga</t>
        </is>
      </c>
      <c r="P18" s="12">
        <f>ELAST("nga_elasticity",0,"Overall","mean")</f>
        <v/>
      </c>
      <c r="Q18" s="12">
        <f>ELAST("nga_elasticity",DECILE_ARRAY,"Overall","mean")</f>
        <v/>
      </c>
      <c r="AA18" s="12">
        <f>PCHANGE_DIRECT("nga")*ELASTADJ("nga",0)</f>
        <v/>
      </c>
      <c r="AB18" s="12">
        <f>DWL("nga_share","nga_elasticity",0,"Overall","mean",PCHANGE_DIRECT("nga")*ELASTADJ("nga",0))</f>
        <v/>
      </c>
    </row>
    <row r="19">
      <c r="C19" s="6" t="inlineStr">
        <is>
          <t>Non-Road Oil</t>
        </is>
      </c>
      <c r="G19" s="6" t="inlineStr">
        <is>
          <t>oil</t>
        </is>
      </c>
      <c r="P19" s="12">
        <f>ELAST("oil_elasticity",0,"Overall","mean")</f>
        <v/>
      </c>
      <c r="Q19" s="12">
        <f>ELAST("oil_elasticity",DECILE_ARRAY,"Overall","mean")</f>
        <v/>
      </c>
      <c r="AA19" s="12">
        <f>PCHANGE_DIRECT("oil")*ELASTADJ("oil",0)</f>
        <v/>
      </c>
      <c r="AB19" s="12">
        <f>DWL("oil_share","oil_elasticity",0,"Overall","mean",PCHANGE_DIRECT("oil")*ELASTADJ("oil",0))</f>
        <v/>
      </c>
    </row>
    <row r="20">
      <c r="C20" s="6" t="inlineStr">
        <is>
          <t>Gasoline</t>
        </is>
      </c>
      <c r="G20" s="6" t="inlineStr">
        <is>
          <t>gso</t>
        </is>
      </c>
      <c r="P20" s="12">
        <f>ELAST("gso_elasticity",0,"Overall","mean")</f>
        <v/>
      </c>
      <c r="Q20" s="12">
        <f>ELAST("gso_elasticity",DECILE_ARRAY,"Overall","mean")</f>
        <v/>
      </c>
      <c r="AA20" s="12">
        <f>PCHANGE_DIRECT("gso")*ELASTADJ("gso",0)</f>
        <v/>
      </c>
      <c r="AB20" s="12">
        <f>DWL("gso_share","gso_elasticity",0,"Overall","mean",PCHANGE_DIRECT("gso")*ELASTADJ("gso",0))</f>
        <v/>
      </c>
    </row>
    <row r="21">
      <c r="C21" s="6" t="inlineStr">
        <is>
          <t>Diesel</t>
        </is>
      </c>
      <c r="G21" s="6" t="inlineStr">
        <is>
          <t>die</t>
        </is>
      </c>
      <c r="P21" s="12">
        <f>ELAST("die_elasticity",0,"Overall","mean")</f>
        <v/>
      </c>
      <c r="Q21" s="12">
        <f>ELAST("die_elasticity",DECILE_ARRAY,"Overall","mean")</f>
        <v/>
      </c>
      <c r="AA21" s="12">
        <f>PCHANGE_DIRECT("die")*ELASTADJ("die",0)</f>
        <v/>
      </c>
      <c r="AB21" s="12">
        <f>DWL("die_share","die_elasticity",0,"Overall","mean",PCHANGE_DIRECT("die")*ELASTADJ("die",0))</f>
        <v/>
      </c>
    </row>
    <row r="22">
      <c r="C22" s="6" t="inlineStr">
        <is>
          <t>Kerosene</t>
        </is>
      </c>
      <c r="G22" s="6" t="inlineStr">
        <is>
          <t>ker</t>
        </is>
      </c>
      <c r="P22" s="12">
        <f>ELAST("ker_elasticity",0,"Overall","mean")</f>
        <v/>
      </c>
      <c r="Q22" s="12">
        <f>ELAST("ker_elasticity",DECILE_ARRAY,"Overall","mean")</f>
        <v/>
      </c>
      <c r="AA22" s="12">
        <f>PCHANGE_DIRECT("ker")*ELASTADJ("ker",0)</f>
        <v/>
      </c>
      <c r="AB22" s="12">
        <f>DWL("ker_share","ker_elasticity",0,"Overall","mean",PCHANGE_DIRECT("ker")*ELASTADJ("ker",0))</f>
        <v/>
      </c>
    </row>
    <row r="23">
      <c r="C23" s="6" t="inlineStr">
        <is>
          <t>LPG</t>
        </is>
      </c>
      <c r="G23" s="6" t="inlineStr">
        <is>
          <t>lpg</t>
        </is>
      </c>
      <c r="P23" s="12">
        <f>ELAST("lpg_elasticity",0,"Overall","mean")</f>
        <v/>
      </c>
      <c r="Q23" s="12">
        <f>ELAST("lpg_elasticity",DECILE_ARRAY,"Overall","mean")</f>
        <v/>
      </c>
      <c r="AA23" s="12">
        <f>PCHANGE_DIRECT("lpg")*ELASTADJ("lpg",0)</f>
        <v/>
      </c>
      <c r="AB23" s="12">
        <f>DWL("lpg_share","lpg_elasticity",0,"Overall","mean",PCHANGE_DIRECT("lpg")*ELASTADJ("lpg",0))</f>
        <v/>
      </c>
    </row>
    <row r="24">
      <c r="C24" s="6" t="inlineStr">
        <is>
          <t>Appliances</t>
        </is>
      </c>
      <c r="G24" s="6" t="inlineStr">
        <is>
          <t>app</t>
        </is>
      </c>
      <c r="P24" s="12">
        <f>ELAST("appliances_elasticity",0,"Overall","mean")</f>
        <v/>
      </c>
      <c r="Q24" s="12">
        <f>ELAST("appliances_elasticity",DECILE_ARRAY,"Overall","mean")</f>
        <v/>
      </c>
      <c r="AA24" s="12">
        <f>PCHANGE_INDIRECT("app")*ELASTADJ("app",0)</f>
        <v/>
      </c>
      <c r="AB24" s="12">
        <f>DWL("appliances_share","appliances_elasticity",0,"Overall","mean",PCHANGE_INDIRECT("app")*ELASTADJ("app",0))</f>
        <v/>
      </c>
    </row>
    <row r="25">
      <c r="C25" s="6" t="inlineStr">
        <is>
          <t>Chemicals</t>
        </is>
      </c>
      <c r="G25" s="6" t="inlineStr">
        <is>
          <t>che</t>
        </is>
      </c>
      <c r="P25" s="12">
        <f>ELAST("chemicals_elasticity",0,"Overall","mean")</f>
        <v/>
      </c>
      <c r="Q25" s="12">
        <f>ELAST("chemicals_elasticity",DECILE_ARRAY,"Overall","mean")</f>
        <v/>
      </c>
      <c r="AA25" s="12">
        <f>PCHANGE_INDIRECT("che")*ELASTADJ("che",0)</f>
        <v/>
      </c>
      <c r="AB25" s="12">
        <f>DWL("chemicals_share","chemicals_elasticity",0,"Overall","mean",PCHANGE_INDIRECT("che")*ELASTADJ("che",0))</f>
        <v/>
      </c>
    </row>
    <row r="26">
      <c r="C26" s="6" t="inlineStr">
        <is>
          <t>Clothing</t>
        </is>
      </c>
      <c r="G26" s="6" t="inlineStr">
        <is>
          <t>clo</t>
        </is>
      </c>
      <c r="P26" s="12">
        <f>ELAST("clothing_elasticity",0,"Overall","mean")</f>
        <v/>
      </c>
      <c r="Q26" s="12">
        <f>ELAST("clothing_elasticity",DECILE_ARRAY,"Overall","mean")</f>
        <v/>
      </c>
      <c r="AA26" s="12">
        <f>PCHANGE_INDIRECT("clo")*ELASTADJ("clo",0)</f>
        <v/>
      </c>
      <c r="AB26" s="12">
        <f>DWL("clothing_share","clothing_elasticity",0,"Overall","mean",PCHANGE_INDIRECT("clo")*ELASTADJ("clo",0))</f>
        <v/>
      </c>
    </row>
    <row r="27">
      <c r="C27" s="6" t="inlineStr">
        <is>
          <t>Communications</t>
        </is>
      </c>
      <c r="G27" s="6" t="inlineStr">
        <is>
          <t>com</t>
        </is>
      </c>
      <c r="P27" s="12">
        <f>ELAST("communications_elasticity",0,"Overall","mean")</f>
        <v/>
      </c>
      <c r="Q27" s="12">
        <f>ELAST("communications_elasticity",DECILE_ARRAY,"Overall","mean")</f>
        <v/>
      </c>
      <c r="AA27" s="12">
        <f>PCHANGE_INDIRECT("com")*ELASTADJ("com",0)</f>
        <v/>
      </c>
      <c r="AB27" s="12">
        <f>DWL("communications_share","communications_elasticity",0,"Overall","mean",PCHANGE_INDIRECT("com")*ELASTADJ("com",0))</f>
        <v/>
      </c>
    </row>
    <row r="28">
      <c r="C28" s="6" t="inlineStr">
        <is>
          <t>Education</t>
        </is>
      </c>
      <c r="G28" s="6" t="inlineStr">
        <is>
          <t>edu</t>
        </is>
      </c>
      <c r="P28" s="12">
        <f>ELAST("education_elasticity",0,"Overall","mean")</f>
        <v/>
      </c>
      <c r="Q28" s="12">
        <f>ELAST("education_elasticity",DECILE_ARRAY,"Overall","mean")</f>
        <v/>
      </c>
      <c r="AA28" s="12">
        <f>PCHANGE_INDIRECT("edu")*ELASTADJ("edu",0)</f>
        <v/>
      </c>
      <c r="AB28" s="12">
        <f>DWL("education_share","education_elasticity",0,"Overall","mean",PCHANGE_INDIRECT("edu")*ELASTADJ("edu",0))</f>
        <v/>
      </c>
    </row>
    <row r="29">
      <c r="C29" s="6" t="inlineStr">
        <is>
          <t>Food</t>
        </is>
      </c>
      <c r="G29" s="6" t="inlineStr">
        <is>
          <t>food</t>
        </is>
      </c>
      <c r="P29" s="12">
        <f>ELAST("food_elasticity",0,"Overall","mean")</f>
        <v/>
      </c>
      <c r="Q29" s="12">
        <f>ELAST("food_elasticity",DECILE_ARRAY,"Overall","mean")</f>
        <v/>
      </c>
      <c r="AA29" s="12">
        <f>PCHANGE_INDIRECT("food")*ELASTADJ("food",0)</f>
        <v/>
      </c>
      <c r="AB29" s="12">
        <f>DWL("food_share","food_elasticity",0,"Overall","mean",PCHANGE_INDIRECT("food")*ELASTADJ("food",0))</f>
        <v/>
      </c>
    </row>
    <row r="30">
      <c r="C30" s="6" t="inlineStr">
        <is>
          <t>Health Services</t>
        </is>
      </c>
      <c r="G30" s="6" t="inlineStr">
        <is>
          <t>hea</t>
        </is>
      </c>
      <c r="P30" s="12">
        <f>ELAST("health_srv_elasticity",0,"Overall","mean")</f>
        <v/>
      </c>
      <c r="Q30" s="12">
        <f>ELAST("health_srv_elasticity",DECILE_ARRAY,"Overall","mean")</f>
        <v/>
      </c>
      <c r="AA30" s="12">
        <f>PCHANGE_INDIRECT("hea")*ELASTADJ("hea",0)</f>
        <v/>
      </c>
      <c r="AB30" s="12">
        <f>DWL("health_srv_share","health_srv_elasticity",0,"Overall","mean",PCHANGE_INDIRECT("hea")*ELASTADJ("hea",0))</f>
        <v/>
      </c>
    </row>
    <row r="31">
      <c r="C31" s="6" t="inlineStr">
        <is>
          <t>Housing</t>
        </is>
      </c>
      <c r="G31" s="6" t="inlineStr">
        <is>
          <t>hou</t>
        </is>
      </c>
      <c r="P31" s="12">
        <f>ELAST("housing_elasticity",0,"Overall","mean")</f>
        <v/>
      </c>
      <c r="Q31" s="12">
        <f>ELAST("housing_elasticity",DECILE_ARRAY,"Overall","mean")</f>
        <v/>
      </c>
      <c r="AA31" s="12">
        <f>PCHANGE_INDIRECT("hou")*ELASTADJ("hou",0)</f>
        <v/>
      </c>
      <c r="AB31" s="12">
        <f>DWL("housing_share","housing_elasticity",0,"Overall","mean",PCHANGE_INDIRECT("hou")*ELASTADJ("hou",0))</f>
        <v/>
      </c>
    </row>
    <row r="32">
      <c r="C32" s="6" t="inlineStr">
        <is>
          <t>Other</t>
        </is>
      </c>
      <c r="G32" s="6" t="inlineStr">
        <is>
          <t>oth</t>
        </is>
      </c>
      <c r="P32" s="12">
        <f>ELAST("other_elasticity",0,"Overall","mean")</f>
        <v/>
      </c>
      <c r="Q32" s="12">
        <f>ELAST("other_elasticity",DECILE_ARRAY,"Overall","mean")</f>
        <v/>
      </c>
      <c r="AA32" s="12">
        <f>PCHANGE_INDIRECT("oth")*ELASTADJ("oth",0)</f>
        <v/>
      </c>
      <c r="AB32" s="12">
        <f>DWL("other_share","other_elasticity",0,"Overall","mean",PCHANGE_INDIRECT("oth")*ELASTADJ("oth",0))</f>
        <v/>
      </c>
    </row>
    <row r="33">
      <c r="C33" s="6" t="inlineStr">
        <is>
          <t>Paper</t>
        </is>
      </c>
      <c r="G33" s="6" t="inlineStr">
        <is>
          <t>pap</t>
        </is>
      </c>
      <c r="P33" s="12">
        <f>ELAST("paper_elasticity",0,"Overall","mean")</f>
        <v/>
      </c>
      <c r="Q33" s="12">
        <f>ELAST("paper_elasticity",DECILE_ARRAY,"Overall","mean")</f>
        <v/>
      </c>
      <c r="AA33" s="12">
        <f>PCHANGE_INDIRECT("pap")*ELASTADJ("pap",0)</f>
        <v/>
      </c>
      <c r="AB33" s="12">
        <f>DWL("paper_share","paper_elasticity",0,"Overall","mean",PCHANGE_INDIRECT("pap")*ELASTADJ("pap",0))</f>
        <v/>
      </c>
    </row>
    <row r="34">
      <c r="C34" s="6" t="inlineStr">
        <is>
          <t>Pharmaceuticals</t>
        </is>
      </c>
      <c r="G34" s="6" t="inlineStr">
        <is>
          <t>pha</t>
        </is>
      </c>
      <c r="P34" s="12">
        <f>ELAST("pharma_elasticity",0,"Overall","mean")</f>
        <v/>
      </c>
      <c r="Q34" s="12">
        <f>ELAST("pharma_elasticity",DECILE_ARRAY,"Overall","mean")</f>
        <v/>
      </c>
      <c r="AA34" s="12">
        <f>PCHANGE_INDIRECT("pha")*ELASTADJ("pha",0)</f>
        <v/>
      </c>
      <c r="AB34" s="12">
        <f>DWL("pharma_share","pharma_elasticity",0,"Overall","mean",PCHANGE_INDIRECT("pha")*ELASTADJ("pha",0))</f>
        <v/>
      </c>
    </row>
    <row r="35">
      <c r="C35" s="6" t="inlineStr">
        <is>
          <t>Recreation/Tourism</t>
        </is>
      </c>
      <c r="G35" s="6" t="inlineStr">
        <is>
          <t>ret</t>
        </is>
      </c>
      <c r="P35" s="12">
        <f>ELAST("rectourism_elasticity",0,"Overall","mean")</f>
        <v/>
      </c>
      <c r="Q35" s="12">
        <f>ELAST("rectourism_elasticity",DECILE_ARRAY,"Overall","mean")</f>
        <v/>
      </c>
      <c r="AA35" s="12">
        <f>PCHANGE_INDIRECT("ret")*ELASTADJ("ret",0)</f>
        <v/>
      </c>
      <c r="AB35" s="12">
        <f>DWL("rectourism_share","rectourism_elasticity",0,"Overall","mean",PCHANGE_INDIRECT("ret")*ELASTADJ("ret",0))</f>
        <v/>
      </c>
    </row>
    <row r="36">
      <c r="C36" s="6" t="inlineStr">
        <is>
          <t>Transportation Equipment</t>
        </is>
      </c>
      <c r="G36" s="6" t="inlineStr">
        <is>
          <t>teq</t>
        </is>
      </c>
      <c r="P36" s="12">
        <f>ELAST("transp_eqt_elasticity",0,"Overall","mean")</f>
        <v/>
      </c>
      <c r="Q36" s="12">
        <f>ELAST("transp_eqt_elasticity",DECILE_ARRAY,"Overall","mean")</f>
        <v/>
      </c>
      <c r="AA36" s="12">
        <f>PCHANGE_INDIRECT("teq")*ELASTADJ("teq",0)</f>
        <v/>
      </c>
      <c r="AB36" s="12">
        <f>DWL("transp_eqt_share","transp_eqt_elasticity",0,"Overall","mean",PCHANGE_INDIRECT("teq")*ELASTADJ("teq",0))</f>
        <v/>
      </c>
    </row>
    <row r="37">
      <c r="C37" s="6" t="inlineStr">
        <is>
          <t>Public Transportation</t>
        </is>
      </c>
      <c r="G37" s="6" t="inlineStr">
        <is>
          <t>tpu</t>
        </is>
      </c>
      <c r="P37" s="12">
        <f>ELAST("transp_pub_elasticity",0,"Overall","mean")</f>
        <v/>
      </c>
      <c r="Q37" s="12">
        <f>ELAST("transp_pub_elasticity",DECILE_ARRAY,"Overall","mean")</f>
        <v/>
      </c>
      <c r="AA37" s="12">
        <f>PCHANGE_INDIRECT("tpu")*ELASTADJ("tpu",0)</f>
        <v/>
      </c>
      <c r="AB37" s="12">
        <f>DWL("transp_pub_share","transp_pub_elasticity",0,"Overall","mean",PCHANGE_INDIRECT("tpu")*ELASTADJ("tpu",0))</f>
        <v/>
      </c>
    </row>
    <row r="38"/>
    <row r="39">
      <c r="A39" s="4" t="inlineStr">
        <is>
          <t>C.III.</t>
        </is>
      </c>
      <c r="B39" s="4" t="inlineStr">
        <is>
          <t>Household budget shares - direct fuel consumption</t>
        </is>
      </c>
      <c r="C39" s="5" t="n"/>
      <c r="D39" s="5" t="n"/>
      <c r="E39" s="5" t="n"/>
      <c r="F39" s="5" t="n"/>
      <c r="G39" s="5" t="n"/>
      <c r="H39" s="5" t="n"/>
      <c r="I39" s="5" t="n"/>
      <c r="J39" s="5" t="n"/>
      <c r="K39" s="5" t="n"/>
      <c r="L39" s="5" t="n"/>
      <c r="M39" s="5" t="n"/>
      <c r="N39" s="5" t="n"/>
    </row>
    <row r="40"/>
    <row r="41">
      <c r="C41" s="7" t="inlineStr">
        <is>
          <t>Coal Budget Share (% Total Consumption)</t>
        </is>
      </c>
      <c r="G41" s="6" t="inlineStr">
        <is>
          <t>coa</t>
        </is>
      </c>
      <c r="O41" s="8" t="inlineStr">
        <is>
          <t>Decile --&gt;</t>
        </is>
      </c>
      <c r="Q41" s="8" t="n">
        <v>1</v>
      </c>
      <c r="R41" s="8" t="n">
        <v>2</v>
      </c>
      <c r="S41" s="8" t="n">
        <v>3</v>
      </c>
      <c r="T41" s="8" t="n">
        <v>4</v>
      </c>
      <c r="U41" s="8" t="n">
        <v>5</v>
      </c>
      <c r="V41" s="8" t="n">
        <v>6</v>
      </c>
      <c r="W41" s="8" t="n">
        <v>7</v>
      </c>
      <c r="X41" s="8" t="n">
        <v>8</v>
      </c>
      <c r="Y41" s="8" t="n">
        <v>9</v>
      </c>
      <c r="Z41" s="8" t="n">
        <v>10</v>
      </c>
    </row>
    <row r="42">
      <c r="D42" s="6" t="inlineStr">
        <is>
          <t>mean</t>
        </is>
      </c>
      <c r="E42" s="6" t="inlineStr">
        <is>
          <t>Overall</t>
        </is>
      </c>
      <c r="F42" s="6" t="inlineStr">
        <is>
          <t>Basket</t>
        </is>
      </c>
      <c r="G42" s="6" t="inlineStr">
        <is>
          <t>coa</t>
        </is>
      </c>
      <c r="H42" s="6" t="inlineStr">
        <is>
          <t>%</t>
        </is>
      </c>
      <c r="P42" s="12">
        <f>BSHARE("coa_share",0,"Overall","mean")</f>
        <v/>
      </c>
    </row>
    <row r="43">
      <c r="D43" s="6" t="inlineStr">
        <is>
          <t>mean</t>
        </is>
      </c>
      <c r="E43" s="6" t="inlineStr">
        <is>
          <t>Overall</t>
        </is>
      </c>
      <c r="F43" s="6" t="inlineStr">
        <is>
          <t>Deciles</t>
        </is>
      </c>
      <c r="G43" s="6" t="inlineStr">
        <is>
          <t>coa</t>
        </is>
      </c>
      <c r="H43" s="6" t="inlineStr">
        <is>
          <t>%</t>
        </is>
      </c>
      <c r="Q43" s="12">
        <f>BSHARE("coa_share",DECILE_ARRAY,"Overall","mean")</f>
        <v/>
      </c>
    </row>
    <row r="44">
      <c r="D44" s="6" t="inlineStr">
        <is>
          <t>mean</t>
        </is>
      </c>
      <c r="E44" s="6" t="inlineStr">
        <is>
          <t>Urban</t>
        </is>
      </c>
      <c r="F44" s="6" t="inlineStr">
        <is>
          <t>Basket</t>
        </is>
      </c>
      <c r="G44" s="6" t="inlineStr">
        <is>
          <t>coa</t>
        </is>
      </c>
      <c r="H44" s="6" t="inlineStr">
        <is>
          <t>%</t>
        </is>
      </c>
      <c r="P44" s="12">
        <f>BSHARE("coa_share",0,"Urban","mean")</f>
        <v/>
      </c>
    </row>
    <row r="45">
      <c r="D45" s="6" t="inlineStr">
        <is>
          <t>mean</t>
        </is>
      </c>
      <c r="E45" s="6" t="inlineStr">
        <is>
          <t>Urban</t>
        </is>
      </c>
      <c r="F45" s="6" t="inlineStr">
        <is>
          <t>Deciles</t>
        </is>
      </c>
      <c r="G45" s="6" t="inlineStr">
        <is>
          <t>coa</t>
        </is>
      </c>
      <c r="H45" s="6" t="inlineStr">
        <is>
          <t>%</t>
        </is>
      </c>
      <c r="Q45" s="12">
        <f>BSHARE("coa_share",DECILE_ARRAY,"Urban","mean")</f>
        <v/>
      </c>
    </row>
    <row r="46">
      <c r="D46" s="6" t="inlineStr">
        <is>
          <t>mean</t>
        </is>
      </c>
      <c r="E46" s="6" t="inlineStr">
        <is>
          <t>Rural</t>
        </is>
      </c>
      <c r="F46" s="6" t="inlineStr">
        <is>
          <t>Basket</t>
        </is>
      </c>
      <c r="G46" s="6" t="inlineStr">
        <is>
          <t>coa</t>
        </is>
      </c>
      <c r="H46" s="6" t="inlineStr">
        <is>
          <t>%</t>
        </is>
      </c>
      <c r="P46" s="12">
        <f>BSHARE("coa_share",0,"Rural","mean")</f>
        <v/>
      </c>
    </row>
    <row r="47">
      <c r="D47" s="6" t="inlineStr">
        <is>
          <t>mean</t>
        </is>
      </c>
      <c r="E47" s="6" t="inlineStr">
        <is>
          <t>Rural</t>
        </is>
      </c>
      <c r="F47" s="6" t="inlineStr">
        <is>
          <t>Deciles</t>
        </is>
      </c>
      <c r="G47" s="6" t="inlineStr">
        <is>
          <t>coa</t>
        </is>
      </c>
      <c r="H47" s="6" t="inlineStr">
        <is>
          <t>%</t>
        </is>
      </c>
      <c r="Q47" s="12">
        <f>BSHARE("coa_share",DECILE_ARRAY,"Rural","mean")</f>
        <v/>
      </c>
    </row>
    <row r="48">
      <c r="D48" s="6" t="inlineStr">
        <is>
          <t>median</t>
        </is>
      </c>
      <c r="E48" s="6" t="inlineStr">
        <is>
          <t>Overall</t>
        </is>
      </c>
      <c r="F48" s="6" t="inlineStr">
        <is>
          <t>Basket</t>
        </is>
      </c>
      <c r="G48" s="6" t="inlineStr">
        <is>
          <t>coa</t>
        </is>
      </c>
      <c r="H48" s="6" t="inlineStr">
        <is>
          <t>%</t>
        </is>
      </c>
      <c r="P48" s="12">
        <f>BSHARE("coa_share",0,"Overall","median")</f>
        <v/>
      </c>
    </row>
    <row r="49">
      <c r="D49" s="6" t="inlineStr">
        <is>
          <t>median</t>
        </is>
      </c>
      <c r="E49" s="6" t="inlineStr">
        <is>
          <t>Overall</t>
        </is>
      </c>
      <c r="F49" s="6" t="inlineStr">
        <is>
          <t>Deciles</t>
        </is>
      </c>
      <c r="G49" s="6" t="inlineStr">
        <is>
          <t>coa</t>
        </is>
      </c>
      <c r="H49" s="6" t="inlineStr">
        <is>
          <t>%</t>
        </is>
      </c>
      <c r="Q49" s="12">
        <f>BSHARE("coa_share",DECILE_ARRAY,"Overall","median")</f>
        <v/>
      </c>
    </row>
    <row r="50">
      <c r="D50" s="6" t="inlineStr">
        <is>
          <t>median</t>
        </is>
      </c>
      <c r="E50" s="6" t="inlineStr">
        <is>
          <t>Urban</t>
        </is>
      </c>
      <c r="F50" s="6" t="inlineStr">
        <is>
          <t>Basket</t>
        </is>
      </c>
      <c r="G50" s="6" t="inlineStr">
        <is>
          <t>coa</t>
        </is>
      </c>
      <c r="H50" s="6" t="inlineStr">
        <is>
          <t>%</t>
        </is>
      </c>
      <c r="P50" s="12">
        <f>BSHARE("coa_share",0,"Urban","median")</f>
        <v/>
      </c>
    </row>
    <row r="51">
      <c r="D51" s="6" t="inlineStr">
        <is>
          <t>median</t>
        </is>
      </c>
      <c r="E51" s="6" t="inlineStr">
        <is>
          <t>Urban</t>
        </is>
      </c>
      <c r="F51" s="6" t="inlineStr">
        <is>
          <t>Deciles</t>
        </is>
      </c>
      <c r="G51" s="6" t="inlineStr">
        <is>
          <t>coa</t>
        </is>
      </c>
      <c r="H51" s="6" t="inlineStr">
        <is>
          <t>%</t>
        </is>
      </c>
      <c r="Q51" s="12">
        <f>BSHARE("coa_share",DECILE_ARRAY,"Urban","median")</f>
        <v/>
      </c>
    </row>
    <row r="52">
      <c r="D52" s="6" t="inlineStr">
        <is>
          <t>median</t>
        </is>
      </c>
      <c r="E52" s="6" t="inlineStr">
        <is>
          <t>Rural</t>
        </is>
      </c>
      <c r="F52" s="6" t="inlineStr">
        <is>
          <t>Basket</t>
        </is>
      </c>
      <c r="G52" s="6" t="inlineStr">
        <is>
          <t>coa</t>
        </is>
      </c>
      <c r="H52" s="6" t="inlineStr">
        <is>
          <t>%</t>
        </is>
      </c>
      <c r="P52" s="12">
        <f>BSHARE("coa_share",0,"Rural","median")</f>
        <v/>
      </c>
    </row>
    <row r="53">
      <c r="D53" s="6" t="inlineStr">
        <is>
          <t>median</t>
        </is>
      </c>
      <c r="E53" s="6" t="inlineStr">
        <is>
          <t>Rural</t>
        </is>
      </c>
      <c r="F53" s="6" t="inlineStr">
        <is>
          <t>Deciles</t>
        </is>
      </c>
      <c r="G53" s="6" t="inlineStr">
        <is>
          <t>coa</t>
        </is>
      </c>
      <c r="H53" s="6" t="inlineStr">
        <is>
          <t>%</t>
        </is>
      </c>
      <c r="Q53" s="12">
        <f>BSHARE("coa_share",DECILE_ARRAY,"Rural","median")</f>
        <v/>
      </c>
    </row>
    <row r="54">
      <c r="D54" s="6" t="inlineStr">
        <is>
          <t>p25</t>
        </is>
      </c>
      <c r="E54" s="6" t="inlineStr">
        <is>
          <t>Overall</t>
        </is>
      </c>
      <c r="F54" s="6" t="inlineStr">
        <is>
          <t>Basket</t>
        </is>
      </c>
      <c r="G54" s="6" t="inlineStr">
        <is>
          <t>coa</t>
        </is>
      </c>
      <c r="H54" s="6" t="inlineStr">
        <is>
          <t>%</t>
        </is>
      </c>
      <c r="P54" s="12">
        <f>BSHARE("coa_share",0,"Overall","p25")</f>
        <v/>
      </c>
    </row>
    <row r="55">
      <c r="D55" s="6" t="inlineStr">
        <is>
          <t>p25</t>
        </is>
      </c>
      <c r="E55" s="6" t="inlineStr">
        <is>
          <t>Overall</t>
        </is>
      </c>
      <c r="F55" s="6" t="inlineStr">
        <is>
          <t>Deciles</t>
        </is>
      </c>
      <c r="G55" s="6" t="inlineStr">
        <is>
          <t>coa</t>
        </is>
      </c>
      <c r="H55" s="6" t="inlineStr">
        <is>
          <t>%</t>
        </is>
      </c>
      <c r="Q55" s="12">
        <f>BSHARE("coa_share",DECILE_ARRAY,"Overall","p25")</f>
        <v/>
      </c>
    </row>
    <row r="56">
      <c r="D56" s="6" t="inlineStr">
        <is>
          <t>p25</t>
        </is>
      </c>
      <c r="E56" s="6" t="inlineStr">
        <is>
          <t>Urban</t>
        </is>
      </c>
      <c r="F56" s="6" t="inlineStr">
        <is>
          <t>Basket</t>
        </is>
      </c>
      <c r="G56" s="6" t="inlineStr">
        <is>
          <t>coa</t>
        </is>
      </c>
      <c r="H56" s="6" t="inlineStr">
        <is>
          <t>%</t>
        </is>
      </c>
      <c r="P56" s="12">
        <f>BSHARE("coa_share",0,"Urban","p25")</f>
        <v/>
      </c>
    </row>
    <row r="57">
      <c r="D57" s="6" t="inlineStr">
        <is>
          <t>p25</t>
        </is>
      </c>
      <c r="E57" s="6" t="inlineStr">
        <is>
          <t>Urban</t>
        </is>
      </c>
      <c r="F57" s="6" t="inlineStr">
        <is>
          <t>Deciles</t>
        </is>
      </c>
      <c r="G57" s="6" t="inlineStr">
        <is>
          <t>coa</t>
        </is>
      </c>
      <c r="H57" s="6" t="inlineStr">
        <is>
          <t>%</t>
        </is>
      </c>
      <c r="Q57" s="12">
        <f>BSHARE("coa_share",DECILE_ARRAY,"Urban","p25")</f>
        <v/>
      </c>
    </row>
    <row r="58">
      <c r="D58" s="6" t="inlineStr">
        <is>
          <t>p25</t>
        </is>
      </c>
      <c r="E58" s="6" t="inlineStr">
        <is>
          <t>Rural</t>
        </is>
      </c>
      <c r="F58" s="6" t="inlineStr">
        <is>
          <t>Basket</t>
        </is>
      </c>
      <c r="G58" s="6" t="inlineStr">
        <is>
          <t>coa</t>
        </is>
      </c>
      <c r="H58" s="6" t="inlineStr">
        <is>
          <t>%</t>
        </is>
      </c>
      <c r="P58" s="12">
        <f>BSHARE("coa_share",0,"Rural","p25")</f>
        <v/>
      </c>
    </row>
    <row r="59">
      <c r="D59" s="6" t="inlineStr">
        <is>
          <t>p25</t>
        </is>
      </c>
      <c r="E59" s="6" t="inlineStr">
        <is>
          <t>Rural</t>
        </is>
      </c>
      <c r="F59" s="6" t="inlineStr">
        <is>
          <t>Deciles</t>
        </is>
      </c>
      <c r="G59" s="6" t="inlineStr">
        <is>
          <t>coa</t>
        </is>
      </c>
      <c r="H59" s="6" t="inlineStr">
        <is>
          <t>%</t>
        </is>
      </c>
      <c r="Q59" s="12">
        <f>BSHARE("coa_share",DECILE_ARRAY,"Rural","p25")</f>
        <v/>
      </c>
    </row>
    <row r="60">
      <c r="D60" s="6" t="inlineStr">
        <is>
          <t>p75</t>
        </is>
      </c>
      <c r="E60" s="6" t="inlineStr">
        <is>
          <t>Overall</t>
        </is>
      </c>
      <c r="F60" s="6" t="inlineStr">
        <is>
          <t>Basket</t>
        </is>
      </c>
      <c r="G60" s="6" t="inlineStr">
        <is>
          <t>coa</t>
        </is>
      </c>
      <c r="H60" s="6" t="inlineStr">
        <is>
          <t>%</t>
        </is>
      </c>
      <c r="P60" s="12">
        <f>BSHARE("coa_share",0,"Overall","p75")</f>
        <v/>
      </c>
    </row>
    <row r="61">
      <c r="D61" s="6" t="inlineStr">
        <is>
          <t>p75</t>
        </is>
      </c>
      <c r="E61" s="6" t="inlineStr">
        <is>
          <t>Overall</t>
        </is>
      </c>
      <c r="F61" s="6" t="inlineStr">
        <is>
          <t>Deciles</t>
        </is>
      </c>
      <c r="G61" s="6" t="inlineStr">
        <is>
          <t>coa</t>
        </is>
      </c>
      <c r="H61" s="6" t="inlineStr">
        <is>
          <t>%</t>
        </is>
      </c>
      <c r="Q61" s="12">
        <f>BSHARE("coa_share",DECILE_ARRAY,"Overall","p75")</f>
        <v/>
      </c>
    </row>
    <row r="62">
      <c r="D62" s="6" t="inlineStr">
        <is>
          <t>p75</t>
        </is>
      </c>
      <c r="E62" s="6" t="inlineStr">
        <is>
          <t>Urban</t>
        </is>
      </c>
      <c r="F62" s="6" t="inlineStr">
        <is>
          <t>Basket</t>
        </is>
      </c>
      <c r="G62" s="6" t="inlineStr">
        <is>
          <t>coa</t>
        </is>
      </c>
      <c r="H62" s="6" t="inlineStr">
        <is>
          <t>%</t>
        </is>
      </c>
      <c r="P62" s="12">
        <f>BSHARE("coa_share",0,"Urban","p75")</f>
        <v/>
      </c>
    </row>
    <row r="63">
      <c r="D63" s="6" t="inlineStr">
        <is>
          <t>p75</t>
        </is>
      </c>
      <c r="E63" s="6" t="inlineStr">
        <is>
          <t>Urban</t>
        </is>
      </c>
      <c r="F63" s="6" t="inlineStr">
        <is>
          <t>Deciles</t>
        </is>
      </c>
      <c r="G63" s="6" t="inlineStr">
        <is>
          <t>coa</t>
        </is>
      </c>
      <c r="H63" s="6" t="inlineStr">
        <is>
          <t>%</t>
        </is>
      </c>
      <c r="Q63" s="12">
        <f>BSHARE("coa_share",DECILE_ARRAY,"Urban","p75")</f>
        <v/>
      </c>
    </row>
    <row r="64">
      <c r="D64" s="6" t="inlineStr">
        <is>
          <t>p75</t>
        </is>
      </c>
      <c r="E64" s="6" t="inlineStr">
        <is>
          <t>Rural</t>
        </is>
      </c>
      <c r="F64" s="6" t="inlineStr">
        <is>
          <t>Basket</t>
        </is>
      </c>
      <c r="G64" s="6" t="inlineStr">
        <is>
          <t>coa</t>
        </is>
      </c>
      <c r="H64" s="6" t="inlineStr">
        <is>
          <t>%</t>
        </is>
      </c>
      <c r="P64" s="12">
        <f>BSHARE("coa_share",0,"Rural","p75")</f>
        <v/>
      </c>
    </row>
    <row r="65">
      <c r="D65" s="6" t="inlineStr">
        <is>
          <t>p75</t>
        </is>
      </c>
      <c r="E65" s="6" t="inlineStr">
        <is>
          <t>Rural</t>
        </is>
      </c>
      <c r="F65" s="6" t="inlineStr">
        <is>
          <t>Deciles</t>
        </is>
      </c>
      <c r="G65" s="6" t="inlineStr">
        <is>
          <t>coa</t>
        </is>
      </c>
      <c r="H65" s="6" t="inlineStr">
        <is>
          <t>%</t>
        </is>
      </c>
      <c r="Q65" s="12">
        <f>BSHARE("coa_share",DECILE_ARRAY,"Rural","p75")</f>
        <v/>
      </c>
    </row>
    <row r="66"/>
    <row r="67">
      <c r="C67" s="7" t="inlineStr">
        <is>
          <t>Electricity Budget Share (% Total Consumption)</t>
        </is>
      </c>
      <c r="G67" s="6" t="inlineStr">
        <is>
          <t>ely</t>
        </is>
      </c>
      <c r="O67" s="8" t="inlineStr">
        <is>
          <t>Decile --&gt;</t>
        </is>
      </c>
      <c r="Q67" s="8" t="n">
        <v>1</v>
      </c>
      <c r="R67" s="8" t="n">
        <v>2</v>
      </c>
      <c r="S67" s="8" t="n">
        <v>3</v>
      </c>
      <c r="T67" s="8" t="n">
        <v>4</v>
      </c>
      <c r="U67" s="8" t="n">
        <v>5</v>
      </c>
      <c r="V67" s="8" t="n">
        <v>6</v>
      </c>
      <c r="W67" s="8" t="n">
        <v>7</v>
      </c>
      <c r="X67" s="8" t="n">
        <v>8</v>
      </c>
      <c r="Y67" s="8" t="n">
        <v>9</v>
      </c>
      <c r="Z67" s="8" t="n">
        <v>10</v>
      </c>
    </row>
    <row r="68">
      <c r="D68" s="6" t="inlineStr">
        <is>
          <t>mean</t>
        </is>
      </c>
      <c r="E68" s="6" t="inlineStr">
        <is>
          <t>Overall</t>
        </is>
      </c>
      <c r="F68" s="6" t="inlineStr">
        <is>
          <t>Basket</t>
        </is>
      </c>
      <c r="G68" s="6" t="inlineStr">
        <is>
          <t>ely</t>
        </is>
      </c>
      <c r="H68" s="6" t="inlineStr">
        <is>
          <t>%</t>
        </is>
      </c>
      <c r="P68" s="12">
        <f>BSHARE("ely_share",0,"Overall","mean")</f>
        <v/>
      </c>
    </row>
    <row r="69">
      <c r="D69" s="6" t="inlineStr">
        <is>
          <t>mean</t>
        </is>
      </c>
      <c r="E69" s="6" t="inlineStr">
        <is>
          <t>Overall</t>
        </is>
      </c>
      <c r="F69" s="6" t="inlineStr">
        <is>
          <t>Deciles</t>
        </is>
      </c>
      <c r="G69" s="6" t="inlineStr">
        <is>
          <t>ely</t>
        </is>
      </c>
      <c r="H69" s="6" t="inlineStr">
        <is>
          <t>%</t>
        </is>
      </c>
      <c r="Q69" s="12">
        <f>BSHARE("ely_share",DECILE_ARRAY,"Overall","mean")</f>
        <v/>
      </c>
    </row>
    <row r="70">
      <c r="D70" s="6" t="inlineStr">
        <is>
          <t>mean</t>
        </is>
      </c>
      <c r="E70" s="6" t="inlineStr">
        <is>
          <t>Urban</t>
        </is>
      </c>
      <c r="F70" s="6" t="inlineStr">
        <is>
          <t>Basket</t>
        </is>
      </c>
      <c r="G70" s="6" t="inlineStr">
        <is>
          <t>ely</t>
        </is>
      </c>
      <c r="H70" s="6" t="inlineStr">
        <is>
          <t>%</t>
        </is>
      </c>
      <c r="P70" s="12">
        <f>BSHARE("ely_share",0,"Urban","mean")</f>
        <v/>
      </c>
    </row>
    <row r="71">
      <c r="D71" s="6" t="inlineStr">
        <is>
          <t>mean</t>
        </is>
      </c>
      <c r="E71" s="6" t="inlineStr">
        <is>
          <t>Urban</t>
        </is>
      </c>
      <c r="F71" s="6" t="inlineStr">
        <is>
          <t>Deciles</t>
        </is>
      </c>
      <c r="G71" s="6" t="inlineStr">
        <is>
          <t>ely</t>
        </is>
      </c>
      <c r="H71" s="6" t="inlineStr">
        <is>
          <t>%</t>
        </is>
      </c>
      <c r="Q71" s="12">
        <f>BSHARE("ely_share",DECILE_ARRAY,"Urban","mean")</f>
        <v/>
      </c>
    </row>
    <row r="72">
      <c r="D72" s="6" t="inlineStr">
        <is>
          <t>mean</t>
        </is>
      </c>
      <c r="E72" s="6" t="inlineStr">
        <is>
          <t>Rural</t>
        </is>
      </c>
      <c r="F72" s="6" t="inlineStr">
        <is>
          <t>Basket</t>
        </is>
      </c>
      <c r="G72" s="6" t="inlineStr">
        <is>
          <t>ely</t>
        </is>
      </c>
      <c r="H72" s="6" t="inlineStr">
        <is>
          <t>%</t>
        </is>
      </c>
      <c r="P72" s="12">
        <f>BSHARE("ely_share",0,"Rural","mean")</f>
        <v/>
      </c>
    </row>
    <row r="73">
      <c r="D73" s="6" t="inlineStr">
        <is>
          <t>mean</t>
        </is>
      </c>
      <c r="E73" s="6" t="inlineStr">
        <is>
          <t>Rural</t>
        </is>
      </c>
      <c r="F73" s="6" t="inlineStr">
        <is>
          <t>Deciles</t>
        </is>
      </c>
      <c r="G73" s="6" t="inlineStr">
        <is>
          <t>ely</t>
        </is>
      </c>
      <c r="H73" s="6" t="inlineStr">
        <is>
          <t>%</t>
        </is>
      </c>
      <c r="Q73" s="12">
        <f>BSHARE("ely_share",DECILE_ARRAY,"Rural","mean")</f>
        <v/>
      </c>
    </row>
    <row r="74">
      <c r="D74" s="6" t="inlineStr">
        <is>
          <t>median</t>
        </is>
      </c>
      <c r="E74" s="6" t="inlineStr">
        <is>
          <t>Overall</t>
        </is>
      </c>
      <c r="F74" s="6" t="inlineStr">
        <is>
          <t>Basket</t>
        </is>
      </c>
      <c r="G74" s="6" t="inlineStr">
        <is>
          <t>ely</t>
        </is>
      </c>
      <c r="H74" s="6" t="inlineStr">
        <is>
          <t>%</t>
        </is>
      </c>
      <c r="P74" s="12">
        <f>BSHARE("ely_share",0,"Overall","median")</f>
        <v/>
      </c>
    </row>
    <row r="75">
      <c r="D75" s="6" t="inlineStr">
        <is>
          <t>median</t>
        </is>
      </c>
      <c r="E75" s="6" t="inlineStr">
        <is>
          <t>Overall</t>
        </is>
      </c>
      <c r="F75" s="6" t="inlineStr">
        <is>
          <t>Deciles</t>
        </is>
      </c>
      <c r="G75" s="6" t="inlineStr">
        <is>
          <t>ely</t>
        </is>
      </c>
      <c r="H75" s="6" t="inlineStr">
        <is>
          <t>%</t>
        </is>
      </c>
      <c r="Q75" s="12">
        <f>BSHARE("ely_share",DECILE_ARRAY,"Overall","median")</f>
        <v/>
      </c>
    </row>
    <row r="76">
      <c r="D76" s="6" t="inlineStr">
        <is>
          <t>median</t>
        </is>
      </c>
      <c r="E76" s="6" t="inlineStr">
        <is>
          <t>Urban</t>
        </is>
      </c>
      <c r="F76" s="6" t="inlineStr">
        <is>
          <t>Basket</t>
        </is>
      </c>
      <c r="G76" s="6" t="inlineStr">
        <is>
          <t>ely</t>
        </is>
      </c>
      <c r="H76" s="6" t="inlineStr">
        <is>
          <t>%</t>
        </is>
      </c>
      <c r="P76" s="12">
        <f>BSHARE("ely_share",0,"Urban","median")</f>
        <v/>
      </c>
    </row>
    <row r="77">
      <c r="D77" s="6" t="inlineStr">
        <is>
          <t>median</t>
        </is>
      </c>
      <c r="E77" s="6" t="inlineStr">
        <is>
          <t>Urban</t>
        </is>
      </c>
      <c r="F77" s="6" t="inlineStr">
        <is>
          <t>Deciles</t>
        </is>
      </c>
      <c r="G77" s="6" t="inlineStr">
        <is>
          <t>ely</t>
        </is>
      </c>
      <c r="H77" s="6" t="inlineStr">
        <is>
          <t>%</t>
        </is>
      </c>
      <c r="Q77" s="12">
        <f>BSHARE("ely_share",DECILE_ARRAY,"Urban","median")</f>
        <v/>
      </c>
    </row>
    <row r="78">
      <c r="D78" s="6" t="inlineStr">
        <is>
          <t>median</t>
        </is>
      </c>
      <c r="E78" s="6" t="inlineStr">
        <is>
          <t>Rural</t>
        </is>
      </c>
      <c r="F78" s="6" t="inlineStr">
        <is>
          <t>Basket</t>
        </is>
      </c>
      <c r="G78" s="6" t="inlineStr">
        <is>
          <t>ely</t>
        </is>
      </c>
      <c r="H78" s="6" t="inlineStr">
        <is>
          <t>%</t>
        </is>
      </c>
      <c r="P78" s="12">
        <f>BSHARE("ely_share",0,"Rural","median")</f>
        <v/>
      </c>
    </row>
    <row r="79">
      <c r="D79" s="6" t="inlineStr">
        <is>
          <t>median</t>
        </is>
      </c>
      <c r="E79" s="6" t="inlineStr">
        <is>
          <t>Rural</t>
        </is>
      </c>
      <c r="F79" s="6" t="inlineStr">
        <is>
          <t>Deciles</t>
        </is>
      </c>
      <c r="G79" s="6" t="inlineStr">
        <is>
          <t>ely</t>
        </is>
      </c>
      <c r="H79" s="6" t="inlineStr">
        <is>
          <t>%</t>
        </is>
      </c>
      <c r="Q79" s="12">
        <f>BSHARE("ely_share",DECILE_ARRAY,"Rural","median")</f>
        <v/>
      </c>
    </row>
    <row r="80">
      <c r="D80" s="6" t="inlineStr">
        <is>
          <t>p25</t>
        </is>
      </c>
      <c r="E80" s="6" t="inlineStr">
        <is>
          <t>Overall</t>
        </is>
      </c>
      <c r="F80" s="6" t="inlineStr">
        <is>
          <t>Basket</t>
        </is>
      </c>
      <c r="G80" s="6" t="inlineStr">
        <is>
          <t>ely</t>
        </is>
      </c>
      <c r="H80" s="6" t="inlineStr">
        <is>
          <t>%</t>
        </is>
      </c>
      <c r="P80" s="12">
        <f>BSHARE("ely_share",0,"Overall","p25")</f>
        <v/>
      </c>
    </row>
    <row r="81">
      <c r="D81" s="6" t="inlineStr">
        <is>
          <t>p25</t>
        </is>
      </c>
      <c r="E81" s="6" t="inlineStr">
        <is>
          <t>Overall</t>
        </is>
      </c>
      <c r="F81" s="6" t="inlineStr">
        <is>
          <t>Deciles</t>
        </is>
      </c>
      <c r="G81" s="6" t="inlineStr">
        <is>
          <t>ely</t>
        </is>
      </c>
      <c r="H81" s="6" t="inlineStr">
        <is>
          <t>%</t>
        </is>
      </c>
      <c r="Q81" s="12">
        <f>BSHARE("ely_share",DECILE_ARRAY,"Overall","p25")</f>
        <v/>
      </c>
    </row>
    <row r="82">
      <c r="D82" s="6" t="inlineStr">
        <is>
          <t>p25</t>
        </is>
      </c>
      <c r="E82" s="6" t="inlineStr">
        <is>
          <t>Urban</t>
        </is>
      </c>
      <c r="F82" s="6" t="inlineStr">
        <is>
          <t>Basket</t>
        </is>
      </c>
      <c r="G82" s="6" t="inlineStr">
        <is>
          <t>ely</t>
        </is>
      </c>
      <c r="H82" s="6" t="inlineStr">
        <is>
          <t>%</t>
        </is>
      </c>
      <c r="P82" s="12">
        <f>BSHARE("ely_share",0,"Urban","p25")</f>
        <v/>
      </c>
    </row>
    <row r="83">
      <c r="D83" s="6" t="inlineStr">
        <is>
          <t>p25</t>
        </is>
      </c>
      <c r="E83" s="6" t="inlineStr">
        <is>
          <t>Urban</t>
        </is>
      </c>
      <c r="F83" s="6" t="inlineStr">
        <is>
          <t>Deciles</t>
        </is>
      </c>
      <c r="G83" s="6" t="inlineStr">
        <is>
          <t>ely</t>
        </is>
      </c>
      <c r="H83" s="6" t="inlineStr">
        <is>
          <t>%</t>
        </is>
      </c>
      <c r="Q83" s="12">
        <f>BSHARE("ely_share",DECILE_ARRAY,"Urban","p25")</f>
        <v/>
      </c>
    </row>
    <row r="84">
      <c r="D84" s="6" t="inlineStr">
        <is>
          <t>p25</t>
        </is>
      </c>
      <c r="E84" s="6" t="inlineStr">
        <is>
          <t>Rural</t>
        </is>
      </c>
      <c r="F84" s="6" t="inlineStr">
        <is>
          <t>Basket</t>
        </is>
      </c>
      <c r="G84" s="6" t="inlineStr">
        <is>
          <t>ely</t>
        </is>
      </c>
      <c r="H84" s="6" t="inlineStr">
        <is>
          <t>%</t>
        </is>
      </c>
      <c r="P84" s="12">
        <f>BSHARE("ely_share",0,"Rural","p25")</f>
        <v/>
      </c>
    </row>
    <row r="85">
      <c r="D85" s="6" t="inlineStr">
        <is>
          <t>p25</t>
        </is>
      </c>
      <c r="E85" s="6" t="inlineStr">
        <is>
          <t>Rural</t>
        </is>
      </c>
      <c r="F85" s="6" t="inlineStr">
        <is>
          <t>Deciles</t>
        </is>
      </c>
      <c r="G85" s="6" t="inlineStr">
        <is>
          <t>ely</t>
        </is>
      </c>
      <c r="H85" s="6" t="inlineStr">
        <is>
          <t>%</t>
        </is>
      </c>
      <c r="Q85" s="12">
        <f>BSHARE("ely_share",DECILE_ARRAY,"Rural","p25")</f>
        <v/>
      </c>
    </row>
    <row r="86">
      <c r="D86" s="6" t="inlineStr">
        <is>
          <t>p75</t>
        </is>
      </c>
      <c r="E86" s="6" t="inlineStr">
        <is>
          <t>Overall</t>
        </is>
      </c>
      <c r="F86" s="6" t="inlineStr">
        <is>
          <t>Basket</t>
        </is>
      </c>
      <c r="G86" s="6" t="inlineStr">
        <is>
          <t>ely</t>
        </is>
      </c>
      <c r="H86" s="6" t="inlineStr">
        <is>
          <t>%</t>
        </is>
      </c>
      <c r="P86" s="12">
        <f>BSHARE("ely_share",0,"Overall","p75")</f>
        <v/>
      </c>
    </row>
    <row r="87">
      <c r="D87" s="6" t="inlineStr">
        <is>
          <t>p75</t>
        </is>
      </c>
      <c r="E87" s="6" t="inlineStr">
        <is>
          <t>Overall</t>
        </is>
      </c>
      <c r="F87" s="6" t="inlineStr">
        <is>
          <t>Deciles</t>
        </is>
      </c>
      <c r="G87" s="6" t="inlineStr">
        <is>
          <t>ely</t>
        </is>
      </c>
      <c r="H87" s="6" t="inlineStr">
        <is>
          <t>%</t>
        </is>
      </c>
      <c r="Q87" s="12">
        <f>BSHARE("ely_share",DECILE_ARRAY,"Overall","p75")</f>
        <v/>
      </c>
    </row>
    <row r="88">
      <c r="D88" s="6" t="inlineStr">
        <is>
          <t>p75</t>
        </is>
      </c>
      <c r="E88" s="6" t="inlineStr">
        <is>
          <t>Urban</t>
        </is>
      </c>
      <c r="F88" s="6" t="inlineStr">
        <is>
          <t>Basket</t>
        </is>
      </c>
      <c r="G88" s="6" t="inlineStr">
        <is>
          <t>ely</t>
        </is>
      </c>
      <c r="H88" s="6" t="inlineStr">
        <is>
          <t>%</t>
        </is>
      </c>
      <c r="P88" s="12">
        <f>BSHARE("ely_share",0,"Urban","p75")</f>
        <v/>
      </c>
    </row>
    <row r="89">
      <c r="D89" s="6" t="inlineStr">
        <is>
          <t>p75</t>
        </is>
      </c>
      <c r="E89" s="6" t="inlineStr">
        <is>
          <t>Urban</t>
        </is>
      </c>
      <c r="F89" s="6" t="inlineStr">
        <is>
          <t>Deciles</t>
        </is>
      </c>
      <c r="G89" s="6" t="inlineStr">
        <is>
          <t>ely</t>
        </is>
      </c>
      <c r="H89" s="6" t="inlineStr">
        <is>
          <t>%</t>
        </is>
      </c>
      <c r="Q89" s="12">
        <f>BSHARE("ely_share",DECILE_ARRAY,"Urban","p75")</f>
        <v/>
      </c>
    </row>
    <row r="90">
      <c r="D90" s="6" t="inlineStr">
        <is>
          <t>p75</t>
        </is>
      </c>
      <c r="E90" s="6" t="inlineStr">
        <is>
          <t>Rural</t>
        </is>
      </c>
      <c r="F90" s="6" t="inlineStr">
        <is>
          <t>Basket</t>
        </is>
      </c>
      <c r="G90" s="6" t="inlineStr">
        <is>
          <t>ely</t>
        </is>
      </c>
      <c r="H90" s="6" t="inlineStr">
        <is>
          <t>%</t>
        </is>
      </c>
      <c r="P90" s="12">
        <f>BSHARE("ely_share",0,"Rural","p75")</f>
        <v/>
      </c>
    </row>
    <row r="91">
      <c r="D91" s="6" t="inlineStr">
        <is>
          <t>p75</t>
        </is>
      </c>
      <c r="E91" s="6" t="inlineStr">
        <is>
          <t>Rural</t>
        </is>
      </c>
      <c r="F91" s="6" t="inlineStr">
        <is>
          <t>Deciles</t>
        </is>
      </c>
      <c r="G91" s="6" t="inlineStr">
        <is>
          <t>ely</t>
        </is>
      </c>
      <c r="H91" s="6" t="inlineStr">
        <is>
          <t>%</t>
        </is>
      </c>
      <c r="Q91" s="12">
        <f>BSHARE("ely_share",DECILE_ARRAY,"Rural","p75")</f>
        <v/>
      </c>
    </row>
    <row r="92"/>
    <row r="93">
      <c r="C93" s="7" t="inlineStr">
        <is>
          <t>Natural Gas Budget Share (% Total Consumption)</t>
        </is>
      </c>
      <c r="G93" s="6" t="inlineStr">
        <is>
          <t>nga</t>
        </is>
      </c>
      <c r="O93" s="8" t="inlineStr">
        <is>
          <t>Decile --&gt;</t>
        </is>
      </c>
      <c r="Q93" s="8" t="n">
        <v>1</v>
      </c>
      <c r="R93" s="8" t="n">
        <v>2</v>
      </c>
      <c r="S93" s="8" t="n">
        <v>3</v>
      </c>
      <c r="T93" s="8" t="n">
        <v>4</v>
      </c>
      <c r="U93" s="8" t="n">
        <v>5</v>
      </c>
      <c r="V93" s="8" t="n">
        <v>6</v>
      </c>
      <c r="W93" s="8" t="n">
        <v>7</v>
      </c>
      <c r="X93" s="8" t="n">
        <v>8</v>
      </c>
      <c r="Y93" s="8" t="n">
        <v>9</v>
      </c>
      <c r="Z93" s="8" t="n">
        <v>10</v>
      </c>
    </row>
    <row r="94">
      <c r="D94" s="6" t="inlineStr">
        <is>
          <t>mean</t>
        </is>
      </c>
      <c r="E94" s="6" t="inlineStr">
        <is>
          <t>Overall</t>
        </is>
      </c>
      <c r="F94" s="6" t="inlineStr">
        <is>
          <t>Basket</t>
        </is>
      </c>
      <c r="G94" s="6" t="inlineStr">
        <is>
          <t>nga</t>
        </is>
      </c>
      <c r="H94" s="6" t="inlineStr">
        <is>
          <t>%</t>
        </is>
      </c>
      <c r="P94" s="12">
        <f>BSHARE("nga_share",0,"Overall","mean")</f>
        <v/>
      </c>
    </row>
    <row r="95">
      <c r="D95" s="6" t="inlineStr">
        <is>
          <t>mean</t>
        </is>
      </c>
      <c r="E95" s="6" t="inlineStr">
        <is>
          <t>Overall</t>
        </is>
      </c>
      <c r="F95" s="6" t="inlineStr">
        <is>
          <t>Deciles</t>
        </is>
      </c>
      <c r="G95" s="6" t="inlineStr">
        <is>
          <t>nga</t>
        </is>
      </c>
      <c r="H95" s="6" t="inlineStr">
        <is>
          <t>%</t>
        </is>
      </c>
      <c r="Q95" s="12">
        <f>BSHARE("nga_share",DECILE_ARRAY,"Overall","mean")</f>
        <v/>
      </c>
    </row>
    <row r="96">
      <c r="D96" s="6" t="inlineStr">
        <is>
          <t>mean</t>
        </is>
      </c>
      <c r="E96" s="6" t="inlineStr">
        <is>
          <t>Urban</t>
        </is>
      </c>
      <c r="F96" s="6" t="inlineStr">
        <is>
          <t>Basket</t>
        </is>
      </c>
      <c r="G96" s="6" t="inlineStr">
        <is>
          <t>nga</t>
        </is>
      </c>
      <c r="H96" s="6" t="inlineStr">
        <is>
          <t>%</t>
        </is>
      </c>
      <c r="P96" s="12">
        <f>BSHARE("nga_share",0,"Urban","mean")</f>
        <v/>
      </c>
    </row>
    <row r="97">
      <c r="D97" s="6" t="inlineStr">
        <is>
          <t>mean</t>
        </is>
      </c>
      <c r="E97" s="6" t="inlineStr">
        <is>
          <t>Urban</t>
        </is>
      </c>
      <c r="F97" s="6" t="inlineStr">
        <is>
          <t>Deciles</t>
        </is>
      </c>
      <c r="G97" s="6" t="inlineStr">
        <is>
          <t>nga</t>
        </is>
      </c>
      <c r="H97" s="6" t="inlineStr">
        <is>
          <t>%</t>
        </is>
      </c>
      <c r="Q97" s="12">
        <f>BSHARE("nga_share",DECILE_ARRAY,"Urban","mean")</f>
        <v/>
      </c>
    </row>
    <row r="98">
      <c r="D98" s="6" t="inlineStr">
        <is>
          <t>mean</t>
        </is>
      </c>
      <c r="E98" s="6" t="inlineStr">
        <is>
          <t>Rural</t>
        </is>
      </c>
      <c r="F98" s="6" t="inlineStr">
        <is>
          <t>Basket</t>
        </is>
      </c>
      <c r="G98" s="6" t="inlineStr">
        <is>
          <t>nga</t>
        </is>
      </c>
      <c r="H98" s="6" t="inlineStr">
        <is>
          <t>%</t>
        </is>
      </c>
      <c r="P98" s="12">
        <f>BSHARE("nga_share",0,"Rural","mean")</f>
        <v/>
      </c>
    </row>
    <row r="99">
      <c r="D99" s="6" t="inlineStr">
        <is>
          <t>mean</t>
        </is>
      </c>
      <c r="E99" s="6" t="inlineStr">
        <is>
          <t>Rural</t>
        </is>
      </c>
      <c r="F99" s="6" t="inlineStr">
        <is>
          <t>Deciles</t>
        </is>
      </c>
      <c r="G99" s="6" t="inlineStr">
        <is>
          <t>nga</t>
        </is>
      </c>
      <c r="H99" s="6" t="inlineStr">
        <is>
          <t>%</t>
        </is>
      </c>
      <c r="Q99" s="12">
        <f>BSHARE("nga_share",DECILE_ARRAY,"Rural","mean")</f>
        <v/>
      </c>
    </row>
    <row r="100">
      <c r="D100" s="6" t="inlineStr">
        <is>
          <t>median</t>
        </is>
      </c>
      <c r="E100" s="6" t="inlineStr">
        <is>
          <t>Overall</t>
        </is>
      </c>
      <c r="F100" s="6" t="inlineStr">
        <is>
          <t>Basket</t>
        </is>
      </c>
      <c r="G100" s="6" t="inlineStr">
        <is>
          <t>nga</t>
        </is>
      </c>
      <c r="H100" s="6" t="inlineStr">
        <is>
          <t>%</t>
        </is>
      </c>
      <c r="P100" s="12">
        <f>BSHARE("nga_share",0,"Overall","median")</f>
        <v/>
      </c>
    </row>
    <row r="101">
      <c r="D101" s="6" t="inlineStr">
        <is>
          <t>median</t>
        </is>
      </c>
      <c r="E101" s="6" t="inlineStr">
        <is>
          <t>Overall</t>
        </is>
      </c>
      <c r="F101" s="6" t="inlineStr">
        <is>
          <t>Deciles</t>
        </is>
      </c>
      <c r="G101" s="6" t="inlineStr">
        <is>
          <t>nga</t>
        </is>
      </c>
      <c r="H101" s="6" t="inlineStr">
        <is>
          <t>%</t>
        </is>
      </c>
      <c r="Q101" s="12">
        <f>BSHARE("nga_share",DECILE_ARRAY,"Overall","median")</f>
        <v/>
      </c>
    </row>
    <row r="102">
      <c r="D102" s="6" t="inlineStr">
        <is>
          <t>median</t>
        </is>
      </c>
      <c r="E102" s="6" t="inlineStr">
        <is>
          <t>Urban</t>
        </is>
      </c>
      <c r="F102" s="6" t="inlineStr">
        <is>
          <t>Basket</t>
        </is>
      </c>
      <c r="G102" s="6" t="inlineStr">
        <is>
          <t>nga</t>
        </is>
      </c>
      <c r="H102" s="6" t="inlineStr">
        <is>
          <t>%</t>
        </is>
      </c>
      <c r="P102" s="12">
        <f>BSHARE("nga_share",0,"Urban","median")</f>
        <v/>
      </c>
    </row>
    <row r="103">
      <c r="D103" s="6" t="inlineStr">
        <is>
          <t>median</t>
        </is>
      </c>
      <c r="E103" s="6" t="inlineStr">
        <is>
          <t>Urban</t>
        </is>
      </c>
      <c r="F103" s="6" t="inlineStr">
        <is>
          <t>Deciles</t>
        </is>
      </c>
      <c r="G103" s="6" t="inlineStr">
        <is>
          <t>nga</t>
        </is>
      </c>
      <c r="H103" s="6" t="inlineStr">
        <is>
          <t>%</t>
        </is>
      </c>
      <c r="Q103" s="12">
        <f>BSHARE("nga_share",DECILE_ARRAY,"Urban","median")</f>
        <v/>
      </c>
    </row>
    <row r="104">
      <c r="D104" s="6" t="inlineStr">
        <is>
          <t>median</t>
        </is>
      </c>
      <c r="E104" s="6" t="inlineStr">
        <is>
          <t>Rural</t>
        </is>
      </c>
      <c r="F104" s="6" t="inlineStr">
        <is>
          <t>Basket</t>
        </is>
      </c>
      <c r="G104" s="6" t="inlineStr">
        <is>
          <t>nga</t>
        </is>
      </c>
      <c r="H104" s="6" t="inlineStr">
        <is>
          <t>%</t>
        </is>
      </c>
      <c r="P104" s="12">
        <f>BSHARE("nga_share",0,"Rural","median")</f>
        <v/>
      </c>
    </row>
    <row r="105">
      <c r="D105" s="6" t="inlineStr">
        <is>
          <t>median</t>
        </is>
      </c>
      <c r="E105" s="6" t="inlineStr">
        <is>
          <t>Rural</t>
        </is>
      </c>
      <c r="F105" s="6" t="inlineStr">
        <is>
          <t>Deciles</t>
        </is>
      </c>
      <c r="G105" s="6" t="inlineStr">
        <is>
          <t>nga</t>
        </is>
      </c>
      <c r="H105" s="6" t="inlineStr">
        <is>
          <t>%</t>
        </is>
      </c>
      <c r="Q105" s="12">
        <f>BSHARE("nga_share",DECILE_ARRAY,"Rural","median")</f>
        <v/>
      </c>
    </row>
    <row r="106">
      <c r="D106" s="6" t="inlineStr">
        <is>
          <t>p25</t>
        </is>
      </c>
      <c r="E106" s="6" t="inlineStr">
        <is>
          <t>Overall</t>
        </is>
      </c>
      <c r="F106" s="6" t="inlineStr">
        <is>
          <t>Basket</t>
        </is>
      </c>
      <c r="G106" s="6" t="inlineStr">
        <is>
          <t>nga</t>
        </is>
      </c>
      <c r="H106" s="6" t="inlineStr">
        <is>
          <t>%</t>
        </is>
      </c>
      <c r="P106" s="12">
        <f>BSHARE("nga_share",0,"Overall","p25")</f>
        <v/>
      </c>
    </row>
    <row r="107">
      <c r="D107" s="6" t="inlineStr">
        <is>
          <t>p25</t>
        </is>
      </c>
      <c r="E107" s="6" t="inlineStr">
        <is>
          <t>Overall</t>
        </is>
      </c>
      <c r="F107" s="6" t="inlineStr">
        <is>
          <t>Deciles</t>
        </is>
      </c>
      <c r="G107" s="6" t="inlineStr">
        <is>
          <t>nga</t>
        </is>
      </c>
      <c r="H107" s="6" t="inlineStr">
        <is>
          <t>%</t>
        </is>
      </c>
      <c r="Q107" s="12">
        <f>BSHARE("nga_share",DECILE_ARRAY,"Overall","p25")</f>
        <v/>
      </c>
    </row>
    <row r="108">
      <c r="D108" s="6" t="inlineStr">
        <is>
          <t>p25</t>
        </is>
      </c>
      <c r="E108" s="6" t="inlineStr">
        <is>
          <t>Urban</t>
        </is>
      </c>
      <c r="F108" s="6" t="inlineStr">
        <is>
          <t>Basket</t>
        </is>
      </c>
      <c r="G108" s="6" t="inlineStr">
        <is>
          <t>nga</t>
        </is>
      </c>
      <c r="H108" s="6" t="inlineStr">
        <is>
          <t>%</t>
        </is>
      </c>
      <c r="P108" s="12">
        <f>BSHARE("nga_share",0,"Urban","p25")</f>
        <v/>
      </c>
    </row>
    <row r="109">
      <c r="D109" s="6" t="inlineStr">
        <is>
          <t>p25</t>
        </is>
      </c>
      <c r="E109" s="6" t="inlineStr">
        <is>
          <t>Urban</t>
        </is>
      </c>
      <c r="F109" s="6" t="inlineStr">
        <is>
          <t>Deciles</t>
        </is>
      </c>
      <c r="G109" s="6" t="inlineStr">
        <is>
          <t>nga</t>
        </is>
      </c>
      <c r="H109" s="6" t="inlineStr">
        <is>
          <t>%</t>
        </is>
      </c>
      <c r="Q109" s="12">
        <f>BSHARE("nga_share",DECILE_ARRAY,"Urban","p25")</f>
        <v/>
      </c>
    </row>
    <row r="110">
      <c r="D110" s="6" t="inlineStr">
        <is>
          <t>p25</t>
        </is>
      </c>
      <c r="E110" s="6" t="inlineStr">
        <is>
          <t>Rural</t>
        </is>
      </c>
      <c r="F110" s="6" t="inlineStr">
        <is>
          <t>Basket</t>
        </is>
      </c>
      <c r="G110" s="6" t="inlineStr">
        <is>
          <t>nga</t>
        </is>
      </c>
      <c r="H110" s="6" t="inlineStr">
        <is>
          <t>%</t>
        </is>
      </c>
      <c r="P110" s="12">
        <f>BSHARE("nga_share",0,"Rural","p25")</f>
        <v/>
      </c>
    </row>
    <row r="111">
      <c r="D111" s="6" t="inlineStr">
        <is>
          <t>p25</t>
        </is>
      </c>
      <c r="E111" s="6" t="inlineStr">
        <is>
          <t>Rural</t>
        </is>
      </c>
      <c r="F111" s="6" t="inlineStr">
        <is>
          <t>Deciles</t>
        </is>
      </c>
      <c r="G111" s="6" t="inlineStr">
        <is>
          <t>nga</t>
        </is>
      </c>
      <c r="H111" s="6" t="inlineStr">
        <is>
          <t>%</t>
        </is>
      </c>
      <c r="Q111" s="12">
        <f>BSHARE("nga_share",DECILE_ARRAY,"Rural","p25")</f>
        <v/>
      </c>
    </row>
    <row r="112">
      <c r="D112" s="6" t="inlineStr">
        <is>
          <t>p75</t>
        </is>
      </c>
      <c r="E112" s="6" t="inlineStr">
        <is>
          <t>Overall</t>
        </is>
      </c>
      <c r="F112" s="6" t="inlineStr">
        <is>
          <t>Basket</t>
        </is>
      </c>
      <c r="G112" s="6" t="inlineStr">
        <is>
          <t>nga</t>
        </is>
      </c>
      <c r="H112" s="6" t="inlineStr">
        <is>
          <t>%</t>
        </is>
      </c>
      <c r="P112" s="12">
        <f>BSHARE("nga_share",0,"Overall","p75")</f>
        <v/>
      </c>
    </row>
    <row r="113">
      <c r="D113" s="6" t="inlineStr">
        <is>
          <t>p75</t>
        </is>
      </c>
      <c r="E113" s="6" t="inlineStr">
        <is>
          <t>Overall</t>
        </is>
      </c>
      <c r="F113" s="6" t="inlineStr">
        <is>
          <t>Deciles</t>
        </is>
      </c>
      <c r="G113" s="6" t="inlineStr">
        <is>
          <t>nga</t>
        </is>
      </c>
      <c r="H113" s="6" t="inlineStr">
        <is>
          <t>%</t>
        </is>
      </c>
      <c r="Q113" s="12">
        <f>BSHARE("nga_share",DECILE_ARRAY,"Overall","p75")</f>
        <v/>
      </c>
    </row>
    <row r="114">
      <c r="D114" s="6" t="inlineStr">
        <is>
          <t>p75</t>
        </is>
      </c>
      <c r="E114" s="6" t="inlineStr">
        <is>
          <t>Urban</t>
        </is>
      </c>
      <c r="F114" s="6" t="inlineStr">
        <is>
          <t>Basket</t>
        </is>
      </c>
      <c r="G114" s="6" t="inlineStr">
        <is>
          <t>nga</t>
        </is>
      </c>
      <c r="H114" s="6" t="inlineStr">
        <is>
          <t>%</t>
        </is>
      </c>
      <c r="P114" s="12">
        <f>BSHARE("nga_share",0,"Urban","p75")</f>
        <v/>
      </c>
    </row>
    <row r="115">
      <c r="D115" s="6" t="inlineStr">
        <is>
          <t>p75</t>
        </is>
      </c>
      <c r="E115" s="6" t="inlineStr">
        <is>
          <t>Urban</t>
        </is>
      </c>
      <c r="F115" s="6" t="inlineStr">
        <is>
          <t>Deciles</t>
        </is>
      </c>
      <c r="G115" s="6" t="inlineStr">
        <is>
          <t>nga</t>
        </is>
      </c>
      <c r="H115" s="6" t="inlineStr">
        <is>
          <t>%</t>
        </is>
      </c>
      <c r="Q115" s="12">
        <f>BSHARE("nga_share",DECILE_ARRAY,"Urban","p75")</f>
        <v/>
      </c>
    </row>
    <row r="116">
      <c r="D116" s="6" t="inlineStr">
        <is>
          <t>p75</t>
        </is>
      </c>
      <c r="E116" s="6" t="inlineStr">
        <is>
          <t>Rural</t>
        </is>
      </c>
      <c r="F116" s="6" t="inlineStr">
        <is>
          <t>Basket</t>
        </is>
      </c>
      <c r="G116" s="6" t="inlineStr">
        <is>
          <t>nga</t>
        </is>
      </c>
      <c r="H116" s="6" t="inlineStr">
        <is>
          <t>%</t>
        </is>
      </c>
      <c r="P116" s="12">
        <f>BSHARE("nga_share",0,"Rural","p75")</f>
        <v/>
      </c>
    </row>
    <row r="117">
      <c r="D117" s="6" t="inlineStr">
        <is>
          <t>p75</t>
        </is>
      </c>
      <c r="E117" s="6" t="inlineStr">
        <is>
          <t>Rural</t>
        </is>
      </c>
      <c r="F117" s="6" t="inlineStr">
        <is>
          <t>Deciles</t>
        </is>
      </c>
      <c r="G117" s="6" t="inlineStr">
        <is>
          <t>nga</t>
        </is>
      </c>
      <c r="H117" s="6" t="inlineStr">
        <is>
          <t>%</t>
        </is>
      </c>
      <c r="Q117" s="12">
        <f>BSHARE("nga_share",DECILE_ARRAY,"Rural","p75")</f>
        <v/>
      </c>
    </row>
    <row r="118"/>
    <row r="119">
      <c r="C119" s="7" t="inlineStr">
        <is>
          <t>Non-Road Oil Budget Share (% Total Consumption)</t>
        </is>
      </c>
      <c r="G119" s="6" t="inlineStr">
        <is>
          <t>oil</t>
        </is>
      </c>
      <c r="O119" s="8" t="inlineStr">
        <is>
          <t>Decile --&gt;</t>
        </is>
      </c>
      <c r="Q119" s="8" t="n">
        <v>1</v>
      </c>
      <c r="R119" s="8" t="n">
        <v>2</v>
      </c>
      <c r="S119" s="8" t="n">
        <v>3</v>
      </c>
      <c r="T119" s="8" t="n">
        <v>4</v>
      </c>
      <c r="U119" s="8" t="n">
        <v>5</v>
      </c>
      <c r="V119" s="8" t="n">
        <v>6</v>
      </c>
      <c r="W119" s="8" t="n">
        <v>7</v>
      </c>
      <c r="X119" s="8" t="n">
        <v>8</v>
      </c>
      <c r="Y119" s="8" t="n">
        <v>9</v>
      </c>
      <c r="Z119" s="8" t="n">
        <v>10</v>
      </c>
    </row>
    <row r="120">
      <c r="D120" s="6" t="inlineStr">
        <is>
          <t>mean</t>
        </is>
      </c>
      <c r="E120" s="6" t="inlineStr">
        <is>
          <t>Overall</t>
        </is>
      </c>
      <c r="F120" s="6" t="inlineStr">
        <is>
          <t>Basket</t>
        </is>
      </c>
      <c r="G120" s="6" t="inlineStr">
        <is>
          <t>oil</t>
        </is>
      </c>
      <c r="H120" s="6" t="inlineStr">
        <is>
          <t>%</t>
        </is>
      </c>
      <c r="P120" s="12">
        <f>BSHARE("oil_share",0,"Overall","mean")</f>
        <v/>
      </c>
    </row>
    <row r="121">
      <c r="D121" s="6" t="inlineStr">
        <is>
          <t>mean</t>
        </is>
      </c>
      <c r="E121" s="6" t="inlineStr">
        <is>
          <t>Overall</t>
        </is>
      </c>
      <c r="F121" s="6" t="inlineStr">
        <is>
          <t>Deciles</t>
        </is>
      </c>
      <c r="G121" s="6" t="inlineStr">
        <is>
          <t>oil</t>
        </is>
      </c>
      <c r="H121" s="6" t="inlineStr">
        <is>
          <t>%</t>
        </is>
      </c>
      <c r="Q121" s="12">
        <f>BSHARE("oil_share",DECILE_ARRAY,"Overall","mean")</f>
        <v/>
      </c>
    </row>
    <row r="122">
      <c r="D122" s="6" t="inlineStr">
        <is>
          <t>mean</t>
        </is>
      </c>
      <c r="E122" s="6" t="inlineStr">
        <is>
          <t>Urban</t>
        </is>
      </c>
      <c r="F122" s="6" t="inlineStr">
        <is>
          <t>Basket</t>
        </is>
      </c>
      <c r="G122" s="6" t="inlineStr">
        <is>
          <t>oil</t>
        </is>
      </c>
      <c r="H122" s="6" t="inlineStr">
        <is>
          <t>%</t>
        </is>
      </c>
      <c r="P122" s="12">
        <f>BSHARE("oil_share",0,"Urban","mean")</f>
        <v/>
      </c>
    </row>
    <row r="123">
      <c r="D123" s="6" t="inlineStr">
        <is>
          <t>mean</t>
        </is>
      </c>
      <c r="E123" s="6" t="inlineStr">
        <is>
          <t>Urban</t>
        </is>
      </c>
      <c r="F123" s="6" t="inlineStr">
        <is>
          <t>Deciles</t>
        </is>
      </c>
      <c r="G123" s="6" t="inlineStr">
        <is>
          <t>oil</t>
        </is>
      </c>
      <c r="H123" s="6" t="inlineStr">
        <is>
          <t>%</t>
        </is>
      </c>
      <c r="Q123" s="12">
        <f>BSHARE("oil_share",DECILE_ARRAY,"Urban","mean")</f>
        <v/>
      </c>
    </row>
    <row r="124">
      <c r="D124" s="6" t="inlineStr">
        <is>
          <t>mean</t>
        </is>
      </c>
      <c r="E124" s="6" t="inlineStr">
        <is>
          <t>Rural</t>
        </is>
      </c>
      <c r="F124" s="6" t="inlineStr">
        <is>
          <t>Basket</t>
        </is>
      </c>
      <c r="G124" s="6" t="inlineStr">
        <is>
          <t>oil</t>
        </is>
      </c>
      <c r="H124" s="6" t="inlineStr">
        <is>
          <t>%</t>
        </is>
      </c>
      <c r="P124" s="12">
        <f>BSHARE("oil_share",0,"Rural","mean")</f>
        <v/>
      </c>
    </row>
    <row r="125">
      <c r="D125" s="6" t="inlineStr">
        <is>
          <t>mean</t>
        </is>
      </c>
      <c r="E125" s="6" t="inlineStr">
        <is>
          <t>Rural</t>
        </is>
      </c>
      <c r="F125" s="6" t="inlineStr">
        <is>
          <t>Deciles</t>
        </is>
      </c>
      <c r="G125" s="6" t="inlineStr">
        <is>
          <t>oil</t>
        </is>
      </c>
      <c r="H125" s="6" t="inlineStr">
        <is>
          <t>%</t>
        </is>
      </c>
      <c r="Q125" s="12">
        <f>BSHARE("oil_share",DECILE_ARRAY,"Rural","mean")</f>
        <v/>
      </c>
    </row>
    <row r="126">
      <c r="D126" s="6" t="inlineStr">
        <is>
          <t>median</t>
        </is>
      </c>
      <c r="E126" s="6" t="inlineStr">
        <is>
          <t>Overall</t>
        </is>
      </c>
      <c r="F126" s="6" t="inlineStr">
        <is>
          <t>Basket</t>
        </is>
      </c>
      <c r="G126" s="6" t="inlineStr">
        <is>
          <t>oil</t>
        </is>
      </c>
      <c r="H126" s="6" t="inlineStr">
        <is>
          <t>%</t>
        </is>
      </c>
      <c r="P126" s="12">
        <f>BSHARE("oil_share",0,"Overall","median")</f>
        <v/>
      </c>
    </row>
    <row r="127">
      <c r="D127" s="6" t="inlineStr">
        <is>
          <t>median</t>
        </is>
      </c>
      <c r="E127" s="6" t="inlineStr">
        <is>
          <t>Overall</t>
        </is>
      </c>
      <c r="F127" s="6" t="inlineStr">
        <is>
          <t>Deciles</t>
        </is>
      </c>
      <c r="G127" s="6" t="inlineStr">
        <is>
          <t>oil</t>
        </is>
      </c>
      <c r="H127" s="6" t="inlineStr">
        <is>
          <t>%</t>
        </is>
      </c>
      <c r="Q127" s="12">
        <f>BSHARE("oil_share",DECILE_ARRAY,"Overall","median")</f>
        <v/>
      </c>
    </row>
    <row r="128">
      <c r="D128" s="6" t="inlineStr">
        <is>
          <t>median</t>
        </is>
      </c>
      <c r="E128" s="6" t="inlineStr">
        <is>
          <t>Urban</t>
        </is>
      </c>
      <c r="F128" s="6" t="inlineStr">
        <is>
          <t>Basket</t>
        </is>
      </c>
      <c r="G128" s="6" t="inlineStr">
        <is>
          <t>oil</t>
        </is>
      </c>
      <c r="H128" s="6" t="inlineStr">
        <is>
          <t>%</t>
        </is>
      </c>
      <c r="P128" s="12">
        <f>BSHARE("oil_share",0,"Urban","median")</f>
        <v/>
      </c>
    </row>
    <row r="129">
      <c r="D129" s="6" t="inlineStr">
        <is>
          <t>median</t>
        </is>
      </c>
      <c r="E129" s="6" t="inlineStr">
        <is>
          <t>Urban</t>
        </is>
      </c>
      <c r="F129" s="6" t="inlineStr">
        <is>
          <t>Deciles</t>
        </is>
      </c>
      <c r="G129" s="6" t="inlineStr">
        <is>
          <t>oil</t>
        </is>
      </c>
      <c r="H129" s="6" t="inlineStr">
        <is>
          <t>%</t>
        </is>
      </c>
      <c r="Q129" s="12">
        <f>BSHARE("oil_share",DECILE_ARRAY,"Urban","median")</f>
        <v/>
      </c>
    </row>
    <row r="130">
      <c r="D130" s="6" t="inlineStr">
        <is>
          <t>median</t>
        </is>
      </c>
      <c r="E130" s="6" t="inlineStr">
        <is>
          <t>Rural</t>
        </is>
      </c>
      <c r="F130" s="6" t="inlineStr">
        <is>
          <t>Basket</t>
        </is>
      </c>
      <c r="G130" s="6" t="inlineStr">
        <is>
          <t>oil</t>
        </is>
      </c>
      <c r="H130" s="6" t="inlineStr">
        <is>
          <t>%</t>
        </is>
      </c>
      <c r="P130" s="12">
        <f>BSHARE("oil_share",0,"Rural","median")</f>
        <v/>
      </c>
    </row>
    <row r="131">
      <c r="D131" s="6" t="inlineStr">
        <is>
          <t>median</t>
        </is>
      </c>
      <c r="E131" s="6" t="inlineStr">
        <is>
          <t>Rural</t>
        </is>
      </c>
      <c r="F131" s="6" t="inlineStr">
        <is>
          <t>Deciles</t>
        </is>
      </c>
      <c r="G131" s="6" t="inlineStr">
        <is>
          <t>oil</t>
        </is>
      </c>
      <c r="H131" s="6" t="inlineStr">
        <is>
          <t>%</t>
        </is>
      </c>
      <c r="Q131" s="12">
        <f>BSHARE("oil_share",DECILE_ARRAY,"Rural","median")</f>
        <v/>
      </c>
    </row>
    <row r="132">
      <c r="D132" s="6" t="inlineStr">
        <is>
          <t>p25</t>
        </is>
      </c>
      <c r="E132" s="6" t="inlineStr">
        <is>
          <t>Overall</t>
        </is>
      </c>
      <c r="F132" s="6" t="inlineStr">
        <is>
          <t>Basket</t>
        </is>
      </c>
      <c r="G132" s="6" t="inlineStr">
        <is>
          <t>oil</t>
        </is>
      </c>
      <c r="H132" s="6" t="inlineStr">
        <is>
          <t>%</t>
        </is>
      </c>
      <c r="P132" s="12">
        <f>BSHARE("oil_share",0,"Overall","p25")</f>
        <v/>
      </c>
    </row>
    <row r="133">
      <c r="D133" s="6" t="inlineStr">
        <is>
          <t>p25</t>
        </is>
      </c>
      <c r="E133" s="6" t="inlineStr">
        <is>
          <t>Overall</t>
        </is>
      </c>
      <c r="F133" s="6" t="inlineStr">
        <is>
          <t>Deciles</t>
        </is>
      </c>
      <c r="G133" s="6" t="inlineStr">
        <is>
          <t>oil</t>
        </is>
      </c>
      <c r="H133" s="6" t="inlineStr">
        <is>
          <t>%</t>
        </is>
      </c>
      <c r="Q133" s="12">
        <f>BSHARE("oil_share",DECILE_ARRAY,"Overall","p25")</f>
        <v/>
      </c>
    </row>
    <row r="134">
      <c r="D134" s="6" t="inlineStr">
        <is>
          <t>p25</t>
        </is>
      </c>
      <c r="E134" s="6" t="inlineStr">
        <is>
          <t>Urban</t>
        </is>
      </c>
      <c r="F134" s="6" t="inlineStr">
        <is>
          <t>Basket</t>
        </is>
      </c>
      <c r="G134" s="6" t="inlineStr">
        <is>
          <t>oil</t>
        </is>
      </c>
      <c r="H134" s="6" t="inlineStr">
        <is>
          <t>%</t>
        </is>
      </c>
      <c r="P134" s="12">
        <f>BSHARE("oil_share",0,"Urban","p25")</f>
        <v/>
      </c>
    </row>
    <row r="135">
      <c r="D135" s="6" t="inlineStr">
        <is>
          <t>p25</t>
        </is>
      </c>
      <c r="E135" s="6" t="inlineStr">
        <is>
          <t>Urban</t>
        </is>
      </c>
      <c r="F135" s="6" t="inlineStr">
        <is>
          <t>Deciles</t>
        </is>
      </c>
      <c r="G135" s="6" t="inlineStr">
        <is>
          <t>oil</t>
        </is>
      </c>
      <c r="H135" s="6" t="inlineStr">
        <is>
          <t>%</t>
        </is>
      </c>
      <c r="Q135" s="12">
        <f>BSHARE("oil_share",DECILE_ARRAY,"Urban","p25")</f>
        <v/>
      </c>
    </row>
    <row r="136">
      <c r="D136" s="6" t="inlineStr">
        <is>
          <t>p25</t>
        </is>
      </c>
      <c r="E136" s="6" t="inlineStr">
        <is>
          <t>Rural</t>
        </is>
      </c>
      <c r="F136" s="6" t="inlineStr">
        <is>
          <t>Basket</t>
        </is>
      </c>
      <c r="G136" s="6" t="inlineStr">
        <is>
          <t>oil</t>
        </is>
      </c>
      <c r="H136" s="6" t="inlineStr">
        <is>
          <t>%</t>
        </is>
      </c>
      <c r="P136" s="12">
        <f>BSHARE("oil_share",0,"Rural","p25")</f>
        <v/>
      </c>
    </row>
    <row r="137">
      <c r="D137" s="6" t="inlineStr">
        <is>
          <t>p25</t>
        </is>
      </c>
      <c r="E137" s="6" t="inlineStr">
        <is>
          <t>Rural</t>
        </is>
      </c>
      <c r="F137" s="6" t="inlineStr">
        <is>
          <t>Deciles</t>
        </is>
      </c>
      <c r="G137" s="6" t="inlineStr">
        <is>
          <t>oil</t>
        </is>
      </c>
      <c r="H137" s="6" t="inlineStr">
        <is>
          <t>%</t>
        </is>
      </c>
      <c r="Q137" s="12">
        <f>BSHARE("oil_share",DECILE_ARRAY,"Rural","p25")</f>
        <v/>
      </c>
    </row>
    <row r="138">
      <c r="D138" s="6" t="inlineStr">
        <is>
          <t>p75</t>
        </is>
      </c>
      <c r="E138" s="6" t="inlineStr">
        <is>
          <t>Overall</t>
        </is>
      </c>
      <c r="F138" s="6" t="inlineStr">
        <is>
          <t>Basket</t>
        </is>
      </c>
      <c r="G138" s="6" t="inlineStr">
        <is>
          <t>oil</t>
        </is>
      </c>
      <c r="H138" s="6" t="inlineStr">
        <is>
          <t>%</t>
        </is>
      </c>
      <c r="P138" s="12">
        <f>BSHARE("oil_share",0,"Overall","p75")</f>
        <v/>
      </c>
    </row>
    <row r="139">
      <c r="D139" s="6" t="inlineStr">
        <is>
          <t>p75</t>
        </is>
      </c>
      <c r="E139" s="6" t="inlineStr">
        <is>
          <t>Overall</t>
        </is>
      </c>
      <c r="F139" s="6" t="inlineStr">
        <is>
          <t>Deciles</t>
        </is>
      </c>
      <c r="G139" s="6" t="inlineStr">
        <is>
          <t>oil</t>
        </is>
      </c>
      <c r="H139" s="6" t="inlineStr">
        <is>
          <t>%</t>
        </is>
      </c>
      <c r="Q139" s="12">
        <f>BSHARE("oil_share",DECILE_ARRAY,"Overall","p75")</f>
        <v/>
      </c>
    </row>
    <row r="140">
      <c r="D140" s="6" t="inlineStr">
        <is>
          <t>p75</t>
        </is>
      </c>
      <c r="E140" s="6" t="inlineStr">
        <is>
          <t>Urban</t>
        </is>
      </c>
      <c r="F140" s="6" t="inlineStr">
        <is>
          <t>Basket</t>
        </is>
      </c>
      <c r="G140" s="6" t="inlineStr">
        <is>
          <t>oil</t>
        </is>
      </c>
      <c r="H140" s="6" t="inlineStr">
        <is>
          <t>%</t>
        </is>
      </c>
      <c r="P140" s="12">
        <f>BSHARE("oil_share",0,"Urban","p75")</f>
        <v/>
      </c>
    </row>
    <row r="141">
      <c r="D141" s="6" t="inlineStr">
        <is>
          <t>p75</t>
        </is>
      </c>
      <c r="E141" s="6" t="inlineStr">
        <is>
          <t>Urban</t>
        </is>
      </c>
      <c r="F141" s="6" t="inlineStr">
        <is>
          <t>Deciles</t>
        </is>
      </c>
      <c r="G141" s="6" t="inlineStr">
        <is>
          <t>oil</t>
        </is>
      </c>
      <c r="H141" s="6" t="inlineStr">
        <is>
          <t>%</t>
        </is>
      </c>
      <c r="Q141" s="12">
        <f>BSHARE("oil_share",DECILE_ARRAY,"Urban","p75")</f>
        <v/>
      </c>
    </row>
    <row r="142">
      <c r="D142" s="6" t="inlineStr">
        <is>
          <t>p75</t>
        </is>
      </c>
      <c r="E142" s="6" t="inlineStr">
        <is>
          <t>Rural</t>
        </is>
      </c>
      <c r="F142" s="6" t="inlineStr">
        <is>
          <t>Basket</t>
        </is>
      </c>
      <c r="G142" s="6" t="inlineStr">
        <is>
          <t>oil</t>
        </is>
      </c>
      <c r="H142" s="6" t="inlineStr">
        <is>
          <t>%</t>
        </is>
      </c>
      <c r="P142" s="12">
        <f>BSHARE("oil_share",0,"Rural","p75")</f>
        <v/>
      </c>
    </row>
    <row r="143">
      <c r="D143" s="6" t="inlineStr">
        <is>
          <t>p75</t>
        </is>
      </c>
      <c r="E143" s="6" t="inlineStr">
        <is>
          <t>Rural</t>
        </is>
      </c>
      <c r="F143" s="6" t="inlineStr">
        <is>
          <t>Deciles</t>
        </is>
      </c>
      <c r="G143" s="6" t="inlineStr">
        <is>
          <t>oil</t>
        </is>
      </c>
      <c r="H143" s="6" t="inlineStr">
        <is>
          <t>%</t>
        </is>
      </c>
      <c r="Q143" s="12">
        <f>BSHARE("oil_share",DECILE_ARRAY,"Rural","p75")</f>
        <v/>
      </c>
    </row>
    <row r="144"/>
    <row r="145">
      <c r="C145" s="7" t="inlineStr">
        <is>
          <t>Gasoline Budget Share (% Total Consumption)</t>
        </is>
      </c>
      <c r="G145" s="6" t="inlineStr">
        <is>
          <t>gso</t>
        </is>
      </c>
      <c r="O145" s="8" t="inlineStr">
        <is>
          <t>Decile --&gt;</t>
        </is>
      </c>
      <c r="Q145" s="8" t="n">
        <v>1</v>
      </c>
      <c r="R145" s="8" t="n">
        <v>2</v>
      </c>
      <c r="S145" s="8" t="n">
        <v>3</v>
      </c>
      <c r="T145" s="8" t="n">
        <v>4</v>
      </c>
      <c r="U145" s="8" t="n">
        <v>5</v>
      </c>
      <c r="V145" s="8" t="n">
        <v>6</v>
      </c>
      <c r="W145" s="8" t="n">
        <v>7</v>
      </c>
      <c r="X145" s="8" t="n">
        <v>8</v>
      </c>
      <c r="Y145" s="8" t="n">
        <v>9</v>
      </c>
      <c r="Z145" s="8" t="n">
        <v>10</v>
      </c>
    </row>
    <row r="146">
      <c r="D146" s="6" t="inlineStr">
        <is>
          <t>mean</t>
        </is>
      </c>
      <c r="E146" s="6" t="inlineStr">
        <is>
          <t>Overall</t>
        </is>
      </c>
      <c r="F146" s="6" t="inlineStr">
        <is>
          <t>Basket</t>
        </is>
      </c>
      <c r="G146" s="6" t="inlineStr">
        <is>
          <t>gso</t>
        </is>
      </c>
      <c r="H146" s="6" t="inlineStr">
        <is>
          <t>%</t>
        </is>
      </c>
      <c r="P146" s="12">
        <f>BSHARE("gso_share",0,"Overall","mean")</f>
        <v/>
      </c>
    </row>
    <row r="147">
      <c r="D147" s="6" t="inlineStr">
        <is>
          <t>mean</t>
        </is>
      </c>
      <c r="E147" s="6" t="inlineStr">
        <is>
          <t>Overall</t>
        </is>
      </c>
      <c r="F147" s="6" t="inlineStr">
        <is>
          <t>Deciles</t>
        </is>
      </c>
      <c r="G147" s="6" t="inlineStr">
        <is>
          <t>gso</t>
        </is>
      </c>
      <c r="H147" s="6" t="inlineStr">
        <is>
          <t>%</t>
        </is>
      </c>
      <c r="Q147" s="12">
        <f>BSHARE("gso_share",DECILE_ARRAY,"Overall","mean")</f>
        <v/>
      </c>
    </row>
    <row r="148">
      <c r="D148" s="6" t="inlineStr">
        <is>
          <t>mean</t>
        </is>
      </c>
      <c r="E148" s="6" t="inlineStr">
        <is>
          <t>Urban</t>
        </is>
      </c>
      <c r="F148" s="6" t="inlineStr">
        <is>
          <t>Basket</t>
        </is>
      </c>
      <c r="G148" s="6" t="inlineStr">
        <is>
          <t>gso</t>
        </is>
      </c>
      <c r="H148" s="6" t="inlineStr">
        <is>
          <t>%</t>
        </is>
      </c>
      <c r="P148" s="12">
        <f>BSHARE("gso_share",0,"Urban","mean")</f>
        <v/>
      </c>
    </row>
    <row r="149">
      <c r="D149" s="6" t="inlineStr">
        <is>
          <t>mean</t>
        </is>
      </c>
      <c r="E149" s="6" t="inlineStr">
        <is>
          <t>Urban</t>
        </is>
      </c>
      <c r="F149" s="6" t="inlineStr">
        <is>
          <t>Deciles</t>
        </is>
      </c>
      <c r="G149" s="6" t="inlineStr">
        <is>
          <t>gso</t>
        </is>
      </c>
      <c r="H149" s="6" t="inlineStr">
        <is>
          <t>%</t>
        </is>
      </c>
      <c r="Q149" s="12">
        <f>BSHARE("gso_share",DECILE_ARRAY,"Urban","mean")</f>
        <v/>
      </c>
    </row>
    <row r="150">
      <c r="D150" s="6" t="inlineStr">
        <is>
          <t>mean</t>
        </is>
      </c>
      <c r="E150" s="6" t="inlineStr">
        <is>
          <t>Rural</t>
        </is>
      </c>
      <c r="F150" s="6" t="inlineStr">
        <is>
          <t>Basket</t>
        </is>
      </c>
      <c r="G150" s="6" t="inlineStr">
        <is>
          <t>gso</t>
        </is>
      </c>
      <c r="H150" s="6" t="inlineStr">
        <is>
          <t>%</t>
        </is>
      </c>
      <c r="P150" s="12">
        <f>BSHARE("gso_share",0,"Rural","mean")</f>
        <v/>
      </c>
    </row>
    <row r="151">
      <c r="D151" s="6" t="inlineStr">
        <is>
          <t>mean</t>
        </is>
      </c>
      <c r="E151" s="6" t="inlineStr">
        <is>
          <t>Rural</t>
        </is>
      </c>
      <c r="F151" s="6" t="inlineStr">
        <is>
          <t>Deciles</t>
        </is>
      </c>
      <c r="G151" s="6" t="inlineStr">
        <is>
          <t>gso</t>
        </is>
      </c>
      <c r="H151" s="6" t="inlineStr">
        <is>
          <t>%</t>
        </is>
      </c>
      <c r="Q151" s="12">
        <f>BSHARE("gso_share",DECILE_ARRAY,"Rural","mean")</f>
        <v/>
      </c>
    </row>
    <row r="152">
      <c r="D152" s="6" t="inlineStr">
        <is>
          <t>median</t>
        </is>
      </c>
      <c r="E152" s="6" t="inlineStr">
        <is>
          <t>Overall</t>
        </is>
      </c>
      <c r="F152" s="6" t="inlineStr">
        <is>
          <t>Basket</t>
        </is>
      </c>
      <c r="G152" s="6" t="inlineStr">
        <is>
          <t>gso</t>
        </is>
      </c>
      <c r="H152" s="6" t="inlineStr">
        <is>
          <t>%</t>
        </is>
      </c>
      <c r="P152" s="12">
        <f>BSHARE("gso_share",0,"Overall","median")</f>
        <v/>
      </c>
    </row>
    <row r="153">
      <c r="D153" s="6" t="inlineStr">
        <is>
          <t>median</t>
        </is>
      </c>
      <c r="E153" s="6" t="inlineStr">
        <is>
          <t>Overall</t>
        </is>
      </c>
      <c r="F153" s="6" t="inlineStr">
        <is>
          <t>Deciles</t>
        </is>
      </c>
      <c r="G153" s="6" t="inlineStr">
        <is>
          <t>gso</t>
        </is>
      </c>
      <c r="H153" s="6" t="inlineStr">
        <is>
          <t>%</t>
        </is>
      </c>
      <c r="Q153" s="12">
        <f>BSHARE("gso_share",DECILE_ARRAY,"Overall","median")</f>
        <v/>
      </c>
    </row>
    <row r="154">
      <c r="D154" s="6" t="inlineStr">
        <is>
          <t>median</t>
        </is>
      </c>
      <c r="E154" s="6" t="inlineStr">
        <is>
          <t>Urban</t>
        </is>
      </c>
      <c r="F154" s="6" t="inlineStr">
        <is>
          <t>Basket</t>
        </is>
      </c>
      <c r="G154" s="6" t="inlineStr">
        <is>
          <t>gso</t>
        </is>
      </c>
      <c r="H154" s="6" t="inlineStr">
        <is>
          <t>%</t>
        </is>
      </c>
      <c r="P154" s="12">
        <f>BSHARE("gso_share",0,"Urban","median")</f>
        <v/>
      </c>
    </row>
    <row r="155">
      <c r="D155" s="6" t="inlineStr">
        <is>
          <t>median</t>
        </is>
      </c>
      <c r="E155" s="6" t="inlineStr">
        <is>
          <t>Urban</t>
        </is>
      </c>
      <c r="F155" s="6" t="inlineStr">
        <is>
          <t>Deciles</t>
        </is>
      </c>
      <c r="G155" s="6" t="inlineStr">
        <is>
          <t>gso</t>
        </is>
      </c>
      <c r="H155" s="6" t="inlineStr">
        <is>
          <t>%</t>
        </is>
      </c>
      <c r="Q155" s="12">
        <f>BSHARE("gso_share",DECILE_ARRAY,"Urban","median")</f>
        <v/>
      </c>
    </row>
    <row r="156">
      <c r="D156" s="6" t="inlineStr">
        <is>
          <t>median</t>
        </is>
      </c>
      <c r="E156" s="6" t="inlineStr">
        <is>
          <t>Rural</t>
        </is>
      </c>
      <c r="F156" s="6" t="inlineStr">
        <is>
          <t>Basket</t>
        </is>
      </c>
      <c r="G156" s="6" t="inlineStr">
        <is>
          <t>gso</t>
        </is>
      </c>
      <c r="H156" s="6" t="inlineStr">
        <is>
          <t>%</t>
        </is>
      </c>
      <c r="P156" s="12">
        <f>BSHARE("gso_share",0,"Rural","median")</f>
        <v/>
      </c>
    </row>
    <row r="157">
      <c r="D157" s="6" t="inlineStr">
        <is>
          <t>median</t>
        </is>
      </c>
      <c r="E157" s="6" t="inlineStr">
        <is>
          <t>Rural</t>
        </is>
      </c>
      <c r="F157" s="6" t="inlineStr">
        <is>
          <t>Deciles</t>
        </is>
      </c>
      <c r="G157" s="6" t="inlineStr">
        <is>
          <t>gso</t>
        </is>
      </c>
      <c r="H157" s="6" t="inlineStr">
        <is>
          <t>%</t>
        </is>
      </c>
      <c r="Q157" s="12">
        <f>BSHARE("gso_share",DECILE_ARRAY,"Rural","median")</f>
        <v/>
      </c>
    </row>
    <row r="158">
      <c r="D158" s="6" t="inlineStr">
        <is>
          <t>p25</t>
        </is>
      </c>
      <c r="E158" s="6" t="inlineStr">
        <is>
          <t>Overall</t>
        </is>
      </c>
      <c r="F158" s="6" t="inlineStr">
        <is>
          <t>Basket</t>
        </is>
      </c>
      <c r="G158" s="6" t="inlineStr">
        <is>
          <t>gso</t>
        </is>
      </c>
      <c r="H158" s="6" t="inlineStr">
        <is>
          <t>%</t>
        </is>
      </c>
      <c r="P158" s="12">
        <f>BSHARE("gso_share",0,"Overall","p25")</f>
        <v/>
      </c>
    </row>
    <row r="159">
      <c r="D159" s="6" t="inlineStr">
        <is>
          <t>p25</t>
        </is>
      </c>
      <c r="E159" s="6" t="inlineStr">
        <is>
          <t>Overall</t>
        </is>
      </c>
      <c r="F159" s="6" t="inlineStr">
        <is>
          <t>Deciles</t>
        </is>
      </c>
      <c r="G159" s="6" t="inlineStr">
        <is>
          <t>gso</t>
        </is>
      </c>
      <c r="H159" s="6" t="inlineStr">
        <is>
          <t>%</t>
        </is>
      </c>
      <c r="Q159" s="12">
        <f>BSHARE("gso_share",DECILE_ARRAY,"Overall","p25")</f>
        <v/>
      </c>
    </row>
    <row r="160">
      <c r="D160" s="6" t="inlineStr">
        <is>
          <t>p25</t>
        </is>
      </c>
      <c r="E160" s="6" t="inlineStr">
        <is>
          <t>Urban</t>
        </is>
      </c>
      <c r="F160" s="6" t="inlineStr">
        <is>
          <t>Basket</t>
        </is>
      </c>
      <c r="G160" s="6" t="inlineStr">
        <is>
          <t>gso</t>
        </is>
      </c>
      <c r="H160" s="6" t="inlineStr">
        <is>
          <t>%</t>
        </is>
      </c>
      <c r="P160" s="12">
        <f>BSHARE("gso_share",0,"Urban","p25")</f>
        <v/>
      </c>
    </row>
    <row r="161">
      <c r="D161" s="6" t="inlineStr">
        <is>
          <t>p25</t>
        </is>
      </c>
      <c r="E161" s="6" t="inlineStr">
        <is>
          <t>Urban</t>
        </is>
      </c>
      <c r="F161" s="6" t="inlineStr">
        <is>
          <t>Deciles</t>
        </is>
      </c>
      <c r="G161" s="6" t="inlineStr">
        <is>
          <t>gso</t>
        </is>
      </c>
      <c r="H161" s="6" t="inlineStr">
        <is>
          <t>%</t>
        </is>
      </c>
      <c r="Q161" s="12">
        <f>BSHARE("gso_share",DECILE_ARRAY,"Urban","p25")</f>
        <v/>
      </c>
    </row>
    <row r="162">
      <c r="D162" s="6" t="inlineStr">
        <is>
          <t>p25</t>
        </is>
      </c>
      <c r="E162" s="6" t="inlineStr">
        <is>
          <t>Rural</t>
        </is>
      </c>
      <c r="F162" s="6" t="inlineStr">
        <is>
          <t>Basket</t>
        </is>
      </c>
      <c r="G162" s="6" t="inlineStr">
        <is>
          <t>gso</t>
        </is>
      </c>
      <c r="H162" s="6" t="inlineStr">
        <is>
          <t>%</t>
        </is>
      </c>
      <c r="P162" s="12">
        <f>BSHARE("gso_share",0,"Rural","p25")</f>
        <v/>
      </c>
    </row>
    <row r="163">
      <c r="D163" s="6" t="inlineStr">
        <is>
          <t>p25</t>
        </is>
      </c>
      <c r="E163" s="6" t="inlineStr">
        <is>
          <t>Rural</t>
        </is>
      </c>
      <c r="F163" s="6" t="inlineStr">
        <is>
          <t>Deciles</t>
        </is>
      </c>
      <c r="G163" s="6" t="inlineStr">
        <is>
          <t>gso</t>
        </is>
      </c>
      <c r="H163" s="6" t="inlineStr">
        <is>
          <t>%</t>
        </is>
      </c>
      <c r="Q163" s="12">
        <f>BSHARE("gso_share",DECILE_ARRAY,"Rural","p25")</f>
        <v/>
      </c>
    </row>
    <row r="164">
      <c r="D164" s="6" t="inlineStr">
        <is>
          <t>p75</t>
        </is>
      </c>
      <c r="E164" s="6" t="inlineStr">
        <is>
          <t>Overall</t>
        </is>
      </c>
      <c r="F164" s="6" t="inlineStr">
        <is>
          <t>Basket</t>
        </is>
      </c>
      <c r="G164" s="6" t="inlineStr">
        <is>
          <t>gso</t>
        </is>
      </c>
      <c r="H164" s="6" t="inlineStr">
        <is>
          <t>%</t>
        </is>
      </c>
      <c r="P164" s="12">
        <f>BSHARE("gso_share",0,"Overall","p75")</f>
        <v/>
      </c>
    </row>
    <row r="165">
      <c r="D165" s="6" t="inlineStr">
        <is>
          <t>p75</t>
        </is>
      </c>
      <c r="E165" s="6" t="inlineStr">
        <is>
          <t>Overall</t>
        </is>
      </c>
      <c r="F165" s="6" t="inlineStr">
        <is>
          <t>Deciles</t>
        </is>
      </c>
      <c r="G165" s="6" t="inlineStr">
        <is>
          <t>gso</t>
        </is>
      </c>
      <c r="H165" s="6" t="inlineStr">
        <is>
          <t>%</t>
        </is>
      </c>
      <c r="Q165" s="12">
        <f>BSHARE("gso_share",DECILE_ARRAY,"Overall","p75")</f>
        <v/>
      </c>
    </row>
    <row r="166">
      <c r="D166" s="6" t="inlineStr">
        <is>
          <t>p75</t>
        </is>
      </c>
      <c r="E166" s="6" t="inlineStr">
        <is>
          <t>Urban</t>
        </is>
      </c>
      <c r="F166" s="6" t="inlineStr">
        <is>
          <t>Basket</t>
        </is>
      </c>
      <c r="G166" s="6" t="inlineStr">
        <is>
          <t>gso</t>
        </is>
      </c>
      <c r="H166" s="6" t="inlineStr">
        <is>
          <t>%</t>
        </is>
      </c>
      <c r="P166" s="12">
        <f>BSHARE("gso_share",0,"Urban","p75")</f>
        <v/>
      </c>
    </row>
    <row r="167">
      <c r="D167" s="6" t="inlineStr">
        <is>
          <t>p75</t>
        </is>
      </c>
      <c r="E167" s="6" t="inlineStr">
        <is>
          <t>Urban</t>
        </is>
      </c>
      <c r="F167" s="6" t="inlineStr">
        <is>
          <t>Deciles</t>
        </is>
      </c>
      <c r="G167" s="6" t="inlineStr">
        <is>
          <t>gso</t>
        </is>
      </c>
      <c r="H167" s="6" t="inlineStr">
        <is>
          <t>%</t>
        </is>
      </c>
      <c r="Q167" s="12">
        <f>BSHARE("gso_share",DECILE_ARRAY,"Urban","p75")</f>
        <v/>
      </c>
    </row>
    <row r="168">
      <c r="D168" s="6" t="inlineStr">
        <is>
          <t>p75</t>
        </is>
      </c>
      <c r="E168" s="6" t="inlineStr">
        <is>
          <t>Rural</t>
        </is>
      </c>
      <c r="F168" s="6" t="inlineStr">
        <is>
          <t>Basket</t>
        </is>
      </c>
      <c r="G168" s="6" t="inlineStr">
        <is>
          <t>gso</t>
        </is>
      </c>
      <c r="H168" s="6" t="inlineStr">
        <is>
          <t>%</t>
        </is>
      </c>
      <c r="P168" s="12">
        <f>BSHARE("gso_share",0,"Rural","p75")</f>
        <v/>
      </c>
    </row>
    <row r="169">
      <c r="D169" s="6" t="inlineStr">
        <is>
          <t>p75</t>
        </is>
      </c>
      <c r="E169" s="6" t="inlineStr">
        <is>
          <t>Rural</t>
        </is>
      </c>
      <c r="F169" s="6" t="inlineStr">
        <is>
          <t>Deciles</t>
        </is>
      </c>
      <c r="G169" s="6" t="inlineStr">
        <is>
          <t>gso</t>
        </is>
      </c>
      <c r="H169" s="6" t="inlineStr">
        <is>
          <t>%</t>
        </is>
      </c>
      <c r="Q169" s="12">
        <f>BSHARE("gso_share",DECILE_ARRAY,"Rural","p75")</f>
        <v/>
      </c>
    </row>
    <row r="170"/>
    <row r="171">
      <c r="C171" s="7" t="inlineStr">
        <is>
          <t>Diesel Budget Share (% Total Consumption)</t>
        </is>
      </c>
      <c r="G171" s="6" t="inlineStr">
        <is>
          <t>die</t>
        </is>
      </c>
      <c r="O171" s="8" t="inlineStr">
        <is>
          <t>Decile --&gt;</t>
        </is>
      </c>
      <c r="Q171" s="8" t="n">
        <v>1</v>
      </c>
      <c r="R171" s="8" t="n">
        <v>2</v>
      </c>
      <c r="S171" s="8" t="n">
        <v>3</v>
      </c>
      <c r="T171" s="8" t="n">
        <v>4</v>
      </c>
      <c r="U171" s="8" t="n">
        <v>5</v>
      </c>
      <c r="V171" s="8" t="n">
        <v>6</v>
      </c>
      <c r="W171" s="8" t="n">
        <v>7</v>
      </c>
      <c r="X171" s="8" t="n">
        <v>8</v>
      </c>
      <c r="Y171" s="8" t="n">
        <v>9</v>
      </c>
      <c r="Z171" s="8" t="n">
        <v>10</v>
      </c>
    </row>
    <row r="172">
      <c r="D172" s="6" t="inlineStr">
        <is>
          <t>mean</t>
        </is>
      </c>
      <c r="E172" s="6" t="inlineStr">
        <is>
          <t>Overall</t>
        </is>
      </c>
      <c r="F172" s="6" t="inlineStr">
        <is>
          <t>Basket</t>
        </is>
      </c>
      <c r="G172" s="6" t="inlineStr">
        <is>
          <t>die</t>
        </is>
      </c>
      <c r="H172" s="6" t="inlineStr">
        <is>
          <t>%</t>
        </is>
      </c>
      <c r="P172" s="12">
        <f>BSHARE("die_share",0,"Overall","mean")</f>
        <v/>
      </c>
    </row>
    <row r="173">
      <c r="D173" s="6" t="inlineStr">
        <is>
          <t>mean</t>
        </is>
      </c>
      <c r="E173" s="6" t="inlineStr">
        <is>
          <t>Overall</t>
        </is>
      </c>
      <c r="F173" s="6" t="inlineStr">
        <is>
          <t>Deciles</t>
        </is>
      </c>
      <c r="G173" s="6" t="inlineStr">
        <is>
          <t>die</t>
        </is>
      </c>
      <c r="H173" s="6" t="inlineStr">
        <is>
          <t>%</t>
        </is>
      </c>
      <c r="Q173" s="12">
        <f>BSHARE("die_share",DECILE_ARRAY,"Overall","mean")</f>
        <v/>
      </c>
    </row>
    <row r="174">
      <c r="D174" s="6" t="inlineStr">
        <is>
          <t>mean</t>
        </is>
      </c>
      <c r="E174" s="6" t="inlineStr">
        <is>
          <t>Urban</t>
        </is>
      </c>
      <c r="F174" s="6" t="inlineStr">
        <is>
          <t>Basket</t>
        </is>
      </c>
      <c r="G174" s="6" t="inlineStr">
        <is>
          <t>die</t>
        </is>
      </c>
      <c r="H174" s="6" t="inlineStr">
        <is>
          <t>%</t>
        </is>
      </c>
      <c r="P174" s="12">
        <f>BSHARE("die_share",0,"Urban","mean")</f>
        <v/>
      </c>
    </row>
    <row r="175">
      <c r="D175" s="6" t="inlineStr">
        <is>
          <t>mean</t>
        </is>
      </c>
      <c r="E175" s="6" t="inlineStr">
        <is>
          <t>Urban</t>
        </is>
      </c>
      <c r="F175" s="6" t="inlineStr">
        <is>
          <t>Deciles</t>
        </is>
      </c>
      <c r="G175" s="6" t="inlineStr">
        <is>
          <t>die</t>
        </is>
      </c>
      <c r="H175" s="6" t="inlineStr">
        <is>
          <t>%</t>
        </is>
      </c>
      <c r="Q175" s="12">
        <f>BSHARE("die_share",DECILE_ARRAY,"Urban","mean")</f>
        <v/>
      </c>
    </row>
    <row r="176">
      <c r="D176" s="6" t="inlineStr">
        <is>
          <t>mean</t>
        </is>
      </c>
      <c r="E176" s="6" t="inlineStr">
        <is>
          <t>Rural</t>
        </is>
      </c>
      <c r="F176" s="6" t="inlineStr">
        <is>
          <t>Basket</t>
        </is>
      </c>
      <c r="G176" s="6" t="inlineStr">
        <is>
          <t>die</t>
        </is>
      </c>
      <c r="H176" s="6" t="inlineStr">
        <is>
          <t>%</t>
        </is>
      </c>
      <c r="P176" s="12">
        <f>BSHARE("die_share",0,"Rural","mean")</f>
        <v/>
      </c>
    </row>
    <row r="177">
      <c r="D177" s="6" t="inlineStr">
        <is>
          <t>mean</t>
        </is>
      </c>
      <c r="E177" s="6" t="inlineStr">
        <is>
          <t>Rural</t>
        </is>
      </c>
      <c r="F177" s="6" t="inlineStr">
        <is>
          <t>Deciles</t>
        </is>
      </c>
      <c r="G177" s="6" t="inlineStr">
        <is>
          <t>die</t>
        </is>
      </c>
      <c r="H177" s="6" t="inlineStr">
        <is>
          <t>%</t>
        </is>
      </c>
      <c r="Q177" s="12">
        <f>BSHARE("die_share",DECILE_ARRAY,"Rural","mean")</f>
        <v/>
      </c>
    </row>
    <row r="178">
      <c r="D178" s="6" t="inlineStr">
        <is>
          <t>median</t>
        </is>
      </c>
      <c r="E178" s="6" t="inlineStr">
        <is>
          <t>Overall</t>
        </is>
      </c>
      <c r="F178" s="6" t="inlineStr">
        <is>
          <t>Basket</t>
        </is>
      </c>
      <c r="G178" s="6" t="inlineStr">
        <is>
          <t>die</t>
        </is>
      </c>
      <c r="H178" s="6" t="inlineStr">
        <is>
          <t>%</t>
        </is>
      </c>
      <c r="P178" s="12">
        <f>BSHARE("die_share",0,"Overall","median")</f>
        <v/>
      </c>
    </row>
    <row r="179">
      <c r="D179" s="6" t="inlineStr">
        <is>
          <t>median</t>
        </is>
      </c>
      <c r="E179" s="6" t="inlineStr">
        <is>
          <t>Overall</t>
        </is>
      </c>
      <c r="F179" s="6" t="inlineStr">
        <is>
          <t>Deciles</t>
        </is>
      </c>
      <c r="G179" s="6" t="inlineStr">
        <is>
          <t>die</t>
        </is>
      </c>
      <c r="H179" s="6" t="inlineStr">
        <is>
          <t>%</t>
        </is>
      </c>
      <c r="Q179" s="12">
        <f>BSHARE("die_share",DECILE_ARRAY,"Overall","median")</f>
        <v/>
      </c>
    </row>
    <row r="180">
      <c r="D180" s="6" t="inlineStr">
        <is>
          <t>median</t>
        </is>
      </c>
      <c r="E180" s="6" t="inlineStr">
        <is>
          <t>Urban</t>
        </is>
      </c>
      <c r="F180" s="6" t="inlineStr">
        <is>
          <t>Basket</t>
        </is>
      </c>
      <c r="G180" s="6" t="inlineStr">
        <is>
          <t>die</t>
        </is>
      </c>
      <c r="H180" s="6" t="inlineStr">
        <is>
          <t>%</t>
        </is>
      </c>
      <c r="P180" s="12">
        <f>BSHARE("die_share",0,"Urban","median")</f>
        <v/>
      </c>
    </row>
    <row r="181">
      <c r="D181" s="6" t="inlineStr">
        <is>
          <t>median</t>
        </is>
      </c>
      <c r="E181" s="6" t="inlineStr">
        <is>
          <t>Urban</t>
        </is>
      </c>
      <c r="F181" s="6" t="inlineStr">
        <is>
          <t>Deciles</t>
        </is>
      </c>
      <c r="G181" s="6" t="inlineStr">
        <is>
          <t>die</t>
        </is>
      </c>
      <c r="H181" s="6" t="inlineStr">
        <is>
          <t>%</t>
        </is>
      </c>
      <c r="Q181" s="12">
        <f>BSHARE("die_share",DECILE_ARRAY,"Urban","median")</f>
        <v/>
      </c>
    </row>
    <row r="182">
      <c r="D182" s="6" t="inlineStr">
        <is>
          <t>median</t>
        </is>
      </c>
      <c r="E182" s="6" t="inlineStr">
        <is>
          <t>Rural</t>
        </is>
      </c>
      <c r="F182" s="6" t="inlineStr">
        <is>
          <t>Basket</t>
        </is>
      </c>
      <c r="G182" s="6" t="inlineStr">
        <is>
          <t>die</t>
        </is>
      </c>
      <c r="H182" s="6" t="inlineStr">
        <is>
          <t>%</t>
        </is>
      </c>
      <c r="P182" s="12">
        <f>BSHARE("die_share",0,"Rural","median")</f>
        <v/>
      </c>
    </row>
    <row r="183">
      <c r="D183" s="6" t="inlineStr">
        <is>
          <t>median</t>
        </is>
      </c>
      <c r="E183" s="6" t="inlineStr">
        <is>
          <t>Rural</t>
        </is>
      </c>
      <c r="F183" s="6" t="inlineStr">
        <is>
          <t>Deciles</t>
        </is>
      </c>
      <c r="G183" s="6" t="inlineStr">
        <is>
          <t>die</t>
        </is>
      </c>
      <c r="H183" s="6" t="inlineStr">
        <is>
          <t>%</t>
        </is>
      </c>
      <c r="Q183" s="12">
        <f>BSHARE("die_share",DECILE_ARRAY,"Rural","median")</f>
        <v/>
      </c>
    </row>
    <row r="184">
      <c r="D184" s="6" t="inlineStr">
        <is>
          <t>p25</t>
        </is>
      </c>
      <c r="E184" s="6" t="inlineStr">
        <is>
          <t>Overall</t>
        </is>
      </c>
      <c r="F184" s="6" t="inlineStr">
        <is>
          <t>Basket</t>
        </is>
      </c>
      <c r="G184" s="6" t="inlineStr">
        <is>
          <t>die</t>
        </is>
      </c>
      <c r="H184" s="6" t="inlineStr">
        <is>
          <t>%</t>
        </is>
      </c>
      <c r="P184" s="12">
        <f>BSHARE("die_share",0,"Overall","p25")</f>
        <v/>
      </c>
    </row>
    <row r="185">
      <c r="D185" s="6" t="inlineStr">
        <is>
          <t>p25</t>
        </is>
      </c>
      <c r="E185" s="6" t="inlineStr">
        <is>
          <t>Overall</t>
        </is>
      </c>
      <c r="F185" s="6" t="inlineStr">
        <is>
          <t>Deciles</t>
        </is>
      </c>
      <c r="G185" s="6" t="inlineStr">
        <is>
          <t>die</t>
        </is>
      </c>
      <c r="H185" s="6" t="inlineStr">
        <is>
          <t>%</t>
        </is>
      </c>
      <c r="Q185" s="12">
        <f>BSHARE("die_share",DECILE_ARRAY,"Overall","p25")</f>
        <v/>
      </c>
    </row>
    <row r="186">
      <c r="D186" s="6" t="inlineStr">
        <is>
          <t>p25</t>
        </is>
      </c>
      <c r="E186" s="6" t="inlineStr">
        <is>
          <t>Urban</t>
        </is>
      </c>
      <c r="F186" s="6" t="inlineStr">
        <is>
          <t>Basket</t>
        </is>
      </c>
      <c r="G186" s="6" t="inlineStr">
        <is>
          <t>die</t>
        </is>
      </c>
      <c r="H186" s="6" t="inlineStr">
        <is>
          <t>%</t>
        </is>
      </c>
      <c r="P186" s="12">
        <f>BSHARE("die_share",0,"Urban","p25")</f>
        <v/>
      </c>
    </row>
    <row r="187">
      <c r="D187" s="6" t="inlineStr">
        <is>
          <t>p25</t>
        </is>
      </c>
      <c r="E187" s="6" t="inlineStr">
        <is>
          <t>Urban</t>
        </is>
      </c>
      <c r="F187" s="6" t="inlineStr">
        <is>
          <t>Deciles</t>
        </is>
      </c>
      <c r="G187" s="6" t="inlineStr">
        <is>
          <t>die</t>
        </is>
      </c>
      <c r="H187" s="6" t="inlineStr">
        <is>
          <t>%</t>
        </is>
      </c>
      <c r="Q187" s="12">
        <f>BSHARE("die_share",DECILE_ARRAY,"Urban","p25")</f>
        <v/>
      </c>
    </row>
    <row r="188">
      <c r="D188" s="6" t="inlineStr">
        <is>
          <t>p25</t>
        </is>
      </c>
      <c r="E188" s="6" t="inlineStr">
        <is>
          <t>Rural</t>
        </is>
      </c>
      <c r="F188" s="6" t="inlineStr">
        <is>
          <t>Basket</t>
        </is>
      </c>
      <c r="G188" s="6" t="inlineStr">
        <is>
          <t>die</t>
        </is>
      </c>
      <c r="H188" s="6" t="inlineStr">
        <is>
          <t>%</t>
        </is>
      </c>
      <c r="P188" s="12">
        <f>BSHARE("die_share",0,"Rural","p25")</f>
        <v/>
      </c>
    </row>
    <row r="189">
      <c r="D189" s="6" t="inlineStr">
        <is>
          <t>p25</t>
        </is>
      </c>
      <c r="E189" s="6" t="inlineStr">
        <is>
          <t>Rural</t>
        </is>
      </c>
      <c r="F189" s="6" t="inlineStr">
        <is>
          <t>Deciles</t>
        </is>
      </c>
      <c r="G189" s="6" t="inlineStr">
        <is>
          <t>die</t>
        </is>
      </c>
      <c r="H189" s="6" t="inlineStr">
        <is>
          <t>%</t>
        </is>
      </c>
      <c r="Q189" s="12">
        <f>BSHARE("die_share",DECILE_ARRAY,"Rural","p25")</f>
        <v/>
      </c>
    </row>
    <row r="190">
      <c r="D190" s="6" t="inlineStr">
        <is>
          <t>p75</t>
        </is>
      </c>
      <c r="E190" s="6" t="inlineStr">
        <is>
          <t>Overall</t>
        </is>
      </c>
      <c r="F190" s="6" t="inlineStr">
        <is>
          <t>Basket</t>
        </is>
      </c>
      <c r="G190" s="6" t="inlineStr">
        <is>
          <t>die</t>
        </is>
      </c>
      <c r="H190" s="6" t="inlineStr">
        <is>
          <t>%</t>
        </is>
      </c>
      <c r="P190" s="12">
        <f>BSHARE("die_share",0,"Overall","p75")</f>
        <v/>
      </c>
    </row>
    <row r="191">
      <c r="D191" s="6" t="inlineStr">
        <is>
          <t>p75</t>
        </is>
      </c>
      <c r="E191" s="6" t="inlineStr">
        <is>
          <t>Overall</t>
        </is>
      </c>
      <c r="F191" s="6" t="inlineStr">
        <is>
          <t>Deciles</t>
        </is>
      </c>
      <c r="G191" s="6" t="inlineStr">
        <is>
          <t>die</t>
        </is>
      </c>
      <c r="H191" s="6" t="inlineStr">
        <is>
          <t>%</t>
        </is>
      </c>
      <c r="Q191" s="12">
        <f>BSHARE("die_share",DECILE_ARRAY,"Overall","p75")</f>
        <v/>
      </c>
    </row>
    <row r="192">
      <c r="D192" s="6" t="inlineStr">
        <is>
          <t>p75</t>
        </is>
      </c>
      <c r="E192" s="6" t="inlineStr">
        <is>
          <t>Urban</t>
        </is>
      </c>
      <c r="F192" s="6" t="inlineStr">
        <is>
          <t>Basket</t>
        </is>
      </c>
      <c r="G192" s="6" t="inlineStr">
        <is>
          <t>die</t>
        </is>
      </c>
      <c r="H192" s="6" t="inlineStr">
        <is>
          <t>%</t>
        </is>
      </c>
      <c r="P192" s="12">
        <f>BSHARE("die_share",0,"Urban","p75")</f>
        <v/>
      </c>
    </row>
    <row r="193">
      <c r="D193" s="6" t="inlineStr">
        <is>
          <t>p75</t>
        </is>
      </c>
      <c r="E193" s="6" t="inlineStr">
        <is>
          <t>Urban</t>
        </is>
      </c>
      <c r="F193" s="6" t="inlineStr">
        <is>
          <t>Deciles</t>
        </is>
      </c>
      <c r="G193" s="6" t="inlineStr">
        <is>
          <t>die</t>
        </is>
      </c>
      <c r="H193" s="6" t="inlineStr">
        <is>
          <t>%</t>
        </is>
      </c>
      <c r="Q193" s="12">
        <f>BSHARE("die_share",DECILE_ARRAY,"Urban","p75")</f>
        <v/>
      </c>
    </row>
    <row r="194">
      <c r="D194" s="6" t="inlineStr">
        <is>
          <t>p75</t>
        </is>
      </c>
      <c r="E194" s="6" t="inlineStr">
        <is>
          <t>Rural</t>
        </is>
      </c>
      <c r="F194" s="6" t="inlineStr">
        <is>
          <t>Basket</t>
        </is>
      </c>
      <c r="G194" s="6" t="inlineStr">
        <is>
          <t>die</t>
        </is>
      </c>
      <c r="H194" s="6" t="inlineStr">
        <is>
          <t>%</t>
        </is>
      </c>
      <c r="P194" s="12">
        <f>BSHARE("die_share",0,"Rural","p75")</f>
        <v/>
      </c>
    </row>
    <row r="195">
      <c r="D195" s="6" t="inlineStr">
        <is>
          <t>p75</t>
        </is>
      </c>
      <c r="E195" s="6" t="inlineStr">
        <is>
          <t>Rural</t>
        </is>
      </c>
      <c r="F195" s="6" t="inlineStr">
        <is>
          <t>Deciles</t>
        </is>
      </c>
      <c r="G195" s="6" t="inlineStr">
        <is>
          <t>die</t>
        </is>
      </c>
      <c r="H195" s="6" t="inlineStr">
        <is>
          <t>%</t>
        </is>
      </c>
      <c r="Q195" s="12">
        <f>BSHARE("die_share",DECILE_ARRAY,"Rural","p75")</f>
        <v/>
      </c>
    </row>
    <row r="196"/>
    <row r="197">
      <c r="C197" s="7" t="inlineStr">
        <is>
          <t>Kerosene Budget Share (% Total Consumption)</t>
        </is>
      </c>
      <c r="G197" s="6" t="inlineStr">
        <is>
          <t>ker</t>
        </is>
      </c>
      <c r="O197" s="8" t="inlineStr">
        <is>
          <t>Decile --&gt;</t>
        </is>
      </c>
      <c r="Q197" s="8" t="n">
        <v>1</v>
      </c>
      <c r="R197" s="8" t="n">
        <v>2</v>
      </c>
      <c r="S197" s="8" t="n">
        <v>3</v>
      </c>
      <c r="T197" s="8" t="n">
        <v>4</v>
      </c>
      <c r="U197" s="8" t="n">
        <v>5</v>
      </c>
      <c r="V197" s="8" t="n">
        <v>6</v>
      </c>
      <c r="W197" s="8" t="n">
        <v>7</v>
      </c>
      <c r="X197" s="8" t="n">
        <v>8</v>
      </c>
      <c r="Y197" s="8" t="n">
        <v>9</v>
      </c>
      <c r="Z197" s="8" t="n">
        <v>10</v>
      </c>
    </row>
    <row r="198">
      <c r="D198" s="6" t="inlineStr">
        <is>
          <t>mean</t>
        </is>
      </c>
      <c r="E198" s="6" t="inlineStr">
        <is>
          <t>Overall</t>
        </is>
      </c>
      <c r="F198" s="6" t="inlineStr">
        <is>
          <t>Basket</t>
        </is>
      </c>
      <c r="G198" s="6" t="inlineStr">
        <is>
          <t>ker</t>
        </is>
      </c>
      <c r="H198" s="6" t="inlineStr">
        <is>
          <t>%</t>
        </is>
      </c>
      <c r="P198" s="12">
        <f>BSHARE("ker_share",0,"Overall","mean")</f>
        <v/>
      </c>
    </row>
    <row r="199">
      <c r="D199" s="6" t="inlineStr">
        <is>
          <t>mean</t>
        </is>
      </c>
      <c r="E199" s="6" t="inlineStr">
        <is>
          <t>Overall</t>
        </is>
      </c>
      <c r="F199" s="6" t="inlineStr">
        <is>
          <t>Deciles</t>
        </is>
      </c>
      <c r="G199" s="6" t="inlineStr">
        <is>
          <t>ker</t>
        </is>
      </c>
      <c r="H199" s="6" t="inlineStr">
        <is>
          <t>%</t>
        </is>
      </c>
      <c r="Q199" s="12">
        <f>BSHARE("ker_share",DECILE_ARRAY,"Overall","mean")</f>
        <v/>
      </c>
    </row>
    <row r="200">
      <c r="D200" s="6" t="inlineStr">
        <is>
          <t>mean</t>
        </is>
      </c>
      <c r="E200" s="6" t="inlineStr">
        <is>
          <t>Urban</t>
        </is>
      </c>
      <c r="F200" s="6" t="inlineStr">
        <is>
          <t>Basket</t>
        </is>
      </c>
      <c r="G200" s="6" t="inlineStr">
        <is>
          <t>ker</t>
        </is>
      </c>
      <c r="H200" s="6" t="inlineStr">
        <is>
          <t>%</t>
        </is>
      </c>
      <c r="P200" s="12">
        <f>BSHARE("ker_share",0,"Urban","mean")</f>
        <v/>
      </c>
    </row>
    <row r="201">
      <c r="D201" s="6" t="inlineStr">
        <is>
          <t>mean</t>
        </is>
      </c>
      <c r="E201" s="6" t="inlineStr">
        <is>
          <t>Urban</t>
        </is>
      </c>
      <c r="F201" s="6" t="inlineStr">
        <is>
          <t>Deciles</t>
        </is>
      </c>
      <c r="G201" s="6" t="inlineStr">
        <is>
          <t>ker</t>
        </is>
      </c>
      <c r="H201" s="6" t="inlineStr">
        <is>
          <t>%</t>
        </is>
      </c>
      <c r="Q201" s="12">
        <f>BSHARE("ker_share",DECILE_ARRAY,"Urban","mean")</f>
        <v/>
      </c>
    </row>
    <row r="202">
      <c r="D202" s="6" t="inlineStr">
        <is>
          <t>mean</t>
        </is>
      </c>
      <c r="E202" s="6" t="inlineStr">
        <is>
          <t>Rural</t>
        </is>
      </c>
      <c r="F202" s="6" t="inlineStr">
        <is>
          <t>Basket</t>
        </is>
      </c>
      <c r="G202" s="6" t="inlineStr">
        <is>
          <t>ker</t>
        </is>
      </c>
      <c r="H202" s="6" t="inlineStr">
        <is>
          <t>%</t>
        </is>
      </c>
      <c r="P202" s="12">
        <f>BSHARE("ker_share",0,"Rural","mean")</f>
        <v/>
      </c>
    </row>
    <row r="203">
      <c r="D203" s="6" t="inlineStr">
        <is>
          <t>mean</t>
        </is>
      </c>
      <c r="E203" s="6" t="inlineStr">
        <is>
          <t>Rural</t>
        </is>
      </c>
      <c r="F203" s="6" t="inlineStr">
        <is>
          <t>Deciles</t>
        </is>
      </c>
      <c r="G203" s="6" t="inlineStr">
        <is>
          <t>ker</t>
        </is>
      </c>
      <c r="H203" s="6" t="inlineStr">
        <is>
          <t>%</t>
        </is>
      </c>
      <c r="Q203" s="12">
        <f>BSHARE("ker_share",DECILE_ARRAY,"Rural","mean")</f>
        <v/>
      </c>
    </row>
    <row r="204">
      <c r="D204" s="6" t="inlineStr">
        <is>
          <t>median</t>
        </is>
      </c>
      <c r="E204" s="6" t="inlineStr">
        <is>
          <t>Overall</t>
        </is>
      </c>
      <c r="F204" s="6" t="inlineStr">
        <is>
          <t>Basket</t>
        </is>
      </c>
      <c r="G204" s="6" t="inlineStr">
        <is>
          <t>ker</t>
        </is>
      </c>
      <c r="H204" s="6" t="inlineStr">
        <is>
          <t>%</t>
        </is>
      </c>
      <c r="P204" s="12">
        <f>BSHARE("ker_share",0,"Overall","median")</f>
        <v/>
      </c>
    </row>
    <row r="205">
      <c r="D205" s="6" t="inlineStr">
        <is>
          <t>median</t>
        </is>
      </c>
      <c r="E205" s="6" t="inlineStr">
        <is>
          <t>Overall</t>
        </is>
      </c>
      <c r="F205" s="6" t="inlineStr">
        <is>
          <t>Deciles</t>
        </is>
      </c>
      <c r="G205" s="6" t="inlineStr">
        <is>
          <t>ker</t>
        </is>
      </c>
      <c r="H205" s="6" t="inlineStr">
        <is>
          <t>%</t>
        </is>
      </c>
      <c r="Q205" s="12">
        <f>BSHARE("ker_share",DECILE_ARRAY,"Overall","median")</f>
        <v/>
      </c>
    </row>
    <row r="206">
      <c r="D206" s="6" t="inlineStr">
        <is>
          <t>median</t>
        </is>
      </c>
      <c r="E206" s="6" t="inlineStr">
        <is>
          <t>Urban</t>
        </is>
      </c>
      <c r="F206" s="6" t="inlineStr">
        <is>
          <t>Basket</t>
        </is>
      </c>
      <c r="G206" s="6" t="inlineStr">
        <is>
          <t>ker</t>
        </is>
      </c>
      <c r="H206" s="6" t="inlineStr">
        <is>
          <t>%</t>
        </is>
      </c>
      <c r="P206" s="12">
        <f>BSHARE("ker_share",0,"Urban","median")</f>
        <v/>
      </c>
    </row>
    <row r="207">
      <c r="D207" s="6" t="inlineStr">
        <is>
          <t>median</t>
        </is>
      </c>
      <c r="E207" s="6" t="inlineStr">
        <is>
          <t>Urban</t>
        </is>
      </c>
      <c r="F207" s="6" t="inlineStr">
        <is>
          <t>Deciles</t>
        </is>
      </c>
      <c r="G207" s="6" t="inlineStr">
        <is>
          <t>ker</t>
        </is>
      </c>
      <c r="H207" s="6" t="inlineStr">
        <is>
          <t>%</t>
        </is>
      </c>
      <c r="Q207" s="12">
        <f>BSHARE("ker_share",DECILE_ARRAY,"Urban","median")</f>
        <v/>
      </c>
    </row>
    <row r="208">
      <c r="D208" s="6" t="inlineStr">
        <is>
          <t>median</t>
        </is>
      </c>
      <c r="E208" s="6" t="inlineStr">
        <is>
          <t>Rural</t>
        </is>
      </c>
      <c r="F208" s="6" t="inlineStr">
        <is>
          <t>Basket</t>
        </is>
      </c>
      <c r="G208" s="6" t="inlineStr">
        <is>
          <t>ker</t>
        </is>
      </c>
      <c r="H208" s="6" t="inlineStr">
        <is>
          <t>%</t>
        </is>
      </c>
      <c r="P208" s="12">
        <f>BSHARE("ker_share",0,"Rural","median")</f>
        <v/>
      </c>
    </row>
    <row r="209">
      <c r="D209" s="6" t="inlineStr">
        <is>
          <t>median</t>
        </is>
      </c>
      <c r="E209" s="6" t="inlineStr">
        <is>
          <t>Rural</t>
        </is>
      </c>
      <c r="F209" s="6" t="inlineStr">
        <is>
          <t>Deciles</t>
        </is>
      </c>
      <c r="G209" s="6" t="inlineStr">
        <is>
          <t>ker</t>
        </is>
      </c>
      <c r="H209" s="6" t="inlineStr">
        <is>
          <t>%</t>
        </is>
      </c>
      <c r="Q209" s="12">
        <f>BSHARE("ker_share",DECILE_ARRAY,"Rural","median")</f>
        <v/>
      </c>
    </row>
    <row r="210">
      <c r="D210" s="6" t="inlineStr">
        <is>
          <t>p25</t>
        </is>
      </c>
      <c r="E210" s="6" t="inlineStr">
        <is>
          <t>Overall</t>
        </is>
      </c>
      <c r="F210" s="6" t="inlineStr">
        <is>
          <t>Basket</t>
        </is>
      </c>
      <c r="G210" s="6" t="inlineStr">
        <is>
          <t>ker</t>
        </is>
      </c>
      <c r="H210" s="6" t="inlineStr">
        <is>
          <t>%</t>
        </is>
      </c>
      <c r="P210" s="12">
        <f>BSHARE("ker_share",0,"Overall","p25")</f>
        <v/>
      </c>
    </row>
    <row r="211">
      <c r="D211" s="6" t="inlineStr">
        <is>
          <t>p25</t>
        </is>
      </c>
      <c r="E211" s="6" t="inlineStr">
        <is>
          <t>Overall</t>
        </is>
      </c>
      <c r="F211" s="6" t="inlineStr">
        <is>
          <t>Deciles</t>
        </is>
      </c>
      <c r="G211" s="6" t="inlineStr">
        <is>
          <t>ker</t>
        </is>
      </c>
      <c r="H211" s="6" t="inlineStr">
        <is>
          <t>%</t>
        </is>
      </c>
      <c r="Q211" s="12">
        <f>BSHARE("ker_share",DECILE_ARRAY,"Overall","p25")</f>
        <v/>
      </c>
    </row>
    <row r="212">
      <c r="D212" s="6" t="inlineStr">
        <is>
          <t>p25</t>
        </is>
      </c>
      <c r="E212" s="6" t="inlineStr">
        <is>
          <t>Urban</t>
        </is>
      </c>
      <c r="F212" s="6" t="inlineStr">
        <is>
          <t>Basket</t>
        </is>
      </c>
      <c r="G212" s="6" t="inlineStr">
        <is>
          <t>ker</t>
        </is>
      </c>
      <c r="H212" s="6" t="inlineStr">
        <is>
          <t>%</t>
        </is>
      </c>
      <c r="P212" s="12">
        <f>BSHARE("ker_share",0,"Urban","p25")</f>
        <v/>
      </c>
    </row>
    <row r="213">
      <c r="D213" s="6" t="inlineStr">
        <is>
          <t>p25</t>
        </is>
      </c>
      <c r="E213" s="6" t="inlineStr">
        <is>
          <t>Urban</t>
        </is>
      </c>
      <c r="F213" s="6" t="inlineStr">
        <is>
          <t>Deciles</t>
        </is>
      </c>
      <c r="G213" s="6" t="inlineStr">
        <is>
          <t>ker</t>
        </is>
      </c>
      <c r="H213" s="6" t="inlineStr">
        <is>
          <t>%</t>
        </is>
      </c>
      <c r="Q213" s="12">
        <f>BSHARE("ker_share",DECILE_ARRAY,"Urban","p25")</f>
        <v/>
      </c>
    </row>
    <row r="214">
      <c r="D214" s="6" t="inlineStr">
        <is>
          <t>p25</t>
        </is>
      </c>
      <c r="E214" s="6" t="inlineStr">
        <is>
          <t>Rural</t>
        </is>
      </c>
      <c r="F214" s="6" t="inlineStr">
        <is>
          <t>Basket</t>
        </is>
      </c>
      <c r="G214" s="6" t="inlineStr">
        <is>
          <t>ker</t>
        </is>
      </c>
      <c r="H214" s="6" t="inlineStr">
        <is>
          <t>%</t>
        </is>
      </c>
      <c r="P214" s="12">
        <f>BSHARE("ker_share",0,"Rural","p25")</f>
        <v/>
      </c>
    </row>
    <row r="215">
      <c r="D215" s="6" t="inlineStr">
        <is>
          <t>p25</t>
        </is>
      </c>
      <c r="E215" s="6" t="inlineStr">
        <is>
          <t>Rural</t>
        </is>
      </c>
      <c r="F215" s="6" t="inlineStr">
        <is>
          <t>Deciles</t>
        </is>
      </c>
      <c r="G215" s="6" t="inlineStr">
        <is>
          <t>ker</t>
        </is>
      </c>
      <c r="H215" s="6" t="inlineStr">
        <is>
          <t>%</t>
        </is>
      </c>
      <c r="Q215" s="12">
        <f>BSHARE("ker_share",DECILE_ARRAY,"Rural","p25")</f>
        <v/>
      </c>
    </row>
    <row r="216">
      <c r="D216" s="6" t="inlineStr">
        <is>
          <t>p75</t>
        </is>
      </c>
      <c r="E216" s="6" t="inlineStr">
        <is>
          <t>Overall</t>
        </is>
      </c>
      <c r="F216" s="6" t="inlineStr">
        <is>
          <t>Basket</t>
        </is>
      </c>
      <c r="G216" s="6" t="inlineStr">
        <is>
          <t>ker</t>
        </is>
      </c>
      <c r="H216" s="6" t="inlineStr">
        <is>
          <t>%</t>
        </is>
      </c>
      <c r="P216" s="12">
        <f>BSHARE("ker_share",0,"Overall","p75")</f>
        <v/>
      </c>
    </row>
    <row r="217">
      <c r="D217" s="6" t="inlineStr">
        <is>
          <t>p75</t>
        </is>
      </c>
      <c r="E217" s="6" t="inlineStr">
        <is>
          <t>Overall</t>
        </is>
      </c>
      <c r="F217" s="6" t="inlineStr">
        <is>
          <t>Deciles</t>
        </is>
      </c>
      <c r="G217" s="6" t="inlineStr">
        <is>
          <t>ker</t>
        </is>
      </c>
      <c r="H217" s="6" t="inlineStr">
        <is>
          <t>%</t>
        </is>
      </c>
      <c r="Q217" s="12">
        <f>BSHARE("ker_share",DECILE_ARRAY,"Overall","p75")</f>
        <v/>
      </c>
    </row>
    <row r="218">
      <c r="D218" s="6" t="inlineStr">
        <is>
          <t>p75</t>
        </is>
      </c>
      <c r="E218" s="6" t="inlineStr">
        <is>
          <t>Urban</t>
        </is>
      </c>
      <c r="F218" s="6" t="inlineStr">
        <is>
          <t>Basket</t>
        </is>
      </c>
      <c r="G218" s="6" t="inlineStr">
        <is>
          <t>ker</t>
        </is>
      </c>
      <c r="H218" s="6" t="inlineStr">
        <is>
          <t>%</t>
        </is>
      </c>
      <c r="P218" s="12">
        <f>BSHARE("ker_share",0,"Urban","p75")</f>
        <v/>
      </c>
    </row>
    <row r="219">
      <c r="D219" s="6" t="inlineStr">
        <is>
          <t>p75</t>
        </is>
      </c>
      <c r="E219" s="6" t="inlineStr">
        <is>
          <t>Urban</t>
        </is>
      </c>
      <c r="F219" s="6" t="inlineStr">
        <is>
          <t>Deciles</t>
        </is>
      </c>
      <c r="G219" s="6" t="inlineStr">
        <is>
          <t>ker</t>
        </is>
      </c>
      <c r="H219" s="6" t="inlineStr">
        <is>
          <t>%</t>
        </is>
      </c>
      <c r="Q219" s="12">
        <f>BSHARE("ker_share",DECILE_ARRAY,"Urban","p75")</f>
        <v/>
      </c>
    </row>
    <row r="220">
      <c r="D220" s="6" t="inlineStr">
        <is>
          <t>p75</t>
        </is>
      </c>
      <c r="E220" s="6" t="inlineStr">
        <is>
          <t>Rural</t>
        </is>
      </c>
      <c r="F220" s="6" t="inlineStr">
        <is>
          <t>Basket</t>
        </is>
      </c>
      <c r="G220" s="6" t="inlineStr">
        <is>
          <t>ker</t>
        </is>
      </c>
      <c r="H220" s="6" t="inlineStr">
        <is>
          <t>%</t>
        </is>
      </c>
      <c r="P220" s="12">
        <f>BSHARE("ker_share",0,"Rural","p75")</f>
        <v/>
      </c>
    </row>
    <row r="221">
      <c r="D221" s="6" t="inlineStr">
        <is>
          <t>p75</t>
        </is>
      </c>
      <c r="E221" s="6" t="inlineStr">
        <is>
          <t>Rural</t>
        </is>
      </c>
      <c r="F221" s="6" t="inlineStr">
        <is>
          <t>Deciles</t>
        </is>
      </c>
      <c r="G221" s="6" t="inlineStr">
        <is>
          <t>ker</t>
        </is>
      </c>
      <c r="H221" s="6" t="inlineStr">
        <is>
          <t>%</t>
        </is>
      </c>
      <c r="Q221" s="12">
        <f>BSHARE("ker_share",DECILE_ARRAY,"Rural","p75")</f>
        <v/>
      </c>
    </row>
    <row r="222"/>
    <row r="223">
      <c r="C223" s="7" t="inlineStr">
        <is>
          <t>LPG Budget Share (% Total Consumption)</t>
        </is>
      </c>
      <c r="G223" s="6" t="inlineStr">
        <is>
          <t>lpg</t>
        </is>
      </c>
      <c r="O223" s="8" t="inlineStr">
        <is>
          <t>Decile --&gt;</t>
        </is>
      </c>
      <c r="Q223" s="8" t="n">
        <v>1</v>
      </c>
      <c r="R223" s="8" t="n">
        <v>2</v>
      </c>
      <c r="S223" s="8" t="n">
        <v>3</v>
      </c>
      <c r="T223" s="8" t="n">
        <v>4</v>
      </c>
      <c r="U223" s="8" t="n">
        <v>5</v>
      </c>
      <c r="V223" s="8" t="n">
        <v>6</v>
      </c>
      <c r="W223" s="8" t="n">
        <v>7</v>
      </c>
      <c r="X223" s="8" t="n">
        <v>8</v>
      </c>
      <c r="Y223" s="8" t="n">
        <v>9</v>
      </c>
      <c r="Z223" s="8" t="n">
        <v>10</v>
      </c>
    </row>
    <row r="224">
      <c r="D224" s="6" t="inlineStr">
        <is>
          <t>mean</t>
        </is>
      </c>
      <c r="E224" s="6" t="inlineStr">
        <is>
          <t>Overall</t>
        </is>
      </c>
      <c r="F224" s="6" t="inlineStr">
        <is>
          <t>Basket</t>
        </is>
      </c>
      <c r="G224" s="6" t="inlineStr">
        <is>
          <t>lpg</t>
        </is>
      </c>
      <c r="H224" s="6" t="inlineStr">
        <is>
          <t>%</t>
        </is>
      </c>
      <c r="P224" s="12">
        <f>BSHARE("lpg_share",0,"Overall","mean")</f>
        <v/>
      </c>
    </row>
    <row r="225">
      <c r="D225" s="6" t="inlineStr">
        <is>
          <t>mean</t>
        </is>
      </c>
      <c r="E225" s="6" t="inlineStr">
        <is>
          <t>Overall</t>
        </is>
      </c>
      <c r="F225" s="6" t="inlineStr">
        <is>
          <t>Deciles</t>
        </is>
      </c>
      <c r="G225" s="6" t="inlineStr">
        <is>
          <t>lpg</t>
        </is>
      </c>
      <c r="H225" s="6" t="inlineStr">
        <is>
          <t>%</t>
        </is>
      </c>
      <c r="Q225" s="12">
        <f>BSHARE("lpg_share",DECILE_ARRAY,"Overall","mean")</f>
        <v/>
      </c>
    </row>
    <row r="226">
      <c r="D226" s="6" t="inlineStr">
        <is>
          <t>mean</t>
        </is>
      </c>
      <c r="E226" s="6" t="inlineStr">
        <is>
          <t>Urban</t>
        </is>
      </c>
      <c r="F226" s="6" t="inlineStr">
        <is>
          <t>Basket</t>
        </is>
      </c>
      <c r="G226" s="6" t="inlineStr">
        <is>
          <t>lpg</t>
        </is>
      </c>
      <c r="H226" s="6" t="inlineStr">
        <is>
          <t>%</t>
        </is>
      </c>
      <c r="P226" s="12">
        <f>BSHARE("lpg_share",0,"Urban","mean")</f>
        <v/>
      </c>
    </row>
    <row r="227">
      <c r="D227" s="6" t="inlineStr">
        <is>
          <t>mean</t>
        </is>
      </c>
      <c r="E227" s="6" t="inlineStr">
        <is>
          <t>Urban</t>
        </is>
      </c>
      <c r="F227" s="6" t="inlineStr">
        <is>
          <t>Deciles</t>
        </is>
      </c>
      <c r="G227" s="6" t="inlineStr">
        <is>
          <t>lpg</t>
        </is>
      </c>
      <c r="H227" s="6" t="inlineStr">
        <is>
          <t>%</t>
        </is>
      </c>
      <c r="Q227" s="12">
        <f>BSHARE("lpg_share",DECILE_ARRAY,"Urban","mean")</f>
        <v/>
      </c>
    </row>
    <row r="228">
      <c r="D228" s="6" t="inlineStr">
        <is>
          <t>mean</t>
        </is>
      </c>
      <c r="E228" s="6" t="inlineStr">
        <is>
          <t>Rural</t>
        </is>
      </c>
      <c r="F228" s="6" t="inlineStr">
        <is>
          <t>Basket</t>
        </is>
      </c>
      <c r="G228" s="6" t="inlineStr">
        <is>
          <t>lpg</t>
        </is>
      </c>
      <c r="H228" s="6" t="inlineStr">
        <is>
          <t>%</t>
        </is>
      </c>
      <c r="P228" s="12">
        <f>BSHARE("lpg_share",0,"Rural","mean")</f>
        <v/>
      </c>
    </row>
    <row r="229">
      <c r="D229" s="6" t="inlineStr">
        <is>
          <t>mean</t>
        </is>
      </c>
      <c r="E229" s="6" t="inlineStr">
        <is>
          <t>Rural</t>
        </is>
      </c>
      <c r="F229" s="6" t="inlineStr">
        <is>
          <t>Deciles</t>
        </is>
      </c>
      <c r="G229" s="6" t="inlineStr">
        <is>
          <t>lpg</t>
        </is>
      </c>
      <c r="H229" s="6" t="inlineStr">
        <is>
          <t>%</t>
        </is>
      </c>
      <c r="Q229" s="12">
        <f>BSHARE("lpg_share",DECILE_ARRAY,"Rural","mean")</f>
        <v/>
      </c>
    </row>
    <row r="230">
      <c r="D230" s="6" t="inlineStr">
        <is>
          <t>median</t>
        </is>
      </c>
      <c r="E230" s="6" t="inlineStr">
        <is>
          <t>Overall</t>
        </is>
      </c>
      <c r="F230" s="6" t="inlineStr">
        <is>
          <t>Basket</t>
        </is>
      </c>
      <c r="G230" s="6" t="inlineStr">
        <is>
          <t>lpg</t>
        </is>
      </c>
      <c r="H230" s="6" t="inlineStr">
        <is>
          <t>%</t>
        </is>
      </c>
      <c r="P230" s="12">
        <f>BSHARE("lpg_share",0,"Overall","median")</f>
        <v/>
      </c>
    </row>
    <row r="231">
      <c r="D231" s="6" t="inlineStr">
        <is>
          <t>median</t>
        </is>
      </c>
      <c r="E231" s="6" t="inlineStr">
        <is>
          <t>Overall</t>
        </is>
      </c>
      <c r="F231" s="6" t="inlineStr">
        <is>
          <t>Deciles</t>
        </is>
      </c>
      <c r="G231" s="6" t="inlineStr">
        <is>
          <t>lpg</t>
        </is>
      </c>
      <c r="H231" s="6" t="inlineStr">
        <is>
          <t>%</t>
        </is>
      </c>
      <c r="Q231" s="12">
        <f>BSHARE("lpg_share",DECILE_ARRAY,"Overall","median")</f>
        <v/>
      </c>
    </row>
    <row r="232">
      <c r="D232" s="6" t="inlineStr">
        <is>
          <t>median</t>
        </is>
      </c>
      <c r="E232" s="6" t="inlineStr">
        <is>
          <t>Urban</t>
        </is>
      </c>
      <c r="F232" s="6" t="inlineStr">
        <is>
          <t>Basket</t>
        </is>
      </c>
      <c r="G232" s="6" t="inlineStr">
        <is>
          <t>lpg</t>
        </is>
      </c>
      <c r="H232" s="6" t="inlineStr">
        <is>
          <t>%</t>
        </is>
      </c>
      <c r="P232" s="12">
        <f>BSHARE("lpg_share",0,"Urban","median")</f>
        <v/>
      </c>
    </row>
    <row r="233">
      <c r="D233" s="6" t="inlineStr">
        <is>
          <t>median</t>
        </is>
      </c>
      <c r="E233" s="6" t="inlineStr">
        <is>
          <t>Urban</t>
        </is>
      </c>
      <c r="F233" s="6" t="inlineStr">
        <is>
          <t>Deciles</t>
        </is>
      </c>
      <c r="G233" s="6" t="inlineStr">
        <is>
          <t>lpg</t>
        </is>
      </c>
      <c r="H233" s="6" t="inlineStr">
        <is>
          <t>%</t>
        </is>
      </c>
      <c r="Q233" s="12">
        <f>BSHARE("lpg_share",DECILE_ARRAY,"Urban","median")</f>
        <v/>
      </c>
    </row>
    <row r="234">
      <c r="D234" s="6" t="inlineStr">
        <is>
          <t>median</t>
        </is>
      </c>
      <c r="E234" s="6" t="inlineStr">
        <is>
          <t>Rural</t>
        </is>
      </c>
      <c r="F234" s="6" t="inlineStr">
        <is>
          <t>Basket</t>
        </is>
      </c>
      <c r="G234" s="6" t="inlineStr">
        <is>
          <t>lpg</t>
        </is>
      </c>
      <c r="H234" s="6" t="inlineStr">
        <is>
          <t>%</t>
        </is>
      </c>
      <c r="P234" s="12">
        <f>BSHARE("lpg_share",0,"Rural","median")</f>
        <v/>
      </c>
    </row>
    <row r="235">
      <c r="D235" s="6" t="inlineStr">
        <is>
          <t>median</t>
        </is>
      </c>
      <c r="E235" s="6" t="inlineStr">
        <is>
          <t>Rural</t>
        </is>
      </c>
      <c r="F235" s="6" t="inlineStr">
        <is>
          <t>Deciles</t>
        </is>
      </c>
      <c r="G235" s="6" t="inlineStr">
        <is>
          <t>lpg</t>
        </is>
      </c>
      <c r="H235" s="6" t="inlineStr">
        <is>
          <t>%</t>
        </is>
      </c>
      <c r="Q235" s="12">
        <f>BSHARE("lpg_share",DECILE_ARRAY,"Rural","median")</f>
        <v/>
      </c>
    </row>
    <row r="236">
      <c r="D236" s="6" t="inlineStr">
        <is>
          <t>p25</t>
        </is>
      </c>
      <c r="E236" s="6" t="inlineStr">
        <is>
          <t>Overall</t>
        </is>
      </c>
      <c r="F236" s="6" t="inlineStr">
        <is>
          <t>Basket</t>
        </is>
      </c>
      <c r="G236" s="6" t="inlineStr">
        <is>
          <t>lpg</t>
        </is>
      </c>
      <c r="H236" s="6" t="inlineStr">
        <is>
          <t>%</t>
        </is>
      </c>
      <c r="P236" s="12">
        <f>BSHARE("lpg_share",0,"Overall","p25")</f>
        <v/>
      </c>
    </row>
    <row r="237">
      <c r="D237" s="6" t="inlineStr">
        <is>
          <t>p25</t>
        </is>
      </c>
      <c r="E237" s="6" t="inlineStr">
        <is>
          <t>Overall</t>
        </is>
      </c>
      <c r="F237" s="6" t="inlineStr">
        <is>
          <t>Deciles</t>
        </is>
      </c>
      <c r="G237" s="6" t="inlineStr">
        <is>
          <t>lpg</t>
        </is>
      </c>
      <c r="H237" s="6" t="inlineStr">
        <is>
          <t>%</t>
        </is>
      </c>
      <c r="Q237" s="12">
        <f>BSHARE("lpg_share",DECILE_ARRAY,"Overall","p25")</f>
        <v/>
      </c>
    </row>
    <row r="238">
      <c r="D238" s="6" t="inlineStr">
        <is>
          <t>p25</t>
        </is>
      </c>
      <c r="E238" s="6" t="inlineStr">
        <is>
          <t>Urban</t>
        </is>
      </c>
      <c r="F238" s="6" t="inlineStr">
        <is>
          <t>Basket</t>
        </is>
      </c>
      <c r="G238" s="6" t="inlineStr">
        <is>
          <t>lpg</t>
        </is>
      </c>
      <c r="H238" s="6" t="inlineStr">
        <is>
          <t>%</t>
        </is>
      </c>
      <c r="P238" s="12">
        <f>BSHARE("lpg_share",0,"Urban","p25")</f>
        <v/>
      </c>
    </row>
    <row r="239">
      <c r="D239" s="6" t="inlineStr">
        <is>
          <t>p25</t>
        </is>
      </c>
      <c r="E239" s="6" t="inlineStr">
        <is>
          <t>Urban</t>
        </is>
      </c>
      <c r="F239" s="6" t="inlineStr">
        <is>
          <t>Deciles</t>
        </is>
      </c>
      <c r="G239" s="6" t="inlineStr">
        <is>
          <t>lpg</t>
        </is>
      </c>
      <c r="H239" s="6" t="inlineStr">
        <is>
          <t>%</t>
        </is>
      </c>
      <c r="Q239" s="12">
        <f>BSHARE("lpg_share",DECILE_ARRAY,"Urban","p25")</f>
        <v/>
      </c>
    </row>
    <row r="240">
      <c r="D240" s="6" t="inlineStr">
        <is>
          <t>p25</t>
        </is>
      </c>
      <c r="E240" s="6" t="inlineStr">
        <is>
          <t>Rural</t>
        </is>
      </c>
      <c r="F240" s="6" t="inlineStr">
        <is>
          <t>Basket</t>
        </is>
      </c>
      <c r="G240" s="6" t="inlineStr">
        <is>
          <t>lpg</t>
        </is>
      </c>
      <c r="H240" s="6" t="inlineStr">
        <is>
          <t>%</t>
        </is>
      </c>
      <c r="P240" s="12">
        <f>BSHARE("lpg_share",0,"Rural","p25")</f>
        <v/>
      </c>
    </row>
    <row r="241">
      <c r="D241" s="6" t="inlineStr">
        <is>
          <t>p25</t>
        </is>
      </c>
      <c r="E241" s="6" t="inlineStr">
        <is>
          <t>Rural</t>
        </is>
      </c>
      <c r="F241" s="6" t="inlineStr">
        <is>
          <t>Deciles</t>
        </is>
      </c>
      <c r="G241" s="6" t="inlineStr">
        <is>
          <t>lpg</t>
        </is>
      </c>
      <c r="H241" s="6" t="inlineStr">
        <is>
          <t>%</t>
        </is>
      </c>
      <c r="Q241" s="12">
        <f>BSHARE("lpg_share",DECILE_ARRAY,"Rural","p25")</f>
        <v/>
      </c>
    </row>
    <row r="242">
      <c r="D242" s="6" t="inlineStr">
        <is>
          <t>p75</t>
        </is>
      </c>
      <c r="E242" s="6" t="inlineStr">
        <is>
          <t>Overall</t>
        </is>
      </c>
      <c r="F242" s="6" t="inlineStr">
        <is>
          <t>Basket</t>
        </is>
      </c>
      <c r="G242" s="6" t="inlineStr">
        <is>
          <t>lpg</t>
        </is>
      </c>
      <c r="H242" s="6" t="inlineStr">
        <is>
          <t>%</t>
        </is>
      </c>
      <c r="P242" s="12">
        <f>BSHARE("lpg_share",0,"Overall","p75")</f>
        <v/>
      </c>
    </row>
    <row r="243">
      <c r="D243" s="6" t="inlineStr">
        <is>
          <t>p75</t>
        </is>
      </c>
      <c r="E243" s="6" t="inlineStr">
        <is>
          <t>Overall</t>
        </is>
      </c>
      <c r="F243" s="6" t="inlineStr">
        <is>
          <t>Deciles</t>
        </is>
      </c>
      <c r="G243" s="6" t="inlineStr">
        <is>
          <t>lpg</t>
        </is>
      </c>
      <c r="H243" s="6" t="inlineStr">
        <is>
          <t>%</t>
        </is>
      </c>
      <c r="Q243" s="12">
        <f>BSHARE("lpg_share",DECILE_ARRAY,"Overall","p75")</f>
        <v/>
      </c>
    </row>
    <row r="244">
      <c r="D244" s="6" t="inlineStr">
        <is>
          <t>p75</t>
        </is>
      </c>
      <c r="E244" s="6" t="inlineStr">
        <is>
          <t>Urban</t>
        </is>
      </c>
      <c r="F244" s="6" t="inlineStr">
        <is>
          <t>Basket</t>
        </is>
      </c>
      <c r="G244" s="6" t="inlineStr">
        <is>
          <t>lpg</t>
        </is>
      </c>
      <c r="H244" s="6" t="inlineStr">
        <is>
          <t>%</t>
        </is>
      </c>
      <c r="P244" s="12">
        <f>BSHARE("lpg_share",0,"Urban","p75")</f>
        <v/>
      </c>
    </row>
    <row r="245">
      <c r="D245" s="6" t="inlineStr">
        <is>
          <t>p75</t>
        </is>
      </c>
      <c r="E245" s="6" t="inlineStr">
        <is>
          <t>Urban</t>
        </is>
      </c>
      <c r="F245" s="6" t="inlineStr">
        <is>
          <t>Deciles</t>
        </is>
      </c>
      <c r="G245" s="6" t="inlineStr">
        <is>
          <t>lpg</t>
        </is>
      </c>
      <c r="H245" s="6" t="inlineStr">
        <is>
          <t>%</t>
        </is>
      </c>
      <c r="Q245" s="12">
        <f>BSHARE("lpg_share",DECILE_ARRAY,"Urban","p75")</f>
        <v/>
      </c>
    </row>
    <row r="246">
      <c r="D246" s="6" t="inlineStr">
        <is>
          <t>p75</t>
        </is>
      </c>
      <c r="E246" s="6" t="inlineStr">
        <is>
          <t>Rural</t>
        </is>
      </c>
      <c r="F246" s="6" t="inlineStr">
        <is>
          <t>Basket</t>
        </is>
      </c>
      <c r="G246" s="6" t="inlineStr">
        <is>
          <t>lpg</t>
        </is>
      </c>
      <c r="H246" s="6" t="inlineStr">
        <is>
          <t>%</t>
        </is>
      </c>
      <c r="P246" s="12">
        <f>BSHARE("lpg_share",0,"Rural","p75")</f>
        <v/>
      </c>
    </row>
    <row r="247">
      <c r="D247" s="6" t="inlineStr">
        <is>
          <t>p75</t>
        </is>
      </c>
      <c r="E247" s="6" t="inlineStr">
        <is>
          <t>Rural</t>
        </is>
      </c>
      <c r="F247" s="6" t="inlineStr">
        <is>
          <t>Deciles</t>
        </is>
      </c>
      <c r="G247" s="6" t="inlineStr">
        <is>
          <t>lpg</t>
        </is>
      </c>
      <c r="H247" s="6" t="inlineStr">
        <is>
          <t>%</t>
        </is>
      </c>
      <c r="Q247" s="12">
        <f>BSHARE("lpg_share",DECILE_ARRAY,"Rural","p75")</f>
        <v/>
      </c>
    </row>
    <row r="248"/>
    <row r="249">
      <c r="C249" s="7" t="inlineStr">
        <is>
          <t>Charcoal Budget Share (% Total Consumption)</t>
        </is>
      </c>
      <c r="G249" s="6" t="inlineStr">
        <is>
          <t>ccl</t>
        </is>
      </c>
      <c r="O249" s="8" t="inlineStr">
        <is>
          <t>Decile --&gt;</t>
        </is>
      </c>
      <c r="Q249" s="8" t="n">
        <v>1</v>
      </c>
      <c r="R249" s="8" t="n">
        <v>2</v>
      </c>
      <c r="S249" s="8" t="n">
        <v>3</v>
      </c>
      <c r="T249" s="8" t="n">
        <v>4</v>
      </c>
      <c r="U249" s="8" t="n">
        <v>5</v>
      </c>
      <c r="V249" s="8" t="n">
        <v>6</v>
      </c>
      <c r="W249" s="8" t="n">
        <v>7</v>
      </c>
      <c r="X249" s="8" t="n">
        <v>8</v>
      </c>
      <c r="Y249" s="8" t="n">
        <v>9</v>
      </c>
      <c r="Z249" s="8" t="n">
        <v>10</v>
      </c>
    </row>
    <row r="250">
      <c r="D250" s="6" t="inlineStr">
        <is>
          <t>mean</t>
        </is>
      </c>
      <c r="E250" s="6" t="inlineStr">
        <is>
          <t>Overall</t>
        </is>
      </c>
      <c r="F250" s="6" t="inlineStr">
        <is>
          <t>Basket</t>
        </is>
      </c>
      <c r="G250" s="6" t="inlineStr">
        <is>
          <t>ccl</t>
        </is>
      </c>
      <c r="H250" s="6" t="inlineStr">
        <is>
          <t>%</t>
        </is>
      </c>
      <c r="P250" s="12">
        <f>BSHARE("ccl_share",0,"Overall","mean")</f>
        <v/>
      </c>
    </row>
    <row r="251">
      <c r="D251" s="6" t="inlineStr">
        <is>
          <t>mean</t>
        </is>
      </c>
      <c r="E251" s="6" t="inlineStr">
        <is>
          <t>Overall</t>
        </is>
      </c>
      <c r="F251" s="6" t="inlineStr">
        <is>
          <t>Deciles</t>
        </is>
      </c>
      <c r="G251" s="6" t="inlineStr">
        <is>
          <t>ccl</t>
        </is>
      </c>
      <c r="H251" s="6" t="inlineStr">
        <is>
          <t>%</t>
        </is>
      </c>
      <c r="Q251" s="12">
        <f>BSHARE("ccl_share",DECILE_ARRAY,"Overall","mean")</f>
        <v/>
      </c>
    </row>
    <row r="252">
      <c r="D252" s="6" t="inlineStr">
        <is>
          <t>mean</t>
        </is>
      </c>
      <c r="E252" s="6" t="inlineStr">
        <is>
          <t>Urban</t>
        </is>
      </c>
      <c r="F252" s="6" t="inlineStr">
        <is>
          <t>Basket</t>
        </is>
      </c>
      <c r="G252" s="6" t="inlineStr">
        <is>
          <t>ccl</t>
        </is>
      </c>
      <c r="H252" s="6" t="inlineStr">
        <is>
          <t>%</t>
        </is>
      </c>
      <c r="P252" s="12">
        <f>BSHARE("ccl_share",0,"Urban","mean")</f>
        <v/>
      </c>
    </row>
    <row r="253">
      <c r="D253" s="6" t="inlineStr">
        <is>
          <t>mean</t>
        </is>
      </c>
      <c r="E253" s="6" t="inlineStr">
        <is>
          <t>Urban</t>
        </is>
      </c>
      <c r="F253" s="6" t="inlineStr">
        <is>
          <t>Deciles</t>
        </is>
      </c>
      <c r="G253" s="6" t="inlineStr">
        <is>
          <t>ccl</t>
        </is>
      </c>
      <c r="H253" s="6" t="inlineStr">
        <is>
          <t>%</t>
        </is>
      </c>
      <c r="Q253" s="12">
        <f>BSHARE("ccl_share",DECILE_ARRAY,"Urban","mean")</f>
        <v/>
      </c>
    </row>
    <row r="254">
      <c r="D254" s="6" t="inlineStr">
        <is>
          <t>mean</t>
        </is>
      </c>
      <c r="E254" s="6" t="inlineStr">
        <is>
          <t>Rural</t>
        </is>
      </c>
      <c r="F254" s="6" t="inlineStr">
        <is>
          <t>Basket</t>
        </is>
      </c>
      <c r="G254" s="6" t="inlineStr">
        <is>
          <t>ccl</t>
        </is>
      </c>
      <c r="H254" s="6" t="inlineStr">
        <is>
          <t>%</t>
        </is>
      </c>
      <c r="P254" s="12">
        <f>BSHARE("ccl_share",0,"Rural","mean")</f>
        <v/>
      </c>
    </row>
    <row r="255">
      <c r="D255" s="6" t="inlineStr">
        <is>
          <t>mean</t>
        </is>
      </c>
      <c r="E255" s="6" t="inlineStr">
        <is>
          <t>Rural</t>
        </is>
      </c>
      <c r="F255" s="6" t="inlineStr">
        <is>
          <t>Deciles</t>
        </is>
      </c>
      <c r="G255" s="6" t="inlineStr">
        <is>
          <t>ccl</t>
        </is>
      </c>
      <c r="H255" s="6" t="inlineStr">
        <is>
          <t>%</t>
        </is>
      </c>
      <c r="Q255" s="12">
        <f>BSHARE("ccl_share",DECILE_ARRAY,"Rural","mean")</f>
        <v/>
      </c>
    </row>
    <row r="256">
      <c r="D256" s="6" t="inlineStr">
        <is>
          <t>median</t>
        </is>
      </c>
      <c r="E256" s="6" t="inlineStr">
        <is>
          <t>Overall</t>
        </is>
      </c>
      <c r="F256" s="6" t="inlineStr">
        <is>
          <t>Basket</t>
        </is>
      </c>
      <c r="G256" s="6" t="inlineStr">
        <is>
          <t>ccl</t>
        </is>
      </c>
      <c r="H256" s="6" t="inlineStr">
        <is>
          <t>%</t>
        </is>
      </c>
      <c r="P256" s="12">
        <f>BSHARE("ccl_share",0,"Overall","median")</f>
        <v/>
      </c>
    </row>
    <row r="257">
      <c r="D257" s="6" t="inlineStr">
        <is>
          <t>median</t>
        </is>
      </c>
      <c r="E257" s="6" t="inlineStr">
        <is>
          <t>Overall</t>
        </is>
      </c>
      <c r="F257" s="6" t="inlineStr">
        <is>
          <t>Deciles</t>
        </is>
      </c>
      <c r="G257" s="6" t="inlineStr">
        <is>
          <t>ccl</t>
        </is>
      </c>
      <c r="H257" s="6" t="inlineStr">
        <is>
          <t>%</t>
        </is>
      </c>
      <c r="Q257" s="12">
        <f>BSHARE("ccl_share",DECILE_ARRAY,"Overall","median")</f>
        <v/>
      </c>
    </row>
    <row r="258">
      <c r="D258" s="6" t="inlineStr">
        <is>
          <t>median</t>
        </is>
      </c>
      <c r="E258" s="6" t="inlineStr">
        <is>
          <t>Urban</t>
        </is>
      </c>
      <c r="F258" s="6" t="inlineStr">
        <is>
          <t>Basket</t>
        </is>
      </c>
      <c r="G258" s="6" t="inlineStr">
        <is>
          <t>ccl</t>
        </is>
      </c>
      <c r="H258" s="6" t="inlineStr">
        <is>
          <t>%</t>
        </is>
      </c>
      <c r="P258" s="12">
        <f>BSHARE("ccl_share",0,"Urban","median")</f>
        <v/>
      </c>
    </row>
    <row r="259">
      <c r="D259" s="6" t="inlineStr">
        <is>
          <t>median</t>
        </is>
      </c>
      <c r="E259" s="6" t="inlineStr">
        <is>
          <t>Urban</t>
        </is>
      </c>
      <c r="F259" s="6" t="inlineStr">
        <is>
          <t>Deciles</t>
        </is>
      </c>
      <c r="G259" s="6" t="inlineStr">
        <is>
          <t>ccl</t>
        </is>
      </c>
      <c r="H259" s="6" t="inlineStr">
        <is>
          <t>%</t>
        </is>
      </c>
      <c r="Q259" s="12">
        <f>BSHARE("ccl_share",DECILE_ARRAY,"Urban","median")</f>
        <v/>
      </c>
    </row>
    <row r="260">
      <c r="D260" s="6" t="inlineStr">
        <is>
          <t>median</t>
        </is>
      </c>
      <c r="E260" s="6" t="inlineStr">
        <is>
          <t>Rural</t>
        </is>
      </c>
      <c r="F260" s="6" t="inlineStr">
        <is>
          <t>Basket</t>
        </is>
      </c>
      <c r="G260" s="6" t="inlineStr">
        <is>
          <t>ccl</t>
        </is>
      </c>
      <c r="H260" s="6" t="inlineStr">
        <is>
          <t>%</t>
        </is>
      </c>
      <c r="P260" s="12">
        <f>BSHARE("ccl_share",0,"Rural","median")</f>
        <v/>
      </c>
    </row>
    <row r="261">
      <c r="D261" s="6" t="inlineStr">
        <is>
          <t>median</t>
        </is>
      </c>
      <c r="E261" s="6" t="inlineStr">
        <is>
          <t>Rural</t>
        </is>
      </c>
      <c r="F261" s="6" t="inlineStr">
        <is>
          <t>Deciles</t>
        </is>
      </c>
      <c r="G261" s="6" t="inlineStr">
        <is>
          <t>ccl</t>
        </is>
      </c>
      <c r="H261" s="6" t="inlineStr">
        <is>
          <t>%</t>
        </is>
      </c>
      <c r="Q261" s="12">
        <f>BSHARE("ccl_share",DECILE_ARRAY,"Rural","median")</f>
        <v/>
      </c>
    </row>
    <row r="262">
      <c r="D262" s="6" t="inlineStr">
        <is>
          <t>p25</t>
        </is>
      </c>
      <c r="E262" s="6" t="inlineStr">
        <is>
          <t>Overall</t>
        </is>
      </c>
      <c r="F262" s="6" t="inlineStr">
        <is>
          <t>Basket</t>
        </is>
      </c>
      <c r="G262" s="6" t="inlineStr">
        <is>
          <t>ccl</t>
        </is>
      </c>
      <c r="H262" s="6" t="inlineStr">
        <is>
          <t>%</t>
        </is>
      </c>
      <c r="P262" s="12">
        <f>BSHARE("ccl_share",0,"Overall","p25")</f>
        <v/>
      </c>
    </row>
    <row r="263">
      <c r="D263" s="6" t="inlineStr">
        <is>
          <t>p25</t>
        </is>
      </c>
      <c r="E263" s="6" t="inlineStr">
        <is>
          <t>Overall</t>
        </is>
      </c>
      <c r="F263" s="6" t="inlineStr">
        <is>
          <t>Deciles</t>
        </is>
      </c>
      <c r="G263" s="6" t="inlineStr">
        <is>
          <t>ccl</t>
        </is>
      </c>
      <c r="H263" s="6" t="inlineStr">
        <is>
          <t>%</t>
        </is>
      </c>
      <c r="Q263" s="12">
        <f>BSHARE("ccl_share",DECILE_ARRAY,"Overall","p25")</f>
        <v/>
      </c>
    </row>
    <row r="264">
      <c r="D264" s="6" t="inlineStr">
        <is>
          <t>p25</t>
        </is>
      </c>
      <c r="E264" s="6" t="inlineStr">
        <is>
          <t>Urban</t>
        </is>
      </c>
      <c r="F264" s="6" t="inlineStr">
        <is>
          <t>Basket</t>
        </is>
      </c>
      <c r="G264" s="6" t="inlineStr">
        <is>
          <t>ccl</t>
        </is>
      </c>
      <c r="H264" s="6" t="inlineStr">
        <is>
          <t>%</t>
        </is>
      </c>
      <c r="P264" s="12">
        <f>BSHARE("ccl_share",0,"Urban","p25")</f>
        <v/>
      </c>
    </row>
    <row r="265">
      <c r="D265" s="6" t="inlineStr">
        <is>
          <t>p25</t>
        </is>
      </c>
      <c r="E265" s="6" t="inlineStr">
        <is>
          <t>Urban</t>
        </is>
      </c>
      <c r="F265" s="6" t="inlineStr">
        <is>
          <t>Deciles</t>
        </is>
      </c>
      <c r="G265" s="6" t="inlineStr">
        <is>
          <t>ccl</t>
        </is>
      </c>
      <c r="H265" s="6" t="inlineStr">
        <is>
          <t>%</t>
        </is>
      </c>
      <c r="Q265" s="12">
        <f>BSHARE("ccl_share",DECILE_ARRAY,"Urban","p25")</f>
        <v/>
      </c>
    </row>
    <row r="266">
      <c r="D266" s="6" t="inlineStr">
        <is>
          <t>p25</t>
        </is>
      </c>
      <c r="E266" s="6" t="inlineStr">
        <is>
          <t>Rural</t>
        </is>
      </c>
      <c r="F266" s="6" t="inlineStr">
        <is>
          <t>Basket</t>
        </is>
      </c>
      <c r="G266" s="6" t="inlineStr">
        <is>
          <t>ccl</t>
        </is>
      </c>
      <c r="H266" s="6" t="inlineStr">
        <is>
          <t>%</t>
        </is>
      </c>
      <c r="P266" s="12">
        <f>BSHARE("ccl_share",0,"Rural","p25")</f>
        <v/>
      </c>
    </row>
    <row r="267">
      <c r="D267" s="6" t="inlineStr">
        <is>
          <t>p25</t>
        </is>
      </c>
      <c r="E267" s="6" t="inlineStr">
        <is>
          <t>Rural</t>
        </is>
      </c>
      <c r="F267" s="6" t="inlineStr">
        <is>
          <t>Deciles</t>
        </is>
      </c>
      <c r="G267" s="6" t="inlineStr">
        <is>
          <t>ccl</t>
        </is>
      </c>
      <c r="H267" s="6" t="inlineStr">
        <is>
          <t>%</t>
        </is>
      </c>
      <c r="Q267" s="12">
        <f>BSHARE("ccl_share",DECILE_ARRAY,"Rural","p25")</f>
        <v/>
      </c>
    </row>
    <row r="268">
      <c r="D268" s="6" t="inlineStr">
        <is>
          <t>p75</t>
        </is>
      </c>
      <c r="E268" s="6" t="inlineStr">
        <is>
          <t>Overall</t>
        </is>
      </c>
      <c r="F268" s="6" t="inlineStr">
        <is>
          <t>Basket</t>
        </is>
      </c>
      <c r="G268" s="6" t="inlineStr">
        <is>
          <t>ccl</t>
        </is>
      </c>
      <c r="H268" s="6" t="inlineStr">
        <is>
          <t>%</t>
        </is>
      </c>
      <c r="P268" s="12">
        <f>BSHARE("ccl_share",0,"Overall","p75")</f>
        <v/>
      </c>
    </row>
    <row r="269">
      <c r="D269" s="6" t="inlineStr">
        <is>
          <t>p75</t>
        </is>
      </c>
      <c r="E269" s="6" t="inlineStr">
        <is>
          <t>Overall</t>
        </is>
      </c>
      <c r="F269" s="6" t="inlineStr">
        <is>
          <t>Deciles</t>
        </is>
      </c>
      <c r="G269" s="6" t="inlineStr">
        <is>
          <t>ccl</t>
        </is>
      </c>
      <c r="H269" s="6" t="inlineStr">
        <is>
          <t>%</t>
        </is>
      </c>
      <c r="Q269" s="12">
        <f>BSHARE("ccl_share",DECILE_ARRAY,"Overall","p75")</f>
        <v/>
      </c>
    </row>
    <row r="270">
      <c r="D270" s="6" t="inlineStr">
        <is>
          <t>p75</t>
        </is>
      </c>
      <c r="E270" s="6" t="inlineStr">
        <is>
          <t>Urban</t>
        </is>
      </c>
      <c r="F270" s="6" t="inlineStr">
        <is>
          <t>Basket</t>
        </is>
      </c>
      <c r="G270" s="6" t="inlineStr">
        <is>
          <t>ccl</t>
        </is>
      </c>
      <c r="H270" s="6" t="inlineStr">
        <is>
          <t>%</t>
        </is>
      </c>
      <c r="P270" s="12">
        <f>BSHARE("ccl_share",0,"Urban","p75")</f>
        <v/>
      </c>
    </row>
    <row r="271">
      <c r="D271" s="6" t="inlineStr">
        <is>
          <t>p75</t>
        </is>
      </c>
      <c r="E271" s="6" t="inlineStr">
        <is>
          <t>Urban</t>
        </is>
      </c>
      <c r="F271" s="6" t="inlineStr">
        <is>
          <t>Deciles</t>
        </is>
      </c>
      <c r="G271" s="6" t="inlineStr">
        <is>
          <t>ccl</t>
        </is>
      </c>
      <c r="H271" s="6" t="inlineStr">
        <is>
          <t>%</t>
        </is>
      </c>
      <c r="Q271" s="12">
        <f>BSHARE("ccl_share",DECILE_ARRAY,"Urban","p75")</f>
        <v/>
      </c>
    </row>
    <row r="272">
      <c r="D272" s="6" t="inlineStr">
        <is>
          <t>p75</t>
        </is>
      </c>
      <c r="E272" s="6" t="inlineStr">
        <is>
          <t>Rural</t>
        </is>
      </c>
      <c r="F272" s="6" t="inlineStr">
        <is>
          <t>Basket</t>
        </is>
      </c>
      <c r="G272" s="6" t="inlineStr">
        <is>
          <t>ccl</t>
        </is>
      </c>
      <c r="H272" s="6" t="inlineStr">
        <is>
          <t>%</t>
        </is>
      </c>
      <c r="P272" s="12">
        <f>BSHARE("ccl_share",0,"Rural","p75")</f>
        <v/>
      </c>
    </row>
    <row r="273">
      <c r="D273" s="6" t="inlineStr">
        <is>
          <t>p75</t>
        </is>
      </c>
      <c r="E273" s="6" t="inlineStr">
        <is>
          <t>Rural</t>
        </is>
      </c>
      <c r="F273" s="6" t="inlineStr">
        <is>
          <t>Deciles</t>
        </is>
      </c>
      <c r="G273" s="6" t="inlineStr">
        <is>
          <t>ccl</t>
        </is>
      </c>
      <c r="H273" s="6" t="inlineStr">
        <is>
          <t>%</t>
        </is>
      </c>
      <c r="Q273" s="12">
        <f>BSHARE("ccl_share",DECILE_ARRAY,"Rural","p75")</f>
        <v/>
      </c>
    </row>
    <row r="274"/>
    <row r="275">
      <c r="C275" s="7" t="inlineStr">
        <is>
          <t>Ethanol Budget Share (% Total Consumption)</t>
        </is>
      </c>
      <c r="G275" s="6" t="inlineStr">
        <is>
          <t>ethanol</t>
        </is>
      </c>
      <c r="O275" s="8" t="inlineStr">
        <is>
          <t>Decile --&gt;</t>
        </is>
      </c>
      <c r="Q275" s="8" t="n">
        <v>1</v>
      </c>
      <c r="R275" s="8" t="n">
        <v>2</v>
      </c>
      <c r="S275" s="8" t="n">
        <v>3</v>
      </c>
      <c r="T275" s="8" t="n">
        <v>4</v>
      </c>
      <c r="U275" s="8" t="n">
        <v>5</v>
      </c>
      <c r="V275" s="8" t="n">
        <v>6</v>
      </c>
      <c r="W275" s="8" t="n">
        <v>7</v>
      </c>
      <c r="X275" s="8" t="n">
        <v>8</v>
      </c>
      <c r="Y275" s="8" t="n">
        <v>9</v>
      </c>
      <c r="Z275" s="8" t="n">
        <v>10</v>
      </c>
    </row>
    <row r="276">
      <c r="D276" s="6" t="inlineStr">
        <is>
          <t>mean</t>
        </is>
      </c>
      <c r="E276" s="6" t="inlineStr">
        <is>
          <t>Overall</t>
        </is>
      </c>
      <c r="F276" s="6" t="inlineStr">
        <is>
          <t>Basket</t>
        </is>
      </c>
      <c r="G276" s="6" t="inlineStr">
        <is>
          <t>ethanol</t>
        </is>
      </c>
      <c r="H276" s="6" t="inlineStr">
        <is>
          <t>%</t>
        </is>
      </c>
      <c r="P276" s="12">
        <f>BSHARE("ethanol_share",0,"Overall","mean")</f>
        <v/>
      </c>
    </row>
    <row r="277">
      <c r="D277" s="6" t="inlineStr">
        <is>
          <t>mean</t>
        </is>
      </c>
      <c r="E277" s="6" t="inlineStr">
        <is>
          <t>Overall</t>
        </is>
      </c>
      <c r="F277" s="6" t="inlineStr">
        <is>
          <t>Deciles</t>
        </is>
      </c>
      <c r="G277" s="6" t="inlineStr">
        <is>
          <t>ethanol</t>
        </is>
      </c>
      <c r="H277" s="6" t="inlineStr">
        <is>
          <t>%</t>
        </is>
      </c>
      <c r="Q277" s="12">
        <f>BSHARE("ethanol_share",DECILE_ARRAY,"Overall","mean")</f>
        <v/>
      </c>
    </row>
    <row r="278">
      <c r="D278" s="6" t="inlineStr">
        <is>
          <t>mean</t>
        </is>
      </c>
      <c r="E278" s="6" t="inlineStr">
        <is>
          <t>Urban</t>
        </is>
      </c>
      <c r="F278" s="6" t="inlineStr">
        <is>
          <t>Basket</t>
        </is>
      </c>
      <c r="G278" s="6" t="inlineStr">
        <is>
          <t>ethanol</t>
        </is>
      </c>
      <c r="H278" s="6" t="inlineStr">
        <is>
          <t>%</t>
        </is>
      </c>
      <c r="P278" s="12">
        <f>BSHARE("ethanol_share",0,"Urban","mean")</f>
        <v/>
      </c>
    </row>
    <row r="279">
      <c r="D279" s="6" t="inlineStr">
        <is>
          <t>mean</t>
        </is>
      </c>
      <c r="E279" s="6" t="inlineStr">
        <is>
          <t>Urban</t>
        </is>
      </c>
      <c r="F279" s="6" t="inlineStr">
        <is>
          <t>Deciles</t>
        </is>
      </c>
      <c r="G279" s="6" t="inlineStr">
        <is>
          <t>ethanol</t>
        </is>
      </c>
      <c r="H279" s="6" t="inlineStr">
        <is>
          <t>%</t>
        </is>
      </c>
      <c r="Q279" s="12">
        <f>BSHARE("ethanol_share",DECILE_ARRAY,"Urban","mean")</f>
        <v/>
      </c>
    </row>
    <row r="280">
      <c r="D280" s="6" t="inlineStr">
        <is>
          <t>mean</t>
        </is>
      </c>
      <c r="E280" s="6" t="inlineStr">
        <is>
          <t>Rural</t>
        </is>
      </c>
      <c r="F280" s="6" t="inlineStr">
        <is>
          <t>Basket</t>
        </is>
      </c>
      <c r="G280" s="6" t="inlineStr">
        <is>
          <t>ethanol</t>
        </is>
      </c>
      <c r="H280" s="6" t="inlineStr">
        <is>
          <t>%</t>
        </is>
      </c>
      <c r="P280" s="12">
        <f>BSHARE("ethanol_share",0,"Rural","mean")</f>
        <v/>
      </c>
    </row>
    <row r="281">
      <c r="D281" s="6" t="inlineStr">
        <is>
          <t>mean</t>
        </is>
      </c>
      <c r="E281" s="6" t="inlineStr">
        <is>
          <t>Rural</t>
        </is>
      </c>
      <c r="F281" s="6" t="inlineStr">
        <is>
          <t>Deciles</t>
        </is>
      </c>
      <c r="G281" s="6" t="inlineStr">
        <is>
          <t>ethanol</t>
        </is>
      </c>
      <c r="H281" s="6" t="inlineStr">
        <is>
          <t>%</t>
        </is>
      </c>
      <c r="Q281" s="12">
        <f>BSHARE("ethanol_share",DECILE_ARRAY,"Rural","mean")</f>
        <v/>
      </c>
    </row>
    <row r="282">
      <c r="D282" s="6" t="inlineStr">
        <is>
          <t>median</t>
        </is>
      </c>
      <c r="E282" s="6" t="inlineStr">
        <is>
          <t>Overall</t>
        </is>
      </c>
      <c r="F282" s="6" t="inlineStr">
        <is>
          <t>Basket</t>
        </is>
      </c>
      <c r="G282" s="6" t="inlineStr">
        <is>
          <t>ethanol</t>
        </is>
      </c>
      <c r="H282" s="6" t="inlineStr">
        <is>
          <t>%</t>
        </is>
      </c>
      <c r="P282" s="12">
        <f>BSHARE("ethanol_share",0,"Overall","median")</f>
        <v/>
      </c>
    </row>
    <row r="283">
      <c r="D283" s="6" t="inlineStr">
        <is>
          <t>median</t>
        </is>
      </c>
      <c r="E283" s="6" t="inlineStr">
        <is>
          <t>Overall</t>
        </is>
      </c>
      <c r="F283" s="6" t="inlineStr">
        <is>
          <t>Deciles</t>
        </is>
      </c>
      <c r="G283" s="6" t="inlineStr">
        <is>
          <t>ethanol</t>
        </is>
      </c>
      <c r="H283" s="6" t="inlineStr">
        <is>
          <t>%</t>
        </is>
      </c>
      <c r="Q283" s="12">
        <f>BSHARE("ethanol_share",DECILE_ARRAY,"Overall","median")</f>
        <v/>
      </c>
    </row>
    <row r="284">
      <c r="D284" s="6" t="inlineStr">
        <is>
          <t>median</t>
        </is>
      </c>
      <c r="E284" s="6" t="inlineStr">
        <is>
          <t>Urban</t>
        </is>
      </c>
      <c r="F284" s="6" t="inlineStr">
        <is>
          <t>Basket</t>
        </is>
      </c>
      <c r="G284" s="6" t="inlineStr">
        <is>
          <t>ethanol</t>
        </is>
      </c>
      <c r="H284" s="6" t="inlineStr">
        <is>
          <t>%</t>
        </is>
      </c>
      <c r="P284" s="12">
        <f>BSHARE("ethanol_share",0,"Urban","median")</f>
        <v/>
      </c>
    </row>
    <row r="285">
      <c r="D285" s="6" t="inlineStr">
        <is>
          <t>median</t>
        </is>
      </c>
      <c r="E285" s="6" t="inlineStr">
        <is>
          <t>Urban</t>
        </is>
      </c>
      <c r="F285" s="6" t="inlineStr">
        <is>
          <t>Deciles</t>
        </is>
      </c>
      <c r="G285" s="6" t="inlineStr">
        <is>
          <t>ethanol</t>
        </is>
      </c>
      <c r="H285" s="6" t="inlineStr">
        <is>
          <t>%</t>
        </is>
      </c>
      <c r="Q285" s="12">
        <f>BSHARE("ethanol_share",DECILE_ARRAY,"Urban","median")</f>
        <v/>
      </c>
    </row>
    <row r="286">
      <c r="D286" s="6" t="inlineStr">
        <is>
          <t>median</t>
        </is>
      </c>
      <c r="E286" s="6" t="inlineStr">
        <is>
          <t>Rural</t>
        </is>
      </c>
      <c r="F286" s="6" t="inlineStr">
        <is>
          <t>Basket</t>
        </is>
      </c>
      <c r="G286" s="6" t="inlineStr">
        <is>
          <t>ethanol</t>
        </is>
      </c>
      <c r="H286" s="6" t="inlineStr">
        <is>
          <t>%</t>
        </is>
      </c>
      <c r="P286" s="12">
        <f>BSHARE("ethanol_share",0,"Rural","median")</f>
        <v/>
      </c>
    </row>
    <row r="287">
      <c r="D287" s="6" t="inlineStr">
        <is>
          <t>median</t>
        </is>
      </c>
      <c r="E287" s="6" t="inlineStr">
        <is>
          <t>Rural</t>
        </is>
      </c>
      <c r="F287" s="6" t="inlineStr">
        <is>
          <t>Deciles</t>
        </is>
      </c>
      <c r="G287" s="6" t="inlineStr">
        <is>
          <t>ethanol</t>
        </is>
      </c>
      <c r="H287" s="6" t="inlineStr">
        <is>
          <t>%</t>
        </is>
      </c>
      <c r="Q287" s="12">
        <f>BSHARE("ethanol_share",DECILE_ARRAY,"Rural","median")</f>
        <v/>
      </c>
    </row>
    <row r="288">
      <c r="D288" s="6" t="inlineStr">
        <is>
          <t>p25</t>
        </is>
      </c>
      <c r="E288" s="6" t="inlineStr">
        <is>
          <t>Overall</t>
        </is>
      </c>
      <c r="F288" s="6" t="inlineStr">
        <is>
          <t>Basket</t>
        </is>
      </c>
      <c r="G288" s="6" t="inlineStr">
        <is>
          <t>ethanol</t>
        </is>
      </c>
      <c r="H288" s="6" t="inlineStr">
        <is>
          <t>%</t>
        </is>
      </c>
      <c r="P288" s="12">
        <f>BSHARE("ethanol_share",0,"Overall","p25")</f>
        <v/>
      </c>
    </row>
    <row r="289">
      <c r="D289" s="6" t="inlineStr">
        <is>
          <t>p25</t>
        </is>
      </c>
      <c r="E289" s="6" t="inlineStr">
        <is>
          <t>Overall</t>
        </is>
      </c>
      <c r="F289" s="6" t="inlineStr">
        <is>
          <t>Deciles</t>
        </is>
      </c>
      <c r="G289" s="6" t="inlineStr">
        <is>
          <t>ethanol</t>
        </is>
      </c>
      <c r="H289" s="6" t="inlineStr">
        <is>
          <t>%</t>
        </is>
      </c>
      <c r="Q289" s="12">
        <f>BSHARE("ethanol_share",DECILE_ARRAY,"Overall","p25")</f>
        <v/>
      </c>
    </row>
    <row r="290">
      <c r="D290" s="6" t="inlineStr">
        <is>
          <t>p25</t>
        </is>
      </c>
      <c r="E290" s="6" t="inlineStr">
        <is>
          <t>Urban</t>
        </is>
      </c>
      <c r="F290" s="6" t="inlineStr">
        <is>
          <t>Basket</t>
        </is>
      </c>
      <c r="G290" s="6" t="inlineStr">
        <is>
          <t>ethanol</t>
        </is>
      </c>
      <c r="H290" s="6" t="inlineStr">
        <is>
          <t>%</t>
        </is>
      </c>
      <c r="P290" s="12">
        <f>BSHARE("ethanol_share",0,"Urban","p25")</f>
        <v/>
      </c>
    </row>
    <row r="291">
      <c r="D291" s="6" t="inlineStr">
        <is>
          <t>p25</t>
        </is>
      </c>
      <c r="E291" s="6" t="inlineStr">
        <is>
          <t>Urban</t>
        </is>
      </c>
      <c r="F291" s="6" t="inlineStr">
        <is>
          <t>Deciles</t>
        </is>
      </c>
      <c r="G291" s="6" t="inlineStr">
        <is>
          <t>ethanol</t>
        </is>
      </c>
      <c r="H291" s="6" t="inlineStr">
        <is>
          <t>%</t>
        </is>
      </c>
      <c r="Q291" s="12">
        <f>BSHARE("ethanol_share",DECILE_ARRAY,"Urban","p25")</f>
        <v/>
      </c>
    </row>
    <row r="292">
      <c r="D292" s="6" t="inlineStr">
        <is>
          <t>p25</t>
        </is>
      </c>
      <c r="E292" s="6" t="inlineStr">
        <is>
          <t>Rural</t>
        </is>
      </c>
      <c r="F292" s="6" t="inlineStr">
        <is>
          <t>Basket</t>
        </is>
      </c>
      <c r="G292" s="6" t="inlineStr">
        <is>
          <t>ethanol</t>
        </is>
      </c>
      <c r="H292" s="6" t="inlineStr">
        <is>
          <t>%</t>
        </is>
      </c>
      <c r="P292" s="12">
        <f>BSHARE("ethanol_share",0,"Rural","p25")</f>
        <v/>
      </c>
    </row>
    <row r="293">
      <c r="D293" s="6" t="inlineStr">
        <is>
          <t>p25</t>
        </is>
      </c>
      <c r="E293" s="6" t="inlineStr">
        <is>
          <t>Rural</t>
        </is>
      </c>
      <c r="F293" s="6" t="inlineStr">
        <is>
          <t>Deciles</t>
        </is>
      </c>
      <c r="G293" s="6" t="inlineStr">
        <is>
          <t>ethanol</t>
        </is>
      </c>
      <c r="H293" s="6" t="inlineStr">
        <is>
          <t>%</t>
        </is>
      </c>
      <c r="Q293" s="12">
        <f>BSHARE("ethanol_share",DECILE_ARRAY,"Rural","p25")</f>
        <v/>
      </c>
    </row>
    <row r="294">
      <c r="D294" s="6" t="inlineStr">
        <is>
          <t>p75</t>
        </is>
      </c>
      <c r="E294" s="6" t="inlineStr">
        <is>
          <t>Overall</t>
        </is>
      </c>
      <c r="F294" s="6" t="inlineStr">
        <is>
          <t>Basket</t>
        </is>
      </c>
      <c r="G294" s="6" t="inlineStr">
        <is>
          <t>ethanol</t>
        </is>
      </c>
      <c r="H294" s="6" t="inlineStr">
        <is>
          <t>%</t>
        </is>
      </c>
      <c r="P294" s="12">
        <f>BSHARE("ethanol_share",0,"Overall","p75")</f>
        <v/>
      </c>
    </row>
    <row r="295">
      <c r="D295" s="6" t="inlineStr">
        <is>
          <t>p75</t>
        </is>
      </c>
      <c r="E295" s="6" t="inlineStr">
        <is>
          <t>Overall</t>
        </is>
      </c>
      <c r="F295" s="6" t="inlineStr">
        <is>
          <t>Deciles</t>
        </is>
      </c>
      <c r="G295" s="6" t="inlineStr">
        <is>
          <t>ethanol</t>
        </is>
      </c>
      <c r="H295" s="6" t="inlineStr">
        <is>
          <t>%</t>
        </is>
      </c>
      <c r="Q295" s="12">
        <f>BSHARE("ethanol_share",DECILE_ARRAY,"Overall","p75")</f>
        <v/>
      </c>
    </row>
    <row r="296">
      <c r="D296" s="6" t="inlineStr">
        <is>
          <t>p75</t>
        </is>
      </c>
      <c r="E296" s="6" t="inlineStr">
        <is>
          <t>Urban</t>
        </is>
      </c>
      <c r="F296" s="6" t="inlineStr">
        <is>
          <t>Basket</t>
        </is>
      </c>
      <c r="G296" s="6" t="inlineStr">
        <is>
          <t>ethanol</t>
        </is>
      </c>
      <c r="H296" s="6" t="inlineStr">
        <is>
          <t>%</t>
        </is>
      </c>
      <c r="P296" s="12">
        <f>BSHARE("ethanol_share",0,"Urban","p75")</f>
        <v/>
      </c>
    </row>
    <row r="297">
      <c r="D297" s="6" t="inlineStr">
        <is>
          <t>p75</t>
        </is>
      </c>
      <c r="E297" s="6" t="inlineStr">
        <is>
          <t>Urban</t>
        </is>
      </c>
      <c r="F297" s="6" t="inlineStr">
        <is>
          <t>Deciles</t>
        </is>
      </c>
      <c r="G297" s="6" t="inlineStr">
        <is>
          <t>ethanol</t>
        </is>
      </c>
      <c r="H297" s="6" t="inlineStr">
        <is>
          <t>%</t>
        </is>
      </c>
      <c r="Q297" s="12">
        <f>BSHARE("ethanol_share",DECILE_ARRAY,"Urban","p75")</f>
        <v/>
      </c>
    </row>
    <row r="298">
      <c r="D298" s="6" t="inlineStr">
        <is>
          <t>p75</t>
        </is>
      </c>
      <c r="E298" s="6" t="inlineStr">
        <is>
          <t>Rural</t>
        </is>
      </c>
      <c r="F298" s="6" t="inlineStr">
        <is>
          <t>Basket</t>
        </is>
      </c>
      <c r="G298" s="6" t="inlineStr">
        <is>
          <t>ethanol</t>
        </is>
      </c>
      <c r="H298" s="6" t="inlineStr">
        <is>
          <t>%</t>
        </is>
      </c>
      <c r="P298" s="12">
        <f>BSHARE("ethanol_share",0,"Rural","p75")</f>
        <v/>
      </c>
    </row>
    <row r="299">
      <c r="D299" s="6" t="inlineStr">
        <is>
          <t>p75</t>
        </is>
      </c>
      <c r="E299" s="6" t="inlineStr">
        <is>
          <t>Rural</t>
        </is>
      </c>
      <c r="F299" s="6" t="inlineStr">
        <is>
          <t>Deciles</t>
        </is>
      </c>
      <c r="G299" s="6" t="inlineStr">
        <is>
          <t>ethanol</t>
        </is>
      </c>
      <c r="H299" s="6" t="inlineStr">
        <is>
          <t>%</t>
        </is>
      </c>
      <c r="Q299" s="12">
        <f>BSHARE("ethanol_share",DECILE_ARRAY,"Rural","p75")</f>
        <v/>
      </c>
    </row>
    <row r="300"/>
    <row r="301">
      <c r="C301" s="7" t="inlineStr">
        <is>
          <t>Firewood Budget Share (% Total Consumption)</t>
        </is>
      </c>
      <c r="G301" s="6" t="inlineStr">
        <is>
          <t>fwd</t>
        </is>
      </c>
      <c r="O301" s="8" t="inlineStr">
        <is>
          <t>Decile --&gt;</t>
        </is>
      </c>
      <c r="Q301" s="8" t="n">
        <v>1</v>
      </c>
      <c r="R301" s="8" t="n">
        <v>2</v>
      </c>
      <c r="S301" s="8" t="n">
        <v>3</v>
      </c>
      <c r="T301" s="8" t="n">
        <v>4</v>
      </c>
      <c r="U301" s="8" t="n">
        <v>5</v>
      </c>
      <c r="V301" s="8" t="n">
        <v>6</v>
      </c>
      <c r="W301" s="8" t="n">
        <v>7</v>
      </c>
      <c r="X301" s="8" t="n">
        <v>8</v>
      </c>
      <c r="Y301" s="8" t="n">
        <v>9</v>
      </c>
      <c r="Z301" s="8" t="n">
        <v>10</v>
      </c>
    </row>
    <row r="302">
      <c r="D302" s="6" t="inlineStr">
        <is>
          <t>mean</t>
        </is>
      </c>
      <c r="E302" s="6" t="inlineStr">
        <is>
          <t>Overall</t>
        </is>
      </c>
      <c r="F302" s="6" t="inlineStr">
        <is>
          <t>Basket</t>
        </is>
      </c>
      <c r="G302" s="6" t="inlineStr">
        <is>
          <t>fwd</t>
        </is>
      </c>
      <c r="H302" s="6" t="inlineStr">
        <is>
          <t>%</t>
        </is>
      </c>
      <c r="P302" s="12">
        <f>BSHARE("fwd_share",0,"Overall","mean")</f>
        <v/>
      </c>
    </row>
    <row r="303">
      <c r="D303" s="6" t="inlineStr">
        <is>
          <t>mean</t>
        </is>
      </c>
      <c r="E303" s="6" t="inlineStr">
        <is>
          <t>Overall</t>
        </is>
      </c>
      <c r="F303" s="6" t="inlineStr">
        <is>
          <t>Deciles</t>
        </is>
      </c>
      <c r="G303" s="6" t="inlineStr">
        <is>
          <t>fwd</t>
        </is>
      </c>
      <c r="H303" s="6" t="inlineStr">
        <is>
          <t>%</t>
        </is>
      </c>
      <c r="Q303" s="12">
        <f>BSHARE("fwd_share",DECILE_ARRAY,"Overall","mean")</f>
        <v/>
      </c>
    </row>
    <row r="304">
      <c r="D304" s="6" t="inlineStr">
        <is>
          <t>mean</t>
        </is>
      </c>
      <c r="E304" s="6" t="inlineStr">
        <is>
          <t>Urban</t>
        </is>
      </c>
      <c r="F304" s="6" t="inlineStr">
        <is>
          <t>Basket</t>
        </is>
      </c>
      <c r="G304" s="6" t="inlineStr">
        <is>
          <t>fwd</t>
        </is>
      </c>
      <c r="H304" s="6" t="inlineStr">
        <is>
          <t>%</t>
        </is>
      </c>
      <c r="P304" s="12">
        <f>BSHARE("fwd_share",0,"Urban","mean")</f>
        <v/>
      </c>
    </row>
    <row r="305">
      <c r="D305" s="6" t="inlineStr">
        <is>
          <t>mean</t>
        </is>
      </c>
      <c r="E305" s="6" t="inlineStr">
        <is>
          <t>Urban</t>
        </is>
      </c>
      <c r="F305" s="6" t="inlineStr">
        <is>
          <t>Deciles</t>
        </is>
      </c>
      <c r="G305" s="6" t="inlineStr">
        <is>
          <t>fwd</t>
        </is>
      </c>
      <c r="H305" s="6" t="inlineStr">
        <is>
          <t>%</t>
        </is>
      </c>
      <c r="Q305" s="12">
        <f>BSHARE("fwd_share",DECILE_ARRAY,"Urban","mean")</f>
        <v/>
      </c>
    </row>
    <row r="306">
      <c r="D306" s="6" t="inlineStr">
        <is>
          <t>mean</t>
        </is>
      </c>
      <c r="E306" s="6" t="inlineStr">
        <is>
          <t>Rural</t>
        </is>
      </c>
      <c r="F306" s="6" t="inlineStr">
        <is>
          <t>Basket</t>
        </is>
      </c>
      <c r="G306" s="6" t="inlineStr">
        <is>
          <t>fwd</t>
        </is>
      </c>
      <c r="H306" s="6" t="inlineStr">
        <is>
          <t>%</t>
        </is>
      </c>
      <c r="P306" s="12">
        <f>BSHARE("fwd_share",0,"Rural","mean")</f>
        <v/>
      </c>
    </row>
    <row r="307">
      <c r="D307" s="6" t="inlineStr">
        <is>
          <t>mean</t>
        </is>
      </c>
      <c r="E307" s="6" t="inlineStr">
        <is>
          <t>Rural</t>
        </is>
      </c>
      <c r="F307" s="6" t="inlineStr">
        <is>
          <t>Deciles</t>
        </is>
      </c>
      <c r="G307" s="6" t="inlineStr">
        <is>
          <t>fwd</t>
        </is>
      </c>
      <c r="H307" s="6" t="inlineStr">
        <is>
          <t>%</t>
        </is>
      </c>
      <c r="Q307" s="12">
        <f>BSHARE("fwd_share",DECILE_ARRAY,"Rural","mean")</f>
        <v/>
      </c>
    </row>
    <row r="308">
      <c r="D308" s="6" t="inlineStr">
        <is>
          <t>median</t>
        </is>
      </c>
      <c r="E308" s="6" t="inlineStr">
        <is>
          <t>Overall</t>
        </is>
      </c>
      <c r="F308" s="6" t="inlineStr">
        <is>
          <t>Basket</t>
        </is>
      </c>
      <c r="G308" s="6" t="inlineStr">
        <is>
          <t>fwd</t>
        </is>
      </c>
      <c r="H308" s="6" t="inlineStr">
        <is>
          <t>%</t>
        </is>
      </c>
      <c r="P308" s="12">
        <f>BSHARE("fwd_share",0,"Overall","median")</f>
        <v/>
      </c>
    </row>
    <row r="309">
      <c r="D309" s="6" t="inlineStr">
        <is>
          <t>median</t>
        </is>
      </c>
      <c r="E309" s="6" t="inlineStr">
        <is>
          <t>Overall</t>
        </is>
      </c>
      <c r="F309" s="6" t="inlineStr">
        <is>
          <t>Deciles</t>
        </is>
      </c>
      <c r="G309" s="6" t="inlineStr">
        <is>
          <t>fwd</t>
        </is>
      </c>
      <c r="H309" s="6" t="inlineStr">
        <is>
          <t>%</t>
        </is>
      </c>
      <c r="Q309" s="12">
        <f>BSHARE("fwd_share",DECILE_ARRAY,"Overall","median")</f>
        <v/>
      </c>
    </row>
    <row r="310">
      <c r="D310" s="6" t="inlineStr">
        <is>
          <t>median</t>
        </is>
      </c>
      <c r="E310" s="6" t="inlineStr">
        <is>
          <t>Urban</t>
        </is>
      </c>
      <c r="F310" s="6" t="inlineStr">
        <is>
          <t>Basket</t>
        </is>
      </c>
      <c r="G310" s="6" t="inlineStr">
        <is>
          <t>fwd</t>
        </is>
      </c>
      <c r="H310" s="6" t="inlineStr">
        <is>
          <t>%</t>
        </is>
      </c>
      <c r="P310" s="12">
        <f>BSHARE("fwd_share",0,"Urban","median")</f>
        <v/>
      </c>
    </row>
    <row r="311">
      <c r="D311" s="6" t="inlineStr">
        <is>
          <t>median</t>
        </is>
      </c>
      <c r="E311" s="6" t="inlineStr">
        <is>
          <t>Urban</t>
        </is>
      </c>
      <c r="F311" s="6" t="inlineStr">
        <is>
          <t>Deciles</t>
        </is>
      </c>
      <c r="G311" s="6" t="inlineStr">
        <is>
          <t>fwd</t>
        </is>
      </c>
      <c r="H311" s="6" t="inlineStr">
        <is>
          <t>%</t>
        </is>
      </c>
      <c r="Q311" s="12">
        <f>BSHARE("fwd_share",DECILE_ARRAY,"Urban","median")</f>
        <v/>
      </c>
    </row>
    <row r="312">
      <c r="D312" s="6" t="inlineStr">
        <is>
          <t>median</t>
        </is>
      </c>
      <c r="E312" s="6" t="inlineStr">
        <is>
          <t>Rural</t>
        </is>
      </c>
      <c r="F312" s="6" t="inlineStr">
        <is>
          <t>Basket</t>
        </is>
      </c>
      <c r="G312" s="6" t="inlineStr">
        <is>
          <t>fwd</t>
        </is>
      </c>
      <c r="H312" s="6" t="inlineStr">
        <is>
          <t>%</t>
        </is>
      </c>
      <c r="P312" s="12">
        <f>BSHARE("fwd_share",0,"Rural","median")</f>
        <v/>
      </c>
    </row>
    <row r="313">
      <c r="D313" s="6" t="inlineStr">
        <is>
          <t>median</t>
        </is>
      </c>
      <c r="E313" s="6" t="inlineStr">
        <is>
          <t>Rural</t>
        </is>
      </c>
      <c r="F313" s="6" t="inlineStr">
        <is>
          <t>Deciles</t>
        </is>
      </c>
      <c r="G313" s="6" t="inlineStr">
        <is>
          <t>fwd</t>
        </is>
      </c>
      <c r="H313" s="6" t="inlineStr">
        <is>
          <t>%</t>
        </is>
      </c>
      <c r="Q313" s="12">
        <f>BSHARE("fwd_share",DECILE_ARRAY,"Rural","median")</f>
        <v/>
      </c>
    </row>
    <row r="314">
      <c r="D314" s="6" t="inlineStr">
        <is>
          <t>p25</t>
        </is>
      </c>
      <c r="E314" s="6" t="inlineStr">
        <is>
          <t>Overall</t>
        </is>
      </c>
      <c r="F314" s="6" t="inlineStr">
        <is>
          <t>Basket</t>
        </is>
      </c>
      <c r="G314" s="6" t="inlineStr">
        <is>
          <t>fwd</t>
        </is>
      </c>
      <c r="H314" s="6" t="inlineStr">
        <is>
          <t>%</t>
        </is>
      </c>
      <c r="P314" s="12">
        <f>BSHARE("fwd_share",0,"Overall","p25")</f>
        <v/>
      </c>
    </row>
    <row r="315">
      <c r="D315" s="6" t="inlineStr">
        <is>
          <t>p25</t>
        </is>
      </c>
      <c r="E315" s="6" t="inlineStr">
        <is>
          <t>Overall</t>
        </is>
      </c>
      <c r="F315" s="6" t="inlineStr">
        <is>
          <t>Deciles</t>
        </is>
      </c>
      <c r="G315" s="6" t="inlineStr">
        <is>
          <t>fwd</t>
        </is>
      </c>
      <c r="H315" s="6" t="inlineStr">
        <is>
          <t>%</t>
        </is>
      </c>
      <c r="Q315" s="12">
        <f>BSHARE("fwd_share",DECILE_ARRAY,"Overall","p25")</f>
        <v/>
      </c>
    </row>
    <row r="316">
      <c r="D316" s="6" t="inlineStr">
        <is>
          <t>p25</t>
        </is>
      </c>
      <c r="E316" s="6" t="inlineStr">
        <is>
          <t>Urban</t>
        </is>
      </c>
      <c r="F316" s="6" t="inlineStr">
        <is>
          <t>Basket</t>
        </is>
      </c>
      <c r="G316" s="6" t="inlineStr">
        <is>
          <t>fwd</t>
        </is>
      </c>
      <c r="H316" s="6" t="inlineStr">
        <is>
          <t>%</t>
        </is>
      </c>
      <c r="P316" s="12">
        <f>BSHARE("fwd_share",0,"Urban","p25")</f>
        <v/>
      </c>
    </row>
    <row r="317">
      <c r="D317" s="6" t="inlineStr">
        <is>
          <t>p25</t>
        </is>
      </c>
      <c r="E317" s="6" t="inlineStr">
        <is>
          <t>Urban</t>
        </is>
      </c>
      <c r="F317" s="6" t="inlineStr">
        <is>
          <t>Deciles</t>
        </is>
      </c>
      <c r="G317" s="6" t="inlineStr">
        <is>
          <t>fwd</t>
        </is>
      </c>
      <c r="H317" s="6" t="inlineStr">
        <is>
          <t>%</t>
        </is>
      </c>
      <c r="Q317" s="12">
        <f>BSHARE("fwd_share",DECILE_ARRAY,"Urban","p25")</f>
        <v/>
      </c>
    </row>
    <row r="318">
      <c r="D318" s="6" t="inlineStr">
        <is>
          <t>p25</t>
        </is>
      </c>
      <c r="E318" s="6" t="inlineStr">
        <is>
          <t>Rural</t>
        </is>
      </c>
      <c r="F318" s="6" t="inlineStr">
        <is>
          <t>Basket</t>
        </is>
      </c>
      <c r="G318" s="6" t="inlineStr">
        <is>
          <t>fwd</t>
        </is>
      </c>
      <c r="H318" s="6" t="inlineStr">
        <is>
          <t>%</t>
        </is>
      </c>
      <c r="P318" s="12">
        <f>BSHARE("fwd_share",0,"Rural","p25")</f>
        <v/>
      </c>
    </row>
    <row r="319">
      <c r="D319" s="6" t="inlineStr">
        <is>
          <t>p25</t>
        </is>
      </c>
      <c r="E319" s="6" t="inlineStr">
        <is>
          <t>Rural</t>
        </is>
      </c>
      <c r="F319" s="6" t="inlineStr">
        <is>
          <t>Deciles</t>
        </is>
      </c>
      <c r="G319" s="6" t="inlineStr">
        <is>
          <t>fwd</t>
        </is>
      </c>
      <c r="H319" s="6" t="inlineStr">
        <is>
          <t>%</t>
        </is>
      </c>
      <c r="Q319" s="12">
        <f>BSHARE("fwd_share",DECILE_ARRAY,"Rural","p25")</f>
        <v/>
      </c>
    </row>
    <row r="320">
      <c r="D320" s="6" t="inlineStr">
        <is>
          <t>p75</t>
        </is>
      </c>
      <c r="E320" s="6" t="inlineStr">
        <is>
          <t>Overall</t>
        </is>
      </c>
      <c r="F320" s="6" t="inlineStr">
        <is>
          <t>Basket</t>
        </is>
      </c>
      <c r="G320" s="6" t="inlineStr">
        <is>
          <t>fwd</t>
        </is>
      </c>
      <c r="H320" s="6" t="inlineStr">
        <is>
          <t>%</t>
        </is>
      </c>
      <c r="P320" s="12">
        <f>BSHARE("fwd_share",0,"Overall","p75")</f>
        <v/>
      </c>
    </row>
    <row r="321">
      <c r="D321" s="6" t="inlineStr">
        <is>
          <t>p75</t>
        </is>
      </c>
      <c r="E321" s="6" t="inlineStr">
        <is>
          <t>Overall</t>
        </is>
      </c>
      <c r="F321" s="6" t="inlineStr">
        <is>
          <t>Deciles</t>
        </is>
      </c>
      <c r="G321" s="6" t="inlineStr">
        <is>
          <t>fwd</t>
        </is>
      </c>
      <c r="H321" s="6" t="inlineStr">
        <is>
          <t>%</t>
        </is>
      </c>
      <c r="Q321" s="12">
        <f>BSHARE("fwd_share",DECILE_ARRAY,"Overall","p75")</f>
        <v/>
      </c>
    </row>
    <row r="322">
      <c r="D322" s="6" t="inlineStr">
        <is>
          <t>p75</t>
        </is>
      </c>
      <c r="E322" s="6" t="inlineStr">
        <is>
          <t>Urban</t>
        </is>
      </c>
      <c r="F322" s="6" t="inlineStr">
        <is>
          <t>Basket</t>
        </is>
      </c>
      <c r="G322" s="6" t="inlineStr">
        <is>
          <t>fwd</t>
        </is>
      </c>
      <c r="H322" s="6" t="inlineStr">
        <is>
          <t>%</t>
        </is>
      </c>
      <c r="P322" s="12">
        <f>BSHARE("fwd_share",0,"Urban","p75")</f>
        <v/>
      </c>
    </row>
    <row r="323">
      <c r="D323" s="6" t="inlineStr">
        <is>
          <t>p75</t>
        </is>
      </c>
      <c r="E323" s="6" t="inlineStr">
        <is>
          <t>Urban</t>
        </is>
      </c>
      <c r="F323" s="6" t="inlineStr">
        <is>
          <t>Deciles</t>
        </is>
      </c>
      <c r="G323" s="6" t="inlineStr">
        <is>
          <t>fwd</t>
        </is>
      </c>
      <c r="H323" s="6" t="inlineStr">
        <is>
          <t>%</t>
        </is>
      </c>
      <c r="Q323" s="12">
        <f>BSHARE("fwd_share",DECILE_ARRAY,"Urban","p75")</f>
        <v/>
      </c>
    </row>
    <row r="324">
      <c r="D324" s="6" t="inlineStr">
        <is>
          <t>p75</t>
        </is>
      </c>
      <c r="E324" s="6" t="inlineStr">
        <is>
          <t>Rural</t>
        </is>
      </c>
      <c r="F324" s="6" t="inlineStr">
        <is>
          <t>Basket</t>
        </is>
      </c>
      <c r="G324" s="6" t="inlineStr">
        <is>
          <t>fwd</t>
        </is>
      </c>
      <c r="H324" s="6" t="inlineStr">
        <is>
          <t>%</t>
        </is>
      </c>
      <c r="P324" s="12">
        <f>BSHARE("fwd_share",0,"Rural","p75")</f>
        <v/>
      </c>
    </row>
    <row r="325">
      <c r="D325" s="6" t="inlineStr">
        <is>
          <t>p75</t>
        </is>
      </c>
      <c r="E325" s="6" t="inlineStr">
        <is>
          <t>Rural</t>
        </is>
      </c>
      <c r="F325" s="6" t="inlineStr">
        <is>
          <t>Deciles</t>
        </is>
      </c>
      <c r="G325" s="6" t="inlineStr">
        <is>
          <t>fwd</t>
        </is>
      </c>
      <c r="H325" s="6" t="inlineStr">
        <is>
          <t>%</t>
        </is>
      </c>
      <c r="Q325" s="12">
        <f>BSHARE("fwd_share",DECILE_ARRAY,"Rural","p75")</f>
        <v/>
      </c>
    </row>
    <row r="326"/>
    <row r="327">
      <c r="A327" s="4" t="inlineStr">
        <is>
          <t>C.IV.</t>
        </is>
      </c>
      <c r="B327" s="4" t="inlineStr">
        <is>
          <t>Household budget shares - indirect (non-fuel) consumption</t>
        </is>
      </c>
      <c r="C327" s="5" t="n"/>
      <c r="D327" s="5" t="n"/>
      <c r="E327" s="5" t="n"/>
      <c r="F327" s="5" t="n"/>
      <c r="G327" s="5" t="n"/>
      <c r="H327" s="5" t="n"/>
      <c r="I327" s="5" t="n"/>
      <c r="J327" s="5" t="n"/>
      <c r="K327" s="5" t="n"/>
      <c r="L327" s="5" t="n"/>
      <c r="M327" s="5" t="n"/>
      <c r="N327" s="5" t="n"/>
    </row>
    <row r="328"/>
    <row r="329">
      <c r="C329" s="7" t="inlineStr">
        <is>
          <t>Appliances Budget Share (% Total Consumption)</t>
        </is>
      </c>
      <c r="G329" s="6" t="inlineStr">
        <is>
          <t>app</t>
        </is>
      </c>
      <c r="O329" s="8" t="inlineStr">
        <is>
          <t>Decile --&gt;</t>
        </is>
      </c>
      <c r="Q329" s="8" t="n">
        <v>1</v>
      </c>
      <c r="R329" s="8" t="n">
        <v>2</v>
      </c>
      <c r="S329" s="8" t="n">
        <v>3</v>
      </c>
      <c r="T329" s="8" t="n">
        <v>4</v>
      </c>
      <c r="U329" s="8" t="n">
        <v>5</v>
      </c>
      <c r="V329" s="8" t="n">
        <v>6</v>
      </c>
      <c r="W329" s="8" t="n">
        <v>7</v>
      </c>
      <c r="X329" s="8" t="n">
        <v>8</v>
      </c>
      <c r="Y329" s="8" t="n">
        <v>9</v>
      </c>
      <c r="Z329" s="8" t="n">
        <v>10</v>
      </c>
    </row>
    <row r="330">
      <c r="D330" s="6" t="inlineStr">
        <is>
          <t>mean</t>
        </is>
      </c>
      <c r="E330" s="6" t="inlineStr">
        <is>
          <t>Overall</t>
        </is>
      </c>
      <c r="F330" s="6" t="inlineStr">
        <is>
          <t>Basket</t>
        </is>
      </c>
      <c r="G330" s="6" t="inlineStr">
        <is>
          <t>app</t>
        </is>
      </c>
      <c r="H330" s="6" t="inlineStr">
        <is>
          <t>%</t>
        </is>
      </c>
      <c r="P330" s="12">
        <f>BSHARE("appliances_share",0,"Overall","mean")</f>
        <v/>
      </c>
    </row>
    <row r="331">
      <c r="D331" s="6" t="inlineStr">
        <is>
          <t>mean</t>
        </is>
      </c>
      <c r="E331" s="6" t="inlineStr">
        <is>
          <t>Overall</t>
        </is>
      </c>
      <c r="F331" s="6" t="inlineStr">
        <is>
          <t>Deciles</t>
        </is>
      </c>
      <c r="G331" s="6" t="inlineStr">
        <is>
          <t>app</t>
        </is>
      </c>
      <c r="H331" s="6" t="inlineStr">
        <is>
          <t>%</t>
        </is>
      </c>
      <c r="Q331" s="12">
        <f>BSHARE("appliances_share",DECILE_ARRAY,"Overall","mean")</f>
        <v/>
      </c>
    </row>
    <row r="332">
      <c r="D332" s="6" t="inlineStr">
        <is>
          <t>mean</t>
        </is>
      </c>
      <c r="E332" s="6" t="inlineStr">
        <is>
          <t>Urban</t>
        </is>
      </c>
      <c r="F332" s="6" t="inlineStr">
        <is>
          <t>Basket</t>
        </is>
      </c>
      <c r="G332" s="6" t="inlineStr">
        <is>
          <t>app</t>
        </is>
      </c>
      <c r="H332" s="6" t="inlineStr">
        <is>
          <t>%</t>
        </is>
      </c>
      <c r="P332" s="12">
        <f>BSHARE("appliances_share",0,"Urban","mean")</f>
        <v/>
      </c>
    </row>
    <row r="333">
      <c r="D333" s="6" t="inlineStr">
        <is>
          <t>mean</t>
        </is>
      </c>
      <c r="E333" s="6" t="inlineStr">
        <is>
          <t>Urban</t>
        </is>
      </c>
      <c r="F333" s="6" t="inlineStr">
        <is>
          <t>Deciles</t>
        </is>
      </c>
      <c r="G333" s="6" t="inlineStr">
        <is>
          <t>app</t>
        </is>
      </c>
      <c r="H333" s="6" t="inlineStr">
        <is>
          <t>%</t>
        </is>
      </c>
      <c r="Q333" s="12">
        <f>BSHARE("appliances_share",DECILE_ARRAY,"Urban","mean")</f>
        <v/>
      </c>
    </row>
    <row r="334">
      <c r="D334" s="6" t="inlineStr">
        <is>
          <t>mean</t>
        </is>
      </c>
      <c r="E334" s="6" t="inlineStr">
        <is>
          <t>Rural</t>
        </is>
      </c>
      <c r="F334" s="6" t="inlineStr">
        <is>
          <t>Basket</t>
        </is>
      </c>
      <c r="G334" s="6" t="inlineStr">
        <is>
          <t>app</t>
        </is>
      </c>
      <c r="H334" s="6" t="inlineStr">
        <is>
          <t>%</t>
        </is>
      </c>
      <c r="P334" s="12">
        <f>BSHARE("appliances_share",0,"Rural","mean")</f>
        <v/>
      </c>
    </row>
    <row r="335">
      <c r="D335" s="6" t="inlineStr">
        <is>
          <t>mean</t>
        </is>
      </c>
      <c r="E335" s="6" t="inlineStr">
        <is>
          <t>Rural</t>
        </is>
      </c>
      <c r="F335" s="6" t="inlineStr">
        <is>
          <t>Deciles</t>
        </is>
      </c>
      <c r="G335" s="6" t="inlineStr">
        <is>
          <t>app</t>
        </is>
      </c>
      <c r="H335" s="6" t="inlineStr">
        <is>
          <t>%</t>
        </is>
      </c>
      <c r="Q335" s="12">
        <f>BSHARE("appliances_share",DECILE_ARRAY,"Rural","mean")</f>
        <v/>
      </c>
    </row>
    <row r="336">
      <c r="D336" s="6" t="inlineStr">
        <is>
          <t>median</t>
        </is>
      </c>
      <c r="E336" s="6" t="inlineStr">
        <is>
          <t>Overall</t>
        </is>
      </c>
      <c r="F336" s="6" t="inlineStr">
        <is>
          <t>Basket</t>
        </is>
      </c>
      <c r="G336" s="6" t="inlineStr">
        <is>
          <t>app</t>
        </is>
      </c>
      <c r="H336" s="6" t="inlineStr">
        <is>
          <t>%</t>
        </is>
      </c>
      <c r="P336" s="12">
        <f>BSHARE("appliances_share",0,"Overall","median")</f>
        <v/>
      </c>
    </row>
    <row r="337">
      <c r="D337" s="6" t="inlineStr">
        <is>
          <t>median</t>
        </is>
      </c>
      <c r="E337" s="6" t="inlineStr">
        <is>
          <t>Overall</t>
        </is>
      </c>
      <c r="F337" s="6" t="inlineStr">
        <is>
          <t>Deciles</t>
        </is>
      </c>
      <c r="G337" s="6" t="inlineStr">
        <is>
          <t>app</t>
        </is>
      </c>
      <c r="H337" s="6" t="inlineStr">
        <is>
          <t>%</t>
        </is>
      </c>
      <c r="Q337" s="12">
        <f>BSHARE("appliances_share",DECILE_ARRAY,"Overall","median")</f>
        <v/>
      </c>
    </row>
    <row r="338">
      <c r="D338" s="6" t="inlineStr">
        <is>
          <t>median</t>
        </is>
      </c>
      <c r="E338" s="6" t="inlineStr">
        <is>
          <t>Urban</t>
        </is>
      </c>
      <c r="F338" s="6" t="inlineStr">
        <is>
          <t>Basket</t>
        </is>
      </c>
      <c r="G338" s="6" t="inlineStr">
        <is>
          <t>app</t>
        </is>
      </c>
      <c r="H338" s="6" t="inlineStr">
        <is>
          <t>%</t>
        </is>
      </c>
      <c r="P338" s="12">
        <f>BSHARE("appliances_share",0,"Urban","median")</f>
        <v/>
      </c>
    </row>
    <row r="339">
      <c r="D339" s="6" t="inlineStr">
        <is>
          <t>median</t>
        </is>
      </c>
      <c r="E339" s="6" t="inlineStr">
        <is>
          <t>Urban</t>
        </is>
      </c>
      <c r="F339" s="6" t="inlineStr">
        <is>
          <t>Deciles</t>
        </is>
      </c>
      <c r="G339" s="6" t="inlineStr">
        <is>
          <t>app</t>
        </is>
      </c>
      <c r="H339" s="6" t="inlineStr">
        <is>
          <t>%</t>
        </is>
      </c>
      <c r="Q339" s="12">
        <f>BSHARE("appliances_share",DECILE_ARRAY,"Urban","median")</f>
        <v/>
      </c>
    </row>
    <row r="340">
      <c r="D340" s="6" t="inlineStr">
        <is>
          <t>median</t>
        </is>
      </c>
      <c r="E340" s="6" t="inlineStr">
        <is>
          <t>Rural</t>
        </is>
      </c>
      <c r="F340" s="6" t="inlineStr">
        <is>
          <t>Basket</t>
        </is>
      </c>
      <c r="G340" s="6" t="inlineStr">
        <is>
          <t>app</t>
        </is>
      </c>
      <c r="H340" s="6" t="inlineStr">
        <is>
          <t>%</t>
        </is>
      </c>
      <c r="P340" s="12">
        <f>BSHARE("appliances_share",0,"Rural","median")</f>
        <v/>
      </c>
    </row>
    <row r="341">
      <c r="D341" s="6" t="inlineStr">
        <is>
          <t>median</t>
        </is>
      </c>
      <c r="E341" s="6" t="inlineStr">
        <is>
          <t>Rural</t>
        </is>
      </c>
      <c r="F341" s="6" t="inlineStr">
        <is>
          <t>Deciles</t>
        </is>
      </c>
      <c r="G341" s="6" t="inlineStr">
        <is>
          <t>app</t>
        </is>
      </c>
      <c r="H341" s="6" t="inlineStr">
        <is>
          <t>%</t>
        </is>
      </c>
      <c r="Q341" s="12">
        <f>BSHARE("appliances_share",DECILE_ARRAY,"Rural","median")</f>
        <v/>
      </c>
    </row>
    <row r="342">
      <c r="D342" s="6" t="inlineStr">
        <is>
          <t>p25</t>
        </is>
      </c>
      <c r="E342" s="6" t="inlineStr">
        <is>
          <t>Overall</t>
        </is>
      </c>
      <c r="F342" s="6" t="inlineStr">
        <is>
          <t>Basket</t>
        </is>
      </c>
      <c r="G342" s="6" t="inlineStr">
        <is>
          <t>app</t>
        </is>
      </c>
      <c r="H342" s="6" t="inlineStr">
        <is>
          <t>%</t>
        </is>
      </c>
      <c r="P342" s="12">
        <f>BSHARE("appliances_share",0,"Overall","p25")</f>
        <v/>
      </c>
    </row>
    <row r="343">
      <c r="D343" s="6" t="inlineStr">
        <is>
          <t>p25</t>
        </is>
      </c>
      <c r="E343" s="6" t="inlineStr">
        <is>
          <t>Overall</t>
        </is>
      </c>
      <c r="F343" s="6" t="inlineStr">
        <is>
          <t>Deciles</t>
        </is>
      </c>
      <c r="G343" s="6" t="inlineStr">
        <is>
          <t>app</t>
        </is>
      </c>
      <c r="H343" s="6" t="inlineStr">
        <is>
          <t>%</t>
        </is>
      </c>
      <c r="Q343" s="12">
        <f>BSHARE("appliances_share",DECILE_ARRAY,"Overall","p25")</f>
        <v/>
      </c>
    </row>
    <row r="344">
      <c r="D344" s="6" t="inlineStr">
        <is>
          <t>p25</t>
        </is>
      </c>
      <c r="E344" s="6" t="inlineStr">
        <is>
          <t>Urban</t>
        </is>
      </c>
      <c r="F344" s="6" t="inlineStr">
        <is>
          <t>Basket</t>
        </is>
      </c>
      <c r="G344" s="6" t="inlineStr">
        <is>
          <t>app</t>
        </is>
      </c>
      <c r="H344" s="6" t="inlineStr">
        <is>
          <t>%</t>
        </is>
      </c>
      <c r="P344" s="12">
        <f>BSHARE("appliances_share",0,"Urban","p25")</f>
        <v/>
      </c>
    </row>
    <row r="345">
      <c r="D345" s="6" t="inlineStr">
        <is>
          <t>p25</t>
        </is>
      </c>
      <c r="E345" s="6" t="inlineStr">
        <is>
          <t>Urban</t>
        </is>
      </c>
      <c r="F345" s="6" t="inlineStr">
        <is>
          <t>Deciles</t>
        </is>
      </c>
      <c r="G345" s="6" t="inlineStr">
        <is>
          <t>app</t>
        </is>
      </c>
      <c r="H345" s="6" t="inlineStr">
        <is>
          <t>%</t>
        </is>
      </c>
      <c r="Q345" s="12">
        <f>BSHARE("appliances_share",DECILE_ARRAY,"Urban","p25")</f>
        <v/>
      </c>
    </row>
    <row r="346">
      <c r="D346" s="6" t="inlineStr">
        <is>
          <t>p25</t>
        </is>
      </c>
      <c r="E346" s="6" t="inlineStr">
        <is>
          <t>Rural</t>
        </is>
      </c>
      <c r="F346" s="6" t="inlineStr">
        <is>
          <t>Basket</t>
        </is>
      </c>
      <c r="G346" s="6" t="inlineStr">
        <is>
          <t>app</t>
        </is>
      </c>
      <c r="H346" s="6" t="inlineStr">
        <is>
          <t>%</t>
        </is>
      </c>
      <c r="P346" s="12">
        <f>BSHARE("appliances_share",0,"Rural","p25")</f>
        <v/>
      </c>
    </row>
    <row r="347">
      <c r="D347" s="6" t="inlineStr">
        <is>
          <t>p25</t>
        </is>
      </c>
      <c r="E347" s="6" t="inlineStr">
        <is>
          <t>Rural</t>
        </is>
      </c>
      <c r="F347" s="6" t="inlineStr">
        <is>
          <t>Deciles</t>
        </is>
      </c>
      <c r="G347" s="6" t="inlineStr">
        <is>
          <t>app</t>
        </is>
      </c>
      <c r="H347" s="6" t="inlineStr">
        <is>
          <t>%</t>
        </is>
      </c>
      <c r="Q347" s="12">
        <f>BSHARE("appliances_share",DECILE_ARRAY,"Rural","p25")</f>
        <v/>
      </c>
    </row>
    <row r="348">
      <c r="D348" s="6" t="inlineStr">
        <is>
          <t>p75</t>
        </is>
      </c>
      <c r="E348" s="6" t="inlineStr">
        <is>
          <t>Overall</t>
        </is>
      </c>
      <c r="F348" s="6" t="inlineStr">
        <is>
          <t>Basket</t>
        </is>
      </c>
      <c r="G348" s="6" t="inlineStr">
        <is>
          <t>app</t>
        </is>
      </c>
      <c r="H348" s="6" t="inlineStr">
        <is>
          <t>%</t>
        </is>
      </c>
      <c r="P348" s="12">
        <f>BSHARE("appliances_share",0,"Overall","p75")</f>
        <v/>
      </c>
    </row>
    <row r="349">
      <c r="D349" s="6" t="inlineStr">
        <is>
          <t>p75</t>
        </is>
      </c>
      <c r="E349" s="6" t="inlineStr">
        <is>
          <t>Overall</t>
        </is>
      </c>
      <c r="F349" s="6" t="inlineStr">
        <is>
          <t>Deciles</t>
        </is>
      </c>
      <c r="G349" s="6" t="inlineStr">
        <is>
          <t>app</t>
        </is>
      </c>
      <c r="H349" s="6" t="inlineStr">
        <is>
          <t>%</t>
        </is>
      </c>
      <c r="Q349" s="12">
        <f>BSHARE("appliances_share",DECILE_ARRAY,"Overall","p75")</f>
        <v/>
      </c>
    </row>
    <row r="350">
      <c r="D350" s="6" t="inlineStr">
        <is>
          <t>p75</t>
        </is>
      </c>
      <c r="E350" s="6" t="inlineStr">
        <is>
          <t>Urban</t>
        </is>
      </c>
      <c r="F350" s="6" t="inlineStr">
        <is>
          <t>Basket</t>
        </is>
      </c>
      <c r="G350" s="6" t="inlineStr">
        <is>
          <t>app</t>
        </is>
      </c>
      <c r="H350" s="6" t="inlineStr">
        <is>
          <t>%</t>
        </is>
      </c>
      <c r="P350" s="12">
        <f>BSHARE("appliances_share",0,"Urban","p75")</f>
        <v/>
      </c>
    </row>
    <row r="351">
      <c r="D351" s="6" t="inlineStr">
        <is>
          <t>p75</t>
        </is>
      </c>
      <c r="E351" s="6" t="inlineStr">
        <is>
          <t>Urban</t>
        </is>
      </c>
      <c r="F351" s="6" t="inlineStr">
        <is>
          <t>Deciles</t>
        </is>
      </c>
      <c r="G351" s="6" t="inlineStr">
        <is>
          <t>app</t>
        </is>
      </c>
      <c r="H351" s="6" t="inlineStr">
        <is>
          <t>%</t>
        </is>
      </c>
      <c r="Q351" s="12">
        <f>BSHARE("appliances_share",DECILE_ARRAY,"Urban","p75")</f>
        <v/>
      </c>
    </row>
    <row r="352">
      <c r="D352" s="6" t="inlineStr">
        <is>
          <t>p75</t>
        </is>
      </c>
      <c r="E352" s="6" t="inlineStr">
        <is>
          <t>Rural</t>
        </is>
      </c>
      <c r="F352" s="6" t="inlineStr">
        <is>
          <t>Basket</t>
        </is>
      </c>
      <c r="G352" s="6" t="inlineStr">
        <is>
          <t>app</t>
        </is>
      </c>
      <c r="H352" s="6" t="inlineStr">
        <is>
          <t>%</t>
        </is>
      </c>
      <c r="P352" s="12">
        <f>BSHARE("appliances_share",0,"Rural","p75")</f>
        <v/>
      </c>
    </row>
    <row r="353">
      <c r="D353" s="6" t="inlineStr">
        <is>
          <t>p75</t>
        </is>
      </c>
      <c r="E353" s="6" t="inlineStr">
        <is>
          <t>Rural</t>
        </is>
      </c>
      <c r="F353" s="6" t="inlineStr">
        <is>
          <t>Deciles</t>
        </is>
      </c>
      <c r="G353" s="6" t="inlineStr">
        <is>
          <t>app</t>
        </is>
      </c>
      <c r="H353" s="6" t="inlineStr">
        <is>
          <t>%</t>
        </is>
      </c>
      <c r="Q353" s="12">
        <f>BSHARE("appliances_share",DECILE_ARRAY,"Rural","p75")</f>
        <v/>
      </c>
    </row>
    <row r="354"/>
    <row r="355">
      <c r="C355" s="7" t="inlineStr">
        <is>
          <t>Chemicals Budget Share (% Total Consumption)</t>
        </is>
      </c>
      <c r="G355" s="6" t="inlineStr">
        <is>
          <t>che</t>
        </is>
      </c>
      <c r="O355" s="8" t="inlineStr">
        <is>
          <t>Decile --&gt;</t>
        </is>
      </c>
      <c r="Q355" s="8" t="n">
        <v>1</v>
      </c>
      <c r="R355" s="8" t="n">
        <v>2</v>
      </c>
      <c r="S355" s="8" t="n">
        <v>3</v>
      </c>
      <c r="T355" s="8" t="n">
        <v>4</v>
      </c>
      <c r="U355" s="8" t="n">
        <v>5</v>
      </c>
      <c r="V355" s="8" t="n">
        <v>6</v>
      </c>
      <c r="W355" s="8" t="n">
        <v>7</v>
      </c>
      <c r="X355" s="8" t="n">
        <v>8</v>
      </c>
      <c r="Y355" s="8" t="n">
        <v>9</v>
      </c>
      <c r="Z355" s="8" t="n">
        <v>10</v>
      </c>
    </row>
    <row r="356">
      <c r="D356" s="6" t="inlineStr">
        <is>
          <t>mean</t>
        </is>
      </c>
      <c r="E356" s="6" t="inlineStr">
        <is>
          <t>Overall</t>
        </is>
      </c>
      <c r="F356" s="6" t="inlineStr">
        <is>
          <t>Basket</t>
        </is>
      </c>
      <c r="G356" s="6" t="inlineStr">
        <is>
          <t>che</t>
        </is>
      </c>
      <c r="H356" s="6" t="inlineStr">
        <is>
          <t>%</t>
        </is>
      </c>
      <c r="P356" s="12">
        <f>BSHARE("chemicals_share",0,"Overall","mean")</f>
        <v/>
      </c>
    </row>
    <row r="357">
      <c r="D357" s="6" t="inlineStr">
        <is>
          <t>mean</t>
        </is>
      </c>
      <c r="E357" s="6" t="inlineStr">
        <is>
          <t>Overall</t>
        </is>
      </c>
      <c r="F357" s="6" t="inlineStr">
        <is>
          <t>Deciles</t>
        </is>
      </c>
      <c r="G357" s="6" t="inlineStr">
        <is>
          <t>che</t>
        </is>
      </c>
      <c r="H357" s="6" t="inlineStr">
        <is>
          <t>%</t>
        </is>
      </c>
      <c r="Q357" s="12">
        <f>BSHARE("chemicals_share",DECILE_ARRAY,"Overall","mean")</f>
        <v/>
      </c>
    </row>
    <row r="358">
      <c r="D358" s="6" t="inlineStr">
        <is>
          <t>mean</t>
        </is>
      </c>
      <c r="E358" s="6" t="inlineStr">
        <is>
          <t>Urban</t>
        </is>
      </c>
      <c r="F358" s="6" t="inlineStr">
        <is>
          <t>Basket</t>
        </is>
      </c>
      <c r="G358" s="6" t="inlineStr">
        <is>
          <t>che</t>
        </is>
      </c>
      <c r="H358" s="6" t="inlineStr">
        <is>
          <t>%</t>
        </is>
      </c>
      <c r="P358" s="12">
        <f>BSHARE("chemicals_share",0,"Urban","mean")</f>
        <v/>
      </c>
    </row>
    <row r="359">
      <c r="D359" s="6" t="inlineStr">
        <is>
          <t>mean</t>
        </is>
      </c>
      <c r="E359" s="6" t="inlineStr">
        <is>
          <t>Urban</t>
        </is>
      </c>
      <c r="F359" s="6" t="inlineStr">
        <is>
          <t>Deciles</t>
        </is>
      </c>
      <c r="G359" s="6" t="inlineStr">
        <is>
          <t>che</t>
        </is>
      </c>
      <c r="H359" s="6" t="inlineStr">
        <is>
          <t>%</t>
        </is>
      </c>
      <c r="Q359" s="12">
        <f>BSHARE("chemicals_share",DECILE_ARRAY,"Urban","mean")</f>
        <v/>
      </c>
    </row>
    <row r="360">
      <c r="D360" s="6" t="inlineStr">
        <is>
          <t>mean</t>
        </is>
      </c>
      <c r="E360" s="6" t="inlineStr">
        <is>
          <t>Rural</t>
        </is>
      </c>
      <c r="F360" s="6" t="inlineStr">
        <is>
          <t>Basket</t>
        </is>
      </c>
      <c r="G360" s="6" t="inlineStr">
        <is>
          <t>che</t>
        </is>
      </c>
      <c r="H360" s="6" t="inlineStr">
        <is>
          <t>%</t>
        </is>
      </c>
      <c r="P360" s="12">
        <f>BSHARE("chemicals_share",0,"Rural","mean")</f>
        <v/>
      </c>
    </row>
    <row r="361">
      <c r="D361" s="6" t="inlineStr">
        <is>
          <t>mean</t>
        </is>
      </c>
      <c r="E361" s="6" t="inlineStr">
        <is>
          <t>Rural</t>
        </is>
      </c>
      <c r="F361" s="6" t="inlineStr">
        <is>
          <t>Deciles</t>
        </is>
      </c>
      <c r="G361" s="6" t="inlineStr">
        <is>
          <t>che</t>
        </is>
      </c>
      <c r="H361" s="6" t="inlineStr">
        <is>
          <t>%</t>
        </is>
      </c>
      <c r="Q361" s="12">
        <f>BSHARE("chemicals_share",DECILE_ARRAY,"Rural","mean")</f>
        <v/>
      </c>
    </row>
    <row r="362">
      <c r="D362" s="6" t="inlineStr">
        <is>
          <t>median</t>
        </is>
      </c>
      <c r="E362" s="6" t="inlineStr">
        <is>
          <t>Overall</t>
        </is>
      </c>
      <c r="F362" s="6" t="inlineStr">
        <is>
          <t>Basket</t>
        </is>
      </c>
      <c r="G362" s="6" t="inlineStr">
        <is>
          <t>che</t>
        </is>
      </c>
      <c r="H362" s="6" t="inlineStr">
        <is>
          <t>%</t>
        </is>
      </c>
      <c r="P362" s="12">
        <f>BSHARE("chemicals_share",0,"Overall","median")</f>
        <v/>
      </c>
    </row>
    <row r="363">
      <c r="D363" s="6" t="inlineStr">
        <is>
          <t>median</t>
        </is>
      </c>
      <c r="E363" s="6" t="inlineStr">
        <is>
          <t>Overall</t>
        </is>
      </c>
      <c r="F363" s="6" t="inlineStr">
        <is>
          <t>Deciles</t>
        </is>
      </c>
      <c r="G363" s="6" t="inlineStr">
        <is>
          <t>che</t>
        </is>
      </c>
      <c r="H363" s="6" t="inlineStr">
        <is>
          <t>%</t>
        </is>
      </c>
      <c r="Q363" s="12">
        <f>BSHARE("chemicals_share",DECILE_ARRAY,"Overall","median")</f>
        <v/>
      </c>
    </row>
    <row r="364">
      <c r="D364" s="6" t="inlineStr">
        <is>
          <t>median</t>
        </is>
      </c>
      <c r="E364" s="6" t="inlineStr">
        <is>
          <t>Urban</t>
        </is>
      </c>
      <c r="F364" s="6" t="inlineStr">
        <is>
          <t>Basket</t>
        </is>
      </c>
      <c r="G364" s="6" t="inlineStr">
        <is>
          <t>che</t>
        </is>
      </c>
      <c r="H364" s="6" t="inlineStr">
        <is>
          <t>%</t>
        </is>
      </c>
      <c r="P364" s="12">
        <f>BSHARE("chemicals_share",0,"Urban","median")</f>
        <v/>
      </c>
    </row>
    <row r="365">
      <c r="D365" s="6" t="inlineStr">
        <is>
          <t>median</t>
        </is>
      </c>
      <c r="E365" s="6" t="inlineStr">
        <is>
          <t>Urban</t>
        </is>
      </c>
      <c r="F365" s="6" t="inlineStr">
        <is>
          <t>Deciles</t>
        </is>
      </c>
      <c r="G365" s="6" t="inlineStr">
        <is>
          <t>che</t>
        </is>
      </c>
      <c r="H365" s="6" t="inlineStr">
        <is>
          <t>%</t>
        </is>
      </c>
      <c r="Q365" s="12">
        <f>BSHARE("chemicals_share",DECILE_ARRAY,"Urban","median")</f>
        <v/>
      </c>
    </row>
    <row r="366">
      <c r="D366" s="6" t="inlineStr">
        <is>
          <t>median</t>
        </is>
      </c>
      <c r="E366" s="6" t="inlineStr">
        <is>
          <t>Rural</t>
        </is>
      </c>
      <c r="F366" s="6" t="inlineStr">
        <is>
          <t>Basket</t>
        </is>
      </c>
      <c r="G366" s="6" t="inlineStr">
        <is>
          <t>che</t>
        </is>
      </c>
      <c r="H366" s="6" t="inlineStr">
        <is>
          <t>%</t>
        </is>
      </c>
      <c r="P366" s="12">
        <f>BSHARE("chemicals_share",0,"Rural","median")</f>
        <v/>
      </c>
    </row>
    <row r="367">
      <c r="D367" s="6" t="inlineStr">
        <is>
          <t>median</t>
        </is>
      </c>
      <c r="E367" s="6" t="inlineStr">
        <is>
          <t>Rural</t>
        </is>
      </c>
      <c r="F367" s="6" t="inlineStr">
        <is>
          <t>Deciles</t>
        </is>
      </c>
      <c r="G367" s="6" t="inlineStr">
        <is>
          <t>che</t>
        </is>
      </c>
      <c r="H367" s="6" t="inlineStr">
        <is>
          <t>%</t>
        </is>
      </c>
      <c r="Q367" s="12">
        <f>BSHARE("chemicals_share",DECILE_ARRAY,"Rural","median")</f>
        <v/>
      </c>
    </row>
    <row r="368">
      <c r="D368" s="6" t="inlineStr">
        <is>
          <t>p25</t>
        </is>
      </c>
      <c r="E368" s="6" t="inlineStr">
        <is>
          <t>Overall</t>
        </is>
      </c>
      <c r="F368" s="6" t="inlineStr">
        <is>
          <t>Basket</t>
        </is>
      </c>
      <c r="G368" s="6" t="inlineStr">
        <is>
          <t>che</t>
        </is>
      </c>
      <c r="H368" s="6" t="inlineStr">
        <is>
          <t>%</t>
        </is>
      </c>
      <c r="P368" s="12">
        <f>BSHARE("chemicals_share",0,"Overall","p25")</f>
        <v/>
      </c>
    </row>
    <row r="369">
      <c r="D369" s="6" t="inlineStr">
        <is>
          <t>p25</t>
        </is>
      </c>
      <c r="E369" s="6" t="inlineStr">
        <is>
          <t>Overall</t>
        </is>
      </c>
      <c r="F369" s="6" t="inlineStr">
        <is>
          <t>Deciles</t>
        </is>
      </c>
      <c r="G369" s="6" t="inlineStr">
        <is>
          <t>che</t>
        </is>
      </c>
      <c r="H369" s="6" t="inlineStr">
        <is>
          <t>%</t>
        </is>
      </c>
      <c r="Q369" s="12">
        <f>BSHARE("chemicals_share",DECILE_ARRAY,"Overall","p25")</f>
        <v/>
      </c>
    </row>
    <row r="370">
      <c r="D370" s="6" t="inlineStr">
        <is>
          <t>p25</t>
        </is>
      </c>
      <c r="E370" s="6" t="inlineStr">
        <is>
          <t>Urban</t>
        </is>
      </c>
      <c r="F370" s="6" t="inlineStr">
        <is>
          <t>Basket</t>
        </is>
      </c>
      <c r="G370" s="6" t="inlineStr">
        <is>
          <t>che</t>
        </is>
      </c>
      <c r="H370" s="6" t="inlineStr">
        <is>
          <t>%</t>
        </is>
      </c>
      <c r="P370" s="12">
        <f>BSHARE("chemicals_share",0,"Urban","p25")</f>
        <v/>
      </c>
    </row>
    <row r="371">
      <c r="D371" s="6" t="inlineStr">
        <is>
          <t>p25</t>
        </is>
      </c>
      <c r="E371" s="6" t="inlineStr">
        <is>
          <t>Urban</t>
        </is>
      </c>
      <c r="F371" s="6" t="inlineStr">
        <is>
          <t>Deciles</t>
        </is>
      </c>
      <c r="G371" s="6" t="inlineStr">
        <is>
          <t>che</t>
        </is>
      </c>
      <c r="H371" s="6" t="inlineStr">
        <is>
          <t>%</t>
        </is>
      </c>
      <c r="Q371" s="12">
        <f>BSHARE("chemicals_share",DECILE_ARRAY,"Urban","p25")</f>
        <v/>
      </c>
    </row>
    <row r="372">
      <c r="D372" s="6" t="inlineStr">
        <is>
          <t>p25</t>
        </is>
      </c>
      <c r="E372" s="6" t="inlineStr">
        <is>
          <t>Rural</t>
        </is>
      </c>
      <c r="F372" s="6" t="inlineStr">
        <is>
          <t>Basket</t>
        </is>
      </c>
      <c r="G372" s="6" t="inlineStr">
        <is>
          <t>che</t>
        </is>
      </c>
      <c r="H372" s="6" t="inlineStr">
        <is>
          <t>%</t>
        </is>
      </c>
      <c r="P372" s="12">
        <f>BSHARE("chemicals_share",0,"Rural","p25")</f>
        <v/>
      </c>
    </row>
    <row r="373">
      <c r="D373" s="6" t="inlineStr">
        <is>
          <t>p25</t>
        </is>
      </c>
      <c r="E373" s="6" t="inlineStr">
        <is>
          <t>Rural</t>
        </is>
      </c>
      <c r="F373" s="6" t="inlineStr">
        <is>
          <t>Deciles</t>
        </is>
      </c>
      <c r="G373" s="6" t="inlineStr">
        <is>
          <t>che</t>
        </is>
      </c>
      <c r="H373" s="6" t="inlineStr">
        <is>
          <t>%</t>
        </is>
      </c>
      <c r="Q373" s="12">
        <f>BSHARE("chemicals_share",DECILE_ARRAY,"Rural","p25")</f>
        <v/>
      </c>
    </row>
    <row r="374">
      <c r="D374" s="6" t="inlineStr">
        <is>
          <t>p75</t>
        </is>
      </c>
      <c r="E374" s="6" t="inlineStr">
        <is>
          <t>Overall</t>
        </is>
      </c>
      <c r="F374" s="6" t="inlineStr">
        <is>
          <t>Basket</t>
        </is>
      </c>
      <c r="G374" s="6" t="inlineStr">
        <is>
          <t>che</t>
        </is>
      </c>
      <c r="H374" s="6" t="inlineStr">
        <is>
          <t>%</t>
        </is>
      </c>
      <c r="P374" s="12">
        <f>BSHARE("chemicals_share",0,"Overall","p75")</f>
        <v/>
      </c>
    </row>
    <row r="375">
      <c r="D375" s="6" t="inlineStr">
        <is>
          <t>p75</t>
        </is>
      </c>
      <c r="E375" s="6" t="inlineStr">
        <is>
          <t>Overall</t>
        </is>
      </c>
      <c r="F375" s="6" t="inlineStr">
        <is>
          <t>Deciles</t>
        </is>
      </c>
      <c r="G375" s="6" t="inlineStr">
        <is>
          <t>che</t>
        </is>
      </c>
      <c r="H375" s="6" t="inlineStr">
        <is>
          <t>%</t>
        </is>
      </c>
      <c r="Q375" s="12">
        <f>BSHARE("chemicals_share",DECILE_ARRAY,"Overall","p75")</f>
        <v/>
      </c>
    </row>
    <row r="376">
      <c r="D376" s="6" t="inlineStr">
        <is>
          <t>p75</t>
        </is>
      </c>
      <c r="E376" s="6" t="inlineStr">
        <is>
          <t>Urban</t>
        </is>
      </c>
      <c r="F376" s="6" t="inlineStr">
        <is>
          <t>Basket</t>
        </is>
      </c>
      <c r="G376" s="6" t="inlineStr">
        <is>
          <t>che</t>
        </is>
      </c>
      <c r="H376" s="6" t="inlineStr">
        <is>
          <t>%</t>
        </is>
      </c>
      <c r="P376" s="12">
        <f>BSHARE("chemicals_share",0,"Urban","p75")</f>
        <v/>
      </c>
    </row>
    <row r="377">
      <c r="D377" s="6" t="inlineStr">
        <is>
          <t>p75</t>
        </is>
      </c>
      <c r="E377" s="6" t="inlineStr">
        <is>
          <t>Urban</t>
        </is>
      </c>
      <c r="F377" s="6" t="inlineStr">
        <is>
          <t>Deciles</t>
        </is>
      </c>
      <c r="G377" s="6" t="inlineStr">
        <is>
          <t>che</t>
        </is>
      </c>
      <c r="H377" s="6" t="inlineStr">
        <is>
          <t>%</t>
        </is>
      </c>
      <c r="Q377" s="12">
        <f>BSHARE("chemicals_share",DECILE_ARRAY,"Urban","p75")</f>
        <v/>
      </c>
    </row>
    <row r="378">
      <c r="D378" s="6" t="inlineStr">
        <is>
          <t>p75</t>
        </is>
      </c>
      <c r="E378" s="6" t="inlineStr">
        <is>
          <t>Rural</t>
        </is>
      </c>
      <c r="F378" s="6" t="inlineStr">
        <is>
          <t>Basket</t>
        </is>
      </c>
      <c r="G378" s="6" t="inlineStr">
        <is>
          <t>che</t>
        </is>
      </c>
      <c r="H378" s="6" t="inlineStr">
        <is>
          <t>%</t>
        </is>
      </c>
      <c r="P378" s="12">
        <f>BSHARE("chemicals_share",0,"Rural","p75")</f>
        <v/>
      </c>
    </row>
    <row r="379">
      <c r="D379" s="6" t="inlineStr">
        <is>
          <t>p75</t>
        </is>
      </c>
      <c r="E379" s="6" t="inlineStr">
        <is>
          <t>Rural</t>
        </is>
      </c>
      <c r="F379" s="6" t="inlineStr">
        <is>
          <t>Deciles</t>
        </is>
      </c>
      <c r="G379" s="6" t="inlineStr">
        <is>
          <t>che</t>
        </is>
      </c>
      <c r="H379" s="6" t="inlineStr">
        <is>
          <t>%</t>
        </is>
      </c>
      <c r="Q379" s="12">
        <f>BSHARE("chemicals_share",DECILE_ARRAY,"Rural","p75")</f>
        <v/>
      </c>
    </row>
    <row r="380"/>
    <row r="381">
      <c r="C381" s="7" t="inlineStr">
        <is>
          <t>Clothing Budget Share (% Total Consumption)</t>
        </is>
      </c>
      <c r="G381" s="6" t="inlineStr">
        <is>
          <t>clo</t>
        </is>
      </c>
      <c r="O381" s="8" t="inlineStr">
        <is>
          <t>Decile --&gt;</t>
        </is>
      </c>
      <c r="Q381" s="8" t="n">
        <v>1</v>
      </c>
      <c r="R381" s="8" t="n">
        <v>2</v>
      </c>
      <c r="S381" s="8" t="n">
        <v>3</v>
      </c>
      <c r="T381" s="8" t="n">
        <v>4</v>
      </c>
      <c r="U381" s="8" t="n">
        <v>5</v>
      </c>
      <c r="V381" s="8" t="n">
        <v>6</v>
      </c>
      <c r="W381" s="8" t="n">
        <v>7</v>
      </c>
      <c r="X381" s="8" t="n">
        <v>8</v>
      </c>
      <c r="Y381" s="8" t="n">
        <v>9</v>
      </c>
      <c r="Z381" s="8" t="n">
        <v>10</v>
      </c>
    </row>
    <row r="382">
      <c r="D382" s="6" t="inlineStr">
        <is>
          <t>mean</t>
        </is>
      </c>
      <c r="E382" s="6" t="inlineStr">
        <is>
          <t>Overall</t>
        </is>
      </c>
      <c r="F382" s="6" t="inlineStr">
        <is>
          <t>Basket</t>
        </is>
      </c>
      <c r="G382" s="6" t="inlineStr">
        <is>
          <t>clo</t>
        </is>
      </c>
      <c r="H382" s="6" t="inlineStr">
        <is>
          <t>%</t>
        </is>
      </c>
      <c r="P382" s="12">
        <f>BSHARE("clothing_share",0,"Overall","mean")</f>
        <v/>
      </c>
    </row>
    <row r="383">
      <c r="D383" s="6" t="inlineStr">
        <is>
          <t>mean</t>
        </is>
      </c>
      <c r="E383" s="6" t="inlineStr">
        <is>
          <t>Overall</t>
        </is>
      </c>
      <c r="F383" s="6" t="inlineStr">
        <is>
          <t>Deciles</t>
        </is>
      </c>
      <c r="G383" s="6" t="inlineStr">
        <is>
          <t>clo</t>
        </is>
      </c>
      <c r="H383" s="6" t="inlineStr">
        <is>
          <t>%</t>
        </is>
      </c>
      <c r="Q383" s="12">
        <f>BSHARE("clothing_share",DECILE_ARRAY,"Overall","mean")</f>
        <v/>
      </c>
    </row>
    <row r="384">
      <c r="D384" s="6" t="inlineStr">
        <is>
          <t>mean</t>
        </is>
      </c>
      <c r="E384" s="6" t="inlineStr">
        <is>
          <t>Urban</t>
        </is>
      </c>
      <c r="F384" s="6" t="inlineStr">
        <is>
          <t>Basket</t>
        </is>
      </c>
      <c r="G384" s="6" t="inlineStr">
        <is>
          <t>clo</t>
        </is>
      </c>
      <c r="H384" s="6" t="inlineStr">
        <is>
          <t>%</t>
        </is>
      </c>
      <c r="P384" s="12">
        <f>BSHARE("clothing_share",0,"Urban","mean")</f>
        <v/>
      </c>
    </row>
    <row r="385">
      <c r="D385" s="6" t="inlineStr">
        <is>
          <t>mean</t>
        </is>
      </c>
      <c r="E385" s="6" t="inlineStr">
        <is>
          <t>Urban</t>
        </is>
      </c>
      <c r="F385" s="6" t="inlineStr">
        <is>
          <t>Deciles</t>
        </is>
      </c>
      <c r="G385" s="6" t="inlineStr">
        <is>
          <t>clo</t>
        </is>
      </c>
      <c r="H385" s="6" t="inlineStr">
        <is>
          <t>%</t>
        </is>
      </c>
      <c r="Q385" s="12">
        <f>BSHARE("clothing_share",DECILE_ARRAY,"Urban","mean")</f>
        <v/>
      </c>
    </row>
    <row r="386">
      <c r="D386" s="6" t="inlineStr">
        <is>
          <t>mean</t>
        </is>
      </c>
      <c r="E386" s="6" t="inlineStr">
        <is>
          <t>Rural</t>
        </is>
      </c>
      <c r="F386" s="6" t="inlineStr">
        <is>
          <t>Basket</t>
        </is>
      </c>
      <c r="G386" s="6" t="inlineStr">
        <is>
          <t>clo</t>
        </is>
      </c>
      <c r="H386" s="6" t="inlineStr">
        <is>
          <t>%</t>
        </is>
      </c>
      <c r="P386" s="12">
        <f>BSHARE("clothing_share",0,"Rural","mean")</f>
        <v/>
      </c>
    </row>
    <row r="387">
      <c r="D387" s="6" t="inlineStr">
        <is>
          <t>mean</t>
        </is>
      </c>
      <c r="E387" s="6" t="inlineStr">
        <is>
          <t>Rural</t>
        </is>
      </c>
      <c r="F387" s="6" t="inlineStr">
        <is>
          <t>Deciles</t>
        </is>
      </c>
      <c r="G387" s="6" t="inlineStr">
        <is>
          <t>clo</t>
        </is>
      </c>
      <c r="H387" s="6" t="inlineStr">
        <is>
          <t>%</t>
        </is>
      </c>
      <c r="Q387" s="12">
        <f>BSHARE("clothing_share",DECILE_ARRAY,"Rural","mean")</f>
        <v/>
      </c>
    </row>
    <row r="388">
      <c r="D388" s="6" t="inlineStr">
        <is>
          <t>median</t>
        </is>
      </c>
      <c r="E388" s="6" t="inlineStr">
        <is>
          <t>Overall</t>
        </is>
      </c>
      <c r="F388" s="6" t="inlineStr">
        <is>
          <t>Basket</t>
        </is>
      </c>
      <c r="G388" s="6" t="inlineStr">
        <is>
          <t>clo</t>
        </is>
      </c>
      <c r="H388" s="6" t="inlineStr">
        <is>
          <t>%</t>
        </is>
      </c>
      <c r="P388" s="12">
        <f>BSHARE("clothing_share",0,"Overall","median")</f>
        <v/>
      </c>
    </row>
    <row r="389">
      <c r="D389" s="6" t="inlineStr">
        <is>
          <t>median</t>
        </is>
      </c>
      <c r="E389" s="6" t="inlineStr">
        <is>
          <t>Overall</t>
        </is>
      </c>
      <c r="F389" s="6" t="inlineStr">
        <is>
          <t>Deciles</t>
        </is>
      </c>
      <c r="G389" s="6" t="inlineStr">
        <is>
          <t>clo</t>
        </is>
      </c>
      <c r="H389" s="6" t="inlineStr">
        <is>
          <t>%</t>
        </is>
      </c>
      <c r="Q389" s="12">
        <f>BSHARE("clothing_share",DECILE_ARRAY,"Overall","median")</f>
        <v/>
      </c>
    </row>
    <row r="390">
      <c r="D390" s="6" t="inlineStr">
        <is>
          <t>median</t>
        </is>
      </c>
      <c r="E390" s="6" t="inlineStr">
        <is>
          <t>Urban</t>
        </is>
      </c>
      <c r="F390" s="6" t="inlineStr">
        <is>
          <t>Basket</t>
        </is>
      </c>
      <c r="G390" s="6" t="inlineStr">
        <is>
          <t>clo</t>
        </is>
      </c>
      <c r="H390" s="6" t="inlineStr">
        <is>
          <t>%</t>
        </is>
      </c>
      <c r="P390" s="12">
        <f>BSHARE("clothing_share",0,"Urban","median")</f>
        <v/>
      </c>
    </row>
    <row r="391">
      <c r="D391" s="6" t="inlineStr">
        <is>
          <t>median</t>
        </is>
      </c>
      <c r="E391" s="6" t="inlineStr">
        <is>
          <t>Urban</t>
        </is>
      </c>
      <c r="F391" s="6" t="inlineStr">
        <is>
          <t>Deciles</t>
        </is>
      </c>
      <c r="G391" s="6" t="inlineStr">
        <is>
          <t>clo</t>
        </is>
      </c>
      <c r="H391" s="6" t="inlineStr">
        <is>
          <t>%</t>
        </is>
      </c>
      <c r="Q391" s="12">
        <f>BSHARE("clothing_share",DECILE_ARRAY,"Urban","median")</f>
        <v/>
      </c>
    </row>
    <row r="392">
      <c r="D392" s="6" t="inlineStr">
        <is>
          <t>median</t>
        </is>
      </c>
      <c r="E392" s="6" t="inlineStr">
        <is>
          <t>Rural</t>
        </is>
      </c>
      <c r="F392" s="6" t="inlineStr">
        <is>
          <t>Basket</t>
        </is>
      </c>
      <c r="G392" s="6" t="inlineStr">
        <is>
          <t>clo</t>
        </is>
      </c>
      <c r="H392" s="6" t="inlineStr">
        <is>
          <t>%</t>
        </is>
      </c>
      <c r="P392" s="12">
        <f>BSHARE("clothing_share",0,"Rural","median")</f>
        <v/>
      </c>
    </row>
    <row r="393">
      <c r="D393" s="6" t="inlineStr">
        <is>
          <t>median</t>
        </is>
      </c>
      <c r="E393" s="6" t="inlineStr">
        <is>
          <t>Rural</t>
        </is>
      </c>
      <c r="F393" s="6" t="inlineStr">
        <is>
          <t>Deciles</t>
        </is>
      </c>
      <c r="G393" s="6" t="inlineStr">
        <is>
          <t>clo</t>
        </is>
      </c>
      <c r="H393" s="6" t="inlineStr">
        <is>
          <t>%</t>
        </is>
      </c>
      <c r="Q393" s="12">
        <f>BSHARE("clothing_share",DECILE_ARRAY,"Rural","median")</f>
        <v/>
      </c>
    </row>
    <row r="394">
      <c r="D394" s="6" t="inlineStr">
        <is>
          <t>p25</t>
        </is>
      </c>
      <c r="E394" s="6" t="inlineStr">
        <is>
          <t>Overall</t>
        </is>
      </c>
      <c r="F394" s="6" t="inlineStr">
        <is>
          <t>Basket</t>
        </is>
      </c>
      <c r="G394" s="6" t="inlineStr">
        <is>
          <t>clo</t>
        </is>
      </c>
      <c r="H394" s="6" t="inlineStr">
        <is>
          <t>%</t>
        </is>
      </c>
      <c r="P394" s="12">
        <f>BSHARE("clothing_share",0,"Overall","p25")</f>
        <v/>
      </c>
    </row>
    <row r="395">
      <c r="D395" s="6" t="inlineStr">
        <is>
          <t>p25</t>
        </is>
      </c>
      <c r="E395" s="6" t="inlineStr">
        <is>
          <t>Overall</t>
        </is>
      </c>
      <c r="F395" s="6" t="inlineStr">
        <is>
          <t>Deciles</t>
        </is>
      </c>
      <c r="G395" s="6" t="inlineStr">
        <is>
          <t>clo</t>
        </is>
      </c>
      <c r="H395" s="6" t="inlineStr">
        <is>
          <t>%</t>
        </is>
      </c>
      <c r="Q395" s="12">
        <f>BSHARE("clothing_share",DECILE_ARRAY,"Overall","p25")</f>
        <v/>
      </c>
    </row>
    <row r="396">
      <c r="D396" s="6" t="inlineStr">
        <is>
          <t>p25</t>
        </is>
      </c>
      <c r="E396" s="6" t="inlineStr">
        <is>
          <t>Urban</t>
        </is>
      </c>
      <c r="F396" s="6" t="inlineStr">
        <is>
          <t>Basket</t>
        </is>
      </c>
      <c r="G396" s="6" t="inlineStr">
        <is>
          <t>clo</t>
        </is>
      </c>
      <c r="H396" s="6" t="inlineStr">
        <is>
          <t>%</t>
        </is>
      </c>
      <c r="P396" s="12">
        <f>BSHARE("clothing_share",0,"Urban","p25")</f>
        <v/>
      </c>
    </row>
    <row r="397">
      <c r="D397" s="6" t="inlineStr">
        <is>
          <t>p25</t>
        </is>
      </c>
      <c r="E397" s="6" t="inlineStr">
        <is>
          <t>Urban</t>
        </is>
      </c>
      <c r="F397" s="6" t="inlineStr">
        <is>
          <t>Deciles</t>
        </is>
      </c>
      <c r="G397" s="6" t="inlineStr">
        <is>
          <t>clo</t>
        </is>
      </c>
      <c r="H397" s="6" t="inlineStr">
        <is>
          <t>%</t>
        </is>
      </c>
      <c r="Q397" s="12">
        <f>BSHARE("clothing_share",DECILE_ARRAY,"Urban","p25")</f>
        <v/>
      </c>
    </row>
    <row r="398">
      <c r="D398" s="6" t="inlineStr">
        <is>
          <t>p25</t>
        </is>
      </c>
      <c r="E398" s="6" t="inlineStr">
        <is>
          <t>Rural</t>
        </is>
      </c>
      <c r="F398" s="6" t="inlineStr">
        <is>
          <t>Basket</t>
        </is>
      </c>
      <c r="G398" s="6" t="inlineStr">
        <is>
          <t>clo</t>
        </is>
      </c>
      <c r="H398" s="6" t="inlineStr">
        <is>
          <t>%</t>
        </is>
      </c>
      <c r="P398" s="12">
        <f>BSHARE("clothing_share",0,"Rural","p25")</f>
        <v/>
      </c>
    </row>
    <row r="399">
      <c r="D399" s="6" t="inlineStr">
        <is>
          <t>p25</t>
        </is>
      </c>
      <c r="E399" s="6" t="inlineStr">
        <is>
          <t>Rural</t>
        </is>
      </c>
      <c r="F399" s="6" t="inlineStr">
        <is>
          <t>Deciles</t>
        </is>
      </c>
      <c r="G399" s="6" t="inlineStr">
        <is>
          <t>clo</t>
        </is>
      </c>
      <c r="H399" s="6" t="inlineStr">
        <is>
          <t>%</t>
        </is>
      </c>
      <c r="Q399" s="12">
        <f>BSHARE("clothing_share",DECILE_ARRAY,"Rural","p25")</f>
        <v/>
      </c>
    </row>
    <row r="400">
      <c r="D400" s="6" t="inlineStr">
        <is>
          <t>p75</t>
        </is>
      </c>
      <c r="E400" s="6" t="inlineStr">
        <is>
          <t>Overall</t>
        </is>
      </c>
      <c r="F400" s="6" t="inlineStr">
        <is>
          <t>Basket</t>
        </is>
      </c>
      <c r="G400" s="6" t="inlineStr">
        <is>
          <t>clo</t>
        </is>
      </c>
      <c r="H400" s="6" t="inlineStr">
        <is>
          <t>%</t>
        </is>
      </c>
      <c r="P400" s="12">
        <f>BSHARE("clothing_share",0,"Overall","p75")</f>
        <v/>
      </c>
    </row>
    <row r="401">
      <c r="D401" s="6" t="inlineStr">
        <is>
          <t>p75</t>
        </is>
      </c>
      <c r="E401" s="6" t="inlineStr">
        <is>
          <t>Overall</t>
        </is>
      </c>
      <c r="F401" s="6" t="inlineStr">
        <is>
          <t>Deciles</t>
        </is>
      </c>
      <c r="G401" s="6" t="inlineStr">
        <is>
          <t>clo</t>
        </is>
      </c>
      <c r="H401" s="6" t="inlineStr">
        <is>
          <t>%</t>
        </is>
      </c>
      <c r="Q401" s="12">
        <f>BSHARE("clothing_share",DECILE_ARRAY,"Overall","p75")</f>
        <v/>
      </c>
    </row>
    <row r="402">
      <c r="D402" s="6" t="inlineStr">
        <is>
          <t>p75</t>
        </is>
      </c>
      <c r="E402" s="6" t="inlineStr">
        <is>
          <t>Urban</t>
        </is>
      </c>
      <c r="F402" s="6" t="inlineStr">
        <is>
          <t>Basket</t>
        </is>
      </c>
      <c r="G402" s="6" t="inlineStr">
        <is>
          <t>clo</t>
        </is>
      </c>
      <c r="H402" s="6" t="inlineStr">
        <is>
          <t>%</t>
        </is>
      </c>
      <c r="P402" s="12">
        <f>BSHARE("clothing_share",0,"Urban","p75")</f>
        <v/>
      </c>
    </row>
    <row r="403">
      <c r="D403" s="6" t="inlineStr">
        <is>
          <t>p75</t>
        </is>
      </c>
      <c r="E403" s="6" t="inlineStr">
        <is>
          <t>Urban</t>
        </is>
      </c>
      <c r="F403" s="6" t="inlineStr">
        <is>
          <t>Deciles</t>
        </is>
      </c>
      <c r="G403" s="6" t="inlineStr">
        <is>
          <t>clo</t>
        </is>
      </c>
      <c r="H403" s="6" t="inlineStr">
        <is>
          <t>%</t>
        </is>
      </c>
      <c r="Q403" s="12">
        <f>BSHARE("clothing_share",DECILE_ARRAY,"Urban","p75")</f>
        <v/>
      </c>
    </row>
    <row r="404">
      <c r="D404" s="6" t="inlineStr">
        <is>
          <t>p75</t>
        </is>
      </c>
      <c r="E404" s="6" t="inlineStr">
        <is>
          <t>Rural</t>
        </is>
      </c>
      <c r="F404" s="6" t="inlineStr">
        <is>
          <t>Basket</t>
        </is>
      </c>
      <c r="G404" s="6" t="inlineStr">
        <is>
          <t>clo</t>
        </is>
      </c>
      <c r="H404" s="6" t="inlineStr">
        <is>
          <t>%</t>
        </is>
      </c>
      <c r="P404" s="12">
        <f>BSHARE("clothing_share",0,"Rural","p75")</f>
        <v/>
      </c>
    </row>
    <row r="405">
      <c r="D405" s="6" t="inlineStr">
        <is>
          <t>p75</t>
        </is>
      </c>
      <c r="E405" s="6" t="inlineStr">
        <is>
          <t>Rural</t>
        </is>
      </c>
      <c r="F405" s="6" t="inlineStr">
        <is>
          <t>Deciles</t>
        </is>
      </c>
      <c r="G405" s="6" t="inlineStr">
        <is>
          <t>clo</t>
        </is>
      </c>
      <c r="H405" s="6" t="inlineStr">
        <is>
          <t>%</t>
        </is>
      </c>
      <c r="Q405" s="12">
        <f>BSHARE("clothing_share",DECILE_ARRAY,"Rural","p75")</f>
        <v/>
      </c>
    </row>
    <row r="406"/>
    <row r="407">
      <c r="C407" s="7" t="inlineStr">
        <is>
          <t>Communications Budget Share (% Total Consumption)</t>
        </is>
      </c>
      <c r="G407" s="6" t="inlineStr">
        <is>
          <t>com</t>
        </is>
      </c>
      <c r="O407" s="8" t="inlineStr">
        <is>
          <t>Decile --&gt;</t>
        </is>
      </c>
      <c r="Q407" s="8" t="n">
        <v>1</v>
      </c>
      <c r="R407" s="8" t="n">
        <v>2</v>
      </c>
      <c r="S407" s="8" t="n">
        <v>3</v>
      </c>
      <c r="T407" s="8" t="n">
        <v>4</v>
      </c>
      <c r="U407" s="8" t="n">
        <v>5</v>
      </c>
      <c r="V407" s="8" t="n">
        <v>6</v>
      </c>
      <c r="W407" s="8" t="n">
        <v>7</v>
      </c>
      <c r="X407" s="8" t="n">
        <v>8</v>
      </c>
      <c r="Y407" s="8" t="n">
        <v>9</v>
      </c>
      <c r="Z407" s="8" t="n">
        <v>10</v>
      </c>
    </row>
    <row r="408">
      <c r="D408" s="6" t="inlineStr">
        <is>
          <t>mean</t>
        </is>
      </c>
      <c r="E408" s="6" t="inlineStr">
        <is>
          <t>Overall</t>
        </is>
      </c>
      <c r="F408" s="6" t="inlineStr">
        <is>
          <t>Basket</t>
        </is>
      </c>
      <c r="G408" s="6" t="inlineStr">
        <is>
          <t>com</t>
        </is>
      </c>
      <c r="H408" s="6" t="inlineStr">
        <is>
          <t>%</t>
        </is>
      </c>
      <c r="P408" s="12">
        <f>BSHARE("communications_share",0,"Overall","mean")</f>
        <v/>
      </c>
    </row>
    <row r="409">
      <c r="D409" s="6" t="inlineStr">
        <is>
          <t>mean</t>
        </is>
      </c>
      <c r="E409" s="6" t="inlineStr">
        <is>
          <t>Overall</t>
        </is>
      </c>
      <c r="F409" s="6" t="inlineStr">
        <is>
          <t>Deciles</t>
        </is>
      </c>
      <c r="G409" s="6" t="inlineStr">
        <is>
          <t>com</t>
        </is>
      </c>
      <c r="H409" s="6" t="inlineStr">
        <is>
          <t>%</t>
        </is>
      </c>
      <c r="Q409" s="12">
        <f>BSHARE("communications_share",DECILE_ARRAY,"Overall","mean")</f>
        <v/>
      </c>
    </row>
    <row r="410">
      <c r="D410" s="6" t="inlineStr">
        <is>
          <t>mean</t>
        </is>
      </c>
      <c r="E410" s="6" t="inlineStr">
        <is>
          <t>Urban</t>
        </is>
      </c>
      <c r="F410" s="6" t="inlineStr">
        <is>
          <t>Basket</t>
        </is>
      </c>
      <c r="G410" s="6" t="inlineStr">
        <is>
          <t>com</t>
        </is>
      </c>
      <c r="H410" s="6" t="inlineStr">
        <is>
          <t>%</t>
        </is>
      </c>
      <c r="P410" s="12">
        <f>BSHARE("communications_share",0,"Urban","mean")</f>
        <v/>
      </c>
    </row>
    <row r="411">
      <c r="D411" s="6" t="inlineStr">
        <is>
          <t>mean</t>
        </is>
      </c>
      <c r="E411" s="6" t="inlineStr">
        <is>
          <t>Urban</t>
        </is>
      </c>
      <c r="F411" s="6" t="inlineStr">
        <is>
          <t>Deciles</t>
        </is>
      </c>
      <c r="G411" s="6" t="inlineStr">
        <is>
          <t>com</t>
        </is>
      </c>
      <c r="H411" s="6" t="inlineStr">
        <is>
          <t>%</t>
        </is>
      </c>
      <c r="Q411" s="12">
        <f>BSHARE("communications_share",DECILE_ARRAY,"Urban","mean")</f>
        <v/>
      </c>
    </row>
    <row r="412">
      <c r="D412" s="6" t="inlineStr">
        <is>
          <t>mean</t>
        </is>
      </c>
      <c r="E412" s="6" t="inlineStr">
        <is>
          <t>Rural</t>
        </is>
      </c>
      <c r="F412" s="6" t="inlineStr">
        <is>
          <t>Basket</t>
        </is>
      </c>
      <c r="G412" s="6" t="inlineStr">
        <is>
          <t>com</t>
        </is>
      </c>
      <c r="H412" s="6" t="inlineStr">
        <is>
          <t>%</t>
        </is>
      </c>
      <c r="P412" s="12">
        <f>BSHARE("communications_share",0,"Rural","mean")</f>
        <v/>
      </c>
    </row>
    <row r="413">
      <c r="D413" s="6" t="inlineStr">
        <is>
          <t>mean</t>
        </is>
      </c>
      <c r="E413" s="6" t="inlineStr">
        <is>
          <t>Rural</t>
        </is>
      </c>
      <c r="F413" s="6" t="inlineStr">
        <is>
          <t>Deciles</t>
        </is>
      </c>
      <c r="G413" s="6" t="inlineStr">
        <is>
          <t>com</t>
        </is>
      </c>
      <c r="H413" s="6" t="inlineStr">
        <is>
          <t>%</t>
        </is>
      </c>
      <c r="Q413" s="12">
        <f>BSHARE("communications_share",DECILE_ARRAY,"Rural","mean")</f>
        <v/>
      </c>
    </row>
    <row r="414">
      <c r="D414" s="6" t="inlineStr">
        <is>
          <t>median</t>
        </is>
      </c>
      <c r="E414" s="6" t="inlineStr">
        <is>
          <t>Overall</t>
        </is>
      </c>
      <c r="F414" s="6" t="inlineStr">
        <is>
          <t>Basket</t>
        </is>
      </c>
      <c r="G414" s="6" t="inlineStr">
        <is>
          <t>com</t>
        </is>
      </c>
      <c r="H414" s="6" t="inlineStr">
        <is>
          <t>%</t>
        </is>
      </c>
      <c r="P414" s="12">
        <f>BSHARE("communications_share",0,"Overall","median")</f>
        <v/>
      </c>
    </row>
    <row r="415">
      <c r="D415" s="6" t="inlineStr">
        <is>
          <t>median</t>
        </is>
      </c>
      <c r="E415" s="6" t="inlineStr">
        <is>
          <t>Overall</t>
        </is>
      </c>
      <c r="F415" s="6" t="inlineStr">
        <is>
          <t>Deciles</t>
        </is>
      </c>
      <c r="G415" s="6" t="inlineStr">
        <is>
          <t>com</t>
        </is>
      </c>
      <c r="H415" s="6" t="inlineStr">
        <is>
          <t>%</t>
        </is>
      </c>
      <c r="Q415" s="12">
        <f>BSHARE("communications_share",DECILE_ARRAY,"Overall","median")</f>
        <v/>
      </c>
    </row>
    <row r="416">
      <c r="D416" s="6" t="inlineStr">
        <is>
          <t>median</t>
        </is>
      </c>
      <c r="E416" s="6" t="inlineStr">
        <is>
          <t>Urban</t>
        </is>
      </c>
      <c r="F416" s="6" t="inlineStr">
        <is>
          <t>Basket</t>
        </is>
      </c>
      <c r="G416" s="6" t="inlineStr">
        <is>
          <t>com</t>
        </is>
      </c>
      <c r="H416" s="6" t="inlineStr">
        <is>
          <t>%</t>
        </is>
      </c>
      <c r="P416" s="12">
        <f>BSHARE("communications_share",0,"Urban","median")</f>
        <v/>
      </c>
    </row>
    <row r="417">
      <c r="D417" s="6" t="inlineStr">
        <is>
          <t>median</t>
        </is>
      </c>
      <c r="E417" s="6" t="inlineStr">
        <is>
          <t>Urban</t>
        </is>
      </c>
      <c r="F417" s="6" t="inlineStr">
        <is>
          <t>Deciles</t>
        </is>
      </c>
      <c r="G417" s="6" t="inlineStr">
        <is>
          <t>com</t>
        </is>
      </c>
      <c r="H417" s="6" t="inlineStr">
        <is>
          <t>%</t>
        </is>
      </c>
      <c r="Q417" s="12">
        <f>BSHARE("communications_share",DECILE_ARRAY,"Urban","median")</f>
        <v/>
      </c>
    </row>
    <row r="418">
      <c r="D418" s="6" t="inlineStr">
        <is>
          <t>median</t>
        </is>
      </c>
      <c r="E418" s="6" t="inlineStr">
        <is>
          <t>Rural</t>
        </is>
      </c>
      <c r="F418" s="6" t="inlineStr">
        <is>
          <t>Basket</t>
        </is>
      </c>
      <c r="G418" s="6" t="inlineStr">
        <is>
          <t>com</t>
        </is>
      </c>
      <c r="H418" s="6" t="inlineStr">
        <is>
          <t>%</t>
        </is>
      </c>
      <c r="P418" s="12">
        <f>BSHARE("communications_share",0,"Rural","median")</f>
        <v/>
      </c>
    </row>
    <row r="419">
      <c r="D419" s="6" t="inlineStr">
        <is>
          <t>median</t>
        </is>
      </c>
      <c r="E419" s="6" t="inlineStr">
        <is>
          <t>Rural</t>
        </is>
      </c>
      <c r="F419" s="6" t="inlineStr">
        <is>
          <t>Deciles</t>
        </is>
      </c>
      <c r="G419" s="6" t="inlineStr">
        <is>
          <t>com</t>
        </is>
      </c>
      <c r="H419" s="6" t="inlineStr">
        <is>
          <t>%</t>
        </is>
      </c>
      <c r="Q419" s="12">
        <f>BSHARE("communications_share",DECILE_ARRAY,"Rural","median")</f>
        <v/>
      </c>
    </row>
    <row r="420">
      <c r="D420" s="6" t="inlineStr">
        <is>
          <t>p25</t>
        </is>
      </c>
      <c r="E420" s="6" t="inlineStr">
        <is>
          <t>Overall</t>
        </is>
      </c>
      <c r="F420" s="6" t="inlineStr">
        <is>
          <t>Basket</t>
        </is>
      </c>
      <c r="G420" s="6" t="inlineStr">
        <is>
          <t>com</t>
        </is>
      </c>
      <c r="H420" s="6" t="inlineStr">
        <is>
          <t>%</t>
        </is>
      </c>
      <c r="P420" s="12">
        <f>BSHARE("communications_share",0,"Overall","p25")</f>
        <v/>
      </c>
    </row>
    <row r="421">
      <c r="D421" s="6" t="inlineStr">
        <is>
          <t>p25</t>
        </is>
      </c>
      <c r="E421" s="6" t="inlineStr">
        <is>
          <t>Overall</t>
        </is>
      </c>
      <c r="F421" s="6" t="inlineStr">
        <is>
          <t>Deciles</t>
        </is>
      </c>
      <c r="G421" s="6" t="inlineStr">
        <is>
          <t>com</t>
        </is>
      </c>
      <c r="H421" s="6" t="inlineStr">
        <is>
          <t>%</t>
        </is>
      </c>
      <c r="Q421" s="12">
        <f>BSHARE("communications_share",DECILE_ARRAY,"Overall","p25")</f>
        <v/>
      </c>
    </row>
    <row r="422">
      <c r="D422" s="6" t="inlineStr">
        <is>
          <t>p25</t>
        </is>
      </c>
      <c r="E422" s="6" t="inlineStr">
        <is>
          <t>Urban</t>
        </is>
      </c>
      <c r="F422" s="6" t="inlineStr">
        <is>
          <t>Basket</t>
        </is>
      </c>
      <c r="G422" s="6" t="inlineStr">
        <is>
          <t>com</t>
        </is>
      </c>
      <c r="H422" s="6" t="inlineStr">
        <is>
          <t>%</t>
        </is>
      </c>
      <c r="P422" s="12">
        <f>BSHARE("communications_share",0,"Urban","p25")</f>
        <v/>
      </c>
    </row>
    <row r="423">
      <c r="D423" s="6" t="inlineStr">
        <is>
          <t>p25</t>
        </is>
      </c>
      <c r="E423" s="6" t="inlineStr">
        <is>
          <t>Urban</t>
        </is>
      </c>
      <c r="F423" s="6" t="inlineStr">
        <is>
          <t>Deciles</t>
        </is>
      </c>
      <c r="G423" s="6" t="inlineStr">
        <is>
          <t>com</t>
        </is>
      </c>
      <c r="H423" s="6" t="inlineStr">
        <is>
          <t>%</t>
        </is>
      </c>
      <c r="Q423" s="12">
        <f>BSHARE("communications_share",DECILE_ARRAY,"Urban","p25")</f>
        <v/>
      </c>
    </row>
    <row r="424">
      <c r="D424" s="6" t="inlineStr">
        <is>
          <t>p25</t>
        </is>
      </c>
      <c r="E424" s="6" t="inlineStr">
        <is>
          <t>Rural</t>
        </is>
      </c>
      <c r="F424" s="6" t="inlineStr">
        <is>
          <t>Basket</t>
        </is>
      </c>
      <c r="G424" s="6" t="inlineStr">
        <is>
          <t>com</t>
        </is>
      </c>
      <c r="H424" s="6" t="inlineStr">
        <is>
          <t>%</t>
        </is>
      </c>
      <c r="P424" s="12">
        <f>BSHARE("communications_share",0,"Rural","p25")</f>
        <v/>
      </c>
    </row>
    <row r="425">
      <c r="D425" s="6" t="inlineStr">
        <is>
          <t>p25</t>
        </is>
      </c>
      <c r="E425" s="6" t="inlineStr">
        <is>
          <t>Rural</t>
        </is>
      </c>
      <c r="F425" s="6" t="inlineStr">
        <is>
          <t>Deciles</t>
        </is>
      </c>
      <c r="G425" s="6" t="inlineStr">
        <is>
          <t>com</t>
        </is>
      </c>
      <c r="H425" s="6" t="inlineStr">
        <is>
          <t>%</t>
        </is>
      </c>
      <c r="Q425" s="12">
        <f>BSHARE("communications_share",DECILE_ARRAY,"Rural","p25")</f>
        <v/>
      </c>
    </row>
    <row r="426">
      <c r="D426" s="6" t="inlineStr">
        <is>
          <t>p75</t>
        </is>
      </c>
      <c r="E426" s="6" t="inlineStr">
        <is>
          <t>Overall</t>
        </is>
      </c>
      <c r="F426" s="6" t="inlineStr">
        <is>
          <t>Basket</t>
        </is>
      </c>
      <c r="G426" s="6" t="inlineStr">
        <is>
          <t>com</t>
        </is>
      </c>
      <c r="H426" s="6" t="inlineStr">
        <is>
          <t>%</t>
        </is>
      </c>
      <c r="P426" s="12">
        <f>BSHARE("communications_share",0,"Overall","p75")</f>
        <v/>
      </c>
    </row>
    <row r="427">
      <c r="D427" s="6" t="inlineStr">
        <is>
          <t>p75</t>
        </is>
      </c>
      <c r="E427" s="6" t="inlineStr">
        <is>
          <t>Overall</t>
        </is>
      </c>
      <c r="F427" s="6" t="inlineStr">
        <is>
          <t>Deciles</t>
        </is>
      </c>
      <c r="G427" s="6" t="inlineStr">
        <is>
          <t>com</t>
        </is>
      </c>
      <c r="H427" s="6" t="inlineStr">
        <is>
          <t>%</t>
        </is>
      </c>
      <c r="Q427" s="12">
        <f>BSHARE("communications_share",DECILE_ARRAY,"Overall","p75")</f>
        <v/>
      </c>
    </row>
    <row r="428">
      <c r="D428" s="6" t="inlineStr">
        <is>
          <t>p75</t>
        </is>
      </c>
      <c r="E428" s="6" t="inlineStr">
        <is>
          <t>Urban</t>
        </is>
      </c>
      <c r="F428" s="6" t="inlineStr">
        <is>
          <t>Basket</t>
        </is>
      </c>
      <c r="G428" s="6" t="inlineStr">
        <is>
          <t>com</t>
        </is>
      </c>
      <c r="H428" s="6" t="inlineStr">
        <is>
          <t>%</t>
        </is>
      </c>
      <c r="P428" s="12">
        <f>BSHARE("communications_share",0,"Urban","p75")</f>
        <v/>
      </c>
    </row>
    <row r="429">
      <c r="D429" s="6" t="inlineStr">
        <is>
          <t>p75</t>
        </is>
      </c>
      <c r="E429" s="6" t="inlineStr">
        <is>
          <t>Urban</t>
        </is>
      </c>
      <c r="F429" s="6" t="inlineStr">
        <is>
          <t>Deciles</t>
        </is>
      </c>
      <c r="G429" s="6" t="inlineStr">
        <is>
          <t>com</t>
        </is>
      </c>
      <c r="H429" s="6" t="inlineStr">
        <is>
          <t>%</t>
        </is>
      </c>
      <c r="Q429" s="12">
        <f>BSHARE("communications_share",DECILE_ARRAY,"Urban","p75")</f>
        <v/>
      </c>
    </row>
    <row r="430">
      <c r="D430" s="6" t="inlineStr">
        <is>
          <t>p75</t>
        </is>
      </c>
      <c r="E430" s="6" t="inlineStr">
        <is>
          <t>Rural</t>
        </is>
      </c>
      <c r="F430" s="6" t="inlineStr">
        <is>
          <t>Basket</t>
        </is>
      </c>
      <c r="G430" s="6" t="inlineStr">
        <is>
          <t>com</t>
        </is>
      </c>
      <c r="H430" s="6" t="inlineStr">
        <is>
          <t>%</t>
        </is>
      </c>
      <c r="P430" s="12">
        <f>BSHARE("communications_share",0,"Rural","p75")</f>
        <v/>
      </c>
    </row>
    <row r="431">
      <c r="D431" s="6" t="inlineStr">
        <is>
          <t>p75</t>
        </is>
      </c>
      <c r="E431" s="6" t="inlineStr">
        <is>
          <t>Rural</t>
        </is>
      </c>
      <c r="F431" s="6" t="inlineStr">
        <is>
          <t>Deciles</t>
        </is>
      </c>
      <c r="G431" s="6" t="inlineStr">
        <is>
          <t>com</t>
        </is>
      </c>
      <c r="H431" s="6" t="inlineStr">
        <is>
          <t>%</t>
        </is>
      </c>
      <c r="Q431" s="12">
        <f>BSHARE("communications_share",DECILE_ARRAY,"Rural","p75")</f>
        <v/>
      </c>
    </row>
    <row r="432"/>
    <row r="433">
      <c r="C433" s="7" t="inlineStr">
        <is>
          <t>Education Budget Share (% Total Consumption)</t>
        </is>
      </c>
      <c r="G433" s="6" t="inlineStr">
        <is>
          <t>edu</t>
        </is>
      </c>
      <c r="O433" s="8" t="inlineStr">
        <is>
          <t>Decile --&gt;</t>
        </is>
      </c>
      <c r="Q433" s="8" t="n">
        <v>1</v>
      </c>
      <c r="R433" s="8" t="n">
        <v>2</v>
      </c>
      <c r="S433" s="8" t="n">
        <v>3</v>
      </c>
      <c r="T433" s="8" t="n">
        <v>4</v>
      </c>
      <c r="U433" s="8" t="n">
        <v>5</v>
      </c>
      <c r="V433" s="8" t="n">
        <v>6</v>
      </c>
      <c r="W433" s="8" t="n">
        <v>7</v>
      </c>
      <c r="X433" s="8" t="n">
        <v>8</v>
      </c>
      <c r="Y433" s="8" t="n">
        <v>9</v>
      </c>
      <c r="Z433" s="8" t="n">
        <v>10</v>
      </c>
    </row>
    <row r="434">
      <c r="D434" s="6" t="inlineStr">
        <is>
          <t>mean</t>
        </is>
      </c>
      <c r="E434" s="6" t="inlineStr">
        <is>
          <t>Overall</t>
        </is>
      </c>
      <c r="F434" s="6" t="inlineStr">
        <is>
          <t>Basket</t>
        </is>
      </c>
      <c r="G434" s="6" t="inlineStr">
        <is>
          <t>edu</t>
        </is>
      </c>
      <c r="H434" s="6" t="inlineStr">
        <is>
          <t>%</t>
        </is>
      </c>
      <c r="P434" s="12">
        <f>BSHARE("education_share",0,"Overall","mean")</f>
        <v/>
      </c>
    </row>
    <row r="435">
      <c r="D435" s="6" t="inlineStr">
        <is>
          <t>mean</t>
        </is>
      </c>
      <c r="E435" s="6" t="inlineStr">
        <is>
          <t>Overall</t>
        </is>
      </c>
      <c r="F435" s="6" t="inlineStr">
        <is>
          <t>Deciles</t>
        </is>
      </c>
      <c r="G435" s="6" t="inlineStr">
        <is>
          <t>edu</t>
        </is>
      </c>
      <c r="H435" s="6" t="inlineStr">
        <is>
          <t>%</t>
        </is>
      </c>
      <c r="Q435" s="12">
        <f>BSHARE("education_share",DECILE_ARRAY,"Overall","mean")</f>
        <v/>
      </c>
    </row>
    <row r="436">
      <c r="D436" s="6" t="inlineStr">
        <is>
          <t>mean</t>
        </is>
      </c>
      <c r="E436" s="6" t="inlineStr">
        <is>
          <t>Urban</t>
        </is>
      </c>
      <c r="F436" s="6" t="inlineStr">
        <is>
          <t>Basket</t>
        </is>
      </c>
      <c r="G436" s="6" t="inlineStr">
        <is>
          <t>edu</t>
        </is>
      </c>
      <c r="H436" s="6" t="inlineStr">
        <is>
          <t>%</t>
        </is>
      </c>
      <c r="P436" s="12">
        <f>BSHARE("education_share",0,"Urban","mean")</f>
        <v/>
      </c>
    </row>
    <row r="437">
      <c r="D437" s="6" t="inlineStr">
        <is>
          <t>mean</t>
        </is>
      </c>
      <c r="E437" s="6" t="inlineStr">
        <is>
          <t>Urban</t>
        </is>
      </c>
      <c r="F437" s="6" t="inlineStr">
        <is>
          <t>Deciles</t>
        </is>
      </c>
      <c r="G437" s="6" t="inlineStr">
        <is>
          <t>edu</t>
        </is>
      </c>
      <c r="H437" s="6" t="inlineStr">
        <is>
          <t>%</t>
        </is>
      </c>
      <c r="Q437" s="12">
        <f>BSHARE("education_share",DECILE_ARRAY,"Urban","mean")</f>
        <v/>
      </c>
    </row>
    <row r="438">
      <c r="D438" s="6" t="inlineStr">
        <is>
          <t>mean</t>
        </is>
      </c>
      <c r="E438" s="6" t="inlineStr">
        <is>
          <t>Rural</t>
        </is>
      </c>
      <c r="F438" s="6" t="inlineStr">
        <is>
          <t>Basket</t>
        </is>
      </c>
      <c r="G438" s="6" t="inlineStr">
        <is>
          <t>edu</t>
        </is>
      </c>
      <c r="H438" s="6" t="inlineStr">
        <is>
          <t>%</t>
        </is>
      </c>
      <c r="P438" s="12">
        <f>BSHARE("education_share",0,"Rural","mean")</f>
        <v/>
      </c>
    </row>
    <row r="439">
      <c r="D439" s="6" t="inlineStr">
        <is>
          <t>mean</t>
        </is>
      </c>
      <c r="E439" s="6" t="inlineStr">
        <is>
          <t>Rural</t>
        </is>
      </c>
      <c r="F439" s="6" t="inlineStr">
        <is>
          <t>Deciles</t>
        </is>
      </c>
      <c r="G439" s="6" t="inlineStr">
        <is>
          <t>edu</t>
        </is>
      </c>
      <c r="H439" s="6" t="inlineStr">
        <is>
          <t>%</t>
        </is>
      </c>
      <c r="Q439" s="12">
        <f>BSHARE("education_share",DECILE_ARRAY,"Rural","mean")</f>
        <v/>
      </c>
    </row>
    <row r="440">
      <c r="D440" s="6" t="inlineStr">
        <is>
          <t>median</t>
        </is>
      </c>
      <c r="E440" s="6" t="inlineStr">
        <is>
          <t>Overall</t>
        </is>
      </c>
      <c r="F440" s="6" t="inlineStr">
        <is>
          <t>Basket</t>
        </is>
      </c>
      <c r="G440" s="6" t="inlineStr">
        <is>
          <t>edu</t>
        </is>
      </c>
      <c r="H440" s="6" t="inlineStr">
        <is>
          <t>%</t>
        </is>
      </c>
      <c r="P440" s="12">
        <f>BSHARE("education_share",0,"Overall","median")</f>
        <v/>
      </c>
    </row>
    <row r="441">
      <c r="D441" s="6" t="inlineStr">
        <is>
          <t>median</t>
        </is>
      </c>
      <c r="E441" s="6" t="inlineStr">
        <is>
          <t>Overall</t>
        </is>
      </c>
      <c r="F441" s="6" t="inlineStr">
        <is>
          <t>Deciles</t>
        </is>
      </c>
      <c r="G441" s="6" t="inlineStr">
        <is>
          <t>edu</t>
        </is>
      </c>
      <c r="H441" s="6" t="inlineStr">
        <is>
          <t>%</t>
        </is>
      </c>
      <c r="Q441" s="12">
        <f>BSHARE("education_share",DECILE_ARRAY,"Overall","median")</f>
        <v/>
      </c>
    </row>
    <row r="442">
      <c r="D442" s="6" t="inlineStr">
        <is>
          <t>median</t>
        </is>
      </c>
      <c r="E442" s="6" t="inlineStr">
        <is>
          <t>Urban</t>
        </is>
      </c>
      <c r="F442" s="6" t="inlineStr">
        <is>
          <t>Basket</t>
        </is>
      </c>
      <c r="G442" s="6" t="inlineStr">
        <is>
          <t>edu</t>
        </is>
      </c>
      <c r="H442" s="6" t="inlineStr">
        <is>
          <t>%</t>
        </is>
      </c>
      <c r="P442" s="12">
        <f>BSHARE("education_share",0,"Urban","median")</f>
        <v/>
      </c>
    </row>
    <row r="443">
      <c r="D443" s="6" t="inlineStr">
        <is>
          <t>median</t>
        </is>
      </c>
      <c r="E443" s="6" t="inlineStr">
        <is>
          <t>Urban</t>
        </is>
      </c>
      <c r="F443" s="6" t="inlineStr">
        <is>
          <t>Deciles</t>
        </is>
      </c>
      <c r="G443" s="6" t="inlineStr">
        <is>
          <t>edu</t>
        </is>
      </c>
      <c r="H443" s="6" t="inlineStr">
        <is>
          <t>%</t>
        </is>
      </c>
      <c r="Q443" s="12">
        <f>BSHARE("education_share",DECILE_ARRAY,"Urban","median")</f>
        <v/>
      </c>
    </row>
    <row r="444">
      <c r="D444" s="6" t="inlineStr">
        <is>
          <t>median</t>
        </is>
      </c>
      <c r="E444" s="6" t="inlineStr">
        <is>
          <t>Rural</t>
        </is>
      </c>
      <c r="F444" s="6" t="inlineStr">
        <is>
          <t>Basket</t>
        </is>
      </c>
      <c r="G444" s="6" t="inlineStr">
        <is>
          <t>edu</t>
        </is>
      </c>
      <c r="H444" s="6" t="inlineStr">
        <is>
          <t>%</t>
        </is>
      </c>
      <c r="P444" s="12">
        <f>BSHARE("education_share",0,"Rural","median")</f>
        <v/>
      </c>
    </row>
    <row r="445">
      <c r="D445" s="6" t="inlineStr">
        <is>
          <t>median</t>
        </is>
      </c>
      <c r="E445" s="6" t="inlineStr">
        <is>
          <t>Rural</t>
        </is>
      </c>
      <c r="F445" s="6" t="inlineStr">
        <is>
          <t>Deciles</t>
        </is>
      </c>
      <c r="G445" s="6" t="inlineStr">
        <is>
          <t>edu</t>
        </is>
      </c>
      <c r="H445" s="6" t="inlineStr">
        <is>
          <t>%</t>
        </is>
      </c>
      <c r="Q445" s="12">
        <f>BSHARE("education_share",DECILE_ARRAY,"Rural","median")</f>
        <v/>
      </c>
    </row>
    <row r="446">
      <c r="D446" s="6" t="inlineStr">
        <is>
          <t>p25</t>
        </is>
      </c>
      <c r="E446" s="6" t="inlineStr">
        <is>
          <t>Overall</t>
        </is>
      </c>
      <c r="F446" s="6" t="inlineStr">
        <is>
          <t>Basket</t>
        </is>
      </c>
      <c r="G446" s="6" t="inlineStr">
        <is>
          <t>edu</t>
        </is>
      </c>
      <c r="H446" s="6" t="inlineStr">
        <is>
          <t>%</t>
        </is>
      </c>
      <c r="P446" s="12">
        <f>BSHARE("education_share",0,"Overall","p25")</f>
        <v/>
      </c>
    </row>
    <row r="447">
      <c r="D447" s="6" t="inlineStr">
        <is>
          <t>p25</t>
        </is>
      </c>
      <c r="E447" s="6" t="inlineStr">
        <is>
          <t>Overall</t>
        </is>
      </c>
      <c r="F447" s="6" t="inlineStr">
        <is>
          <t>Deciles</t>
        </is>
      </c>
      <c r="G447" s="6" t="inlineStr">
        <is>
          <t>edu</t>
        </is>
      </c>
      <c r="H447" s="6" t="inlineStr">
        <is>
          <t>%</t>
        </is>
      </c>
      <c r="Q447" s="12">
        <f>BSHARE("education_share",DECILE_ARRAY,"Overall","p25")</f>
        <v/>
      </c>
    </row>
    <row r="448">
      <c r="D448" s="6" t="inlineStr">
        <is>
          <t>p25</t>
        </is>
      </c>
      <c r="E448" s="6" t="inlineStr">
        <is>
          <t>Urban</t>
        </is>
      </c>
      <c r="F448" s="6" t="inlineStr">
        <is>
          <t>Basket</t>
        </is>
      </c>
      <c r="G448" s="6" t="inlineStr">
        <is>
          <t>edu</t>
        </is>
      </c>
      <c r="H448" s="6" t="inlineStr">
        <is>
          <t>%</t>
        </is>
      </c>
      <c r="P448" s="12">
        <f>BSHARE("education_share",0,"Urban","p25")</f>
        <v/>
      </c>
    </row>
    <row r="449">
      <c r="D449" s="6" t="inlineStr">
        <is>
          <t>p25</t>
        </is>
      </c>
      <c r="E449" s="6" t="inlineStr">
        <is>
          <t>Urban</t>
        </is>
      </c>
      <c r="F449" s="6" t="inlineStr">
        <is>
          <t>Deciles</t>
        </is>
      </c>
      <c r="G449" s="6" t="inlineStr">
        <is>
          <t>edu</t>
        </is>
      </c>
      <c r="H449" s="6" t="inlineStr">
        <is>
          <t>%</t>
        </is>
      </c>
      <c r="Q449" s="12">
        <f>BSHARE("education_share",DECILE_ARRAY,"Urban","p25")</f>
        <v/>
      </c>
    </row>
    <row r="450">
      <c r="D450" s="6" t="inlineStr">
        <is>
          <t>p25</t>
        </is>
      </c>
      <c r="E450" s="6" t="inlineStr">
        <is>
          <t>Rural</t>
        </is>
      </c>
      <c r="F450" s="6" t="inlineStr">
        <is>
          <t>Basket</t>
        </is>
      </c>
      <c r="G450" s="6" t="inlineStr">
        <is>
          <t>edu</t>
        </is>
      </c>
      <c r="H450" s="6" t="inlineStr">
        <is>
          <t>%</t>
        </is>
      </c>
      <c r="P450" s="12">
        <f>BSHARE("education_share",0,"Rural","p25")</f>
        <v/>
      </c>
    </row>
    <row r="451">
      <c r="D451" s="6" t="inlineStr">
        <is>
          <t>p25</t>
        </is>
      </c>
      <c r="E451" s="6" t="inlineStr">
        <is>
          <t>Rural</t>
        </is>
      </c>
      <c r="F451" s="6" t="inlineStr">
        <is>
          <t>Deciles</t>
        </is>
      </c>
      <c r="G451" s="6" t="inlineStr">
        <is>
          <t>edu</t>
        </is>
      </c>
      <c r="H451" s="6" t="inlineStr">
        <is>
          <t>%</t>
        </is>
      </c>
      <c r="Q451" s="12">
        <f>BSHARE("education_share",DECILE_ARRAY,"Rural","p25")</f>
        <v/>
      </c>
    </row>
    <row r="452">
      <c r="D452" s="6" t="inlineStr">
        <is>
          <t>p75</t>
        </is>
      </c>
      <c r="E452" s="6" t="inlineStr">
        <is>
          <t>Overall</t>
        </is>
      </c>
      <c r="F452" s="6" t="inlineStr">
        <is>
          <t>Basket</t>
        </is>
      </c>
      <c r="G452" s="6" t="inlineStr">
        <is>
          <t>edu</t>
        </is>
      </c>
      <c r="H452" s="6" t="inlineStr">
        <is>
          <t>%</t>
        </is>
      </c>
      <c r="P452" s="12">
        <f>BSHARE("education_share",0,"Overall","p75")</f>
        <v/>
      </c>
    </row>
    <row r="453">
      <c r="D453" s="6" t="inlineStr">
        <is>
          <t>p75</t>
        </is>
      </c>
      <c r="E453" s="6" t="inlineStr">
        <is>
          <t>Overall</t>
        </is>
      </c>
      <c r="F453" s="6" t="inlineStr">
        <is>
          <t>Deciles</t>
        </is>
      </c>
      <c r="G453" s="6" t="inlineStr">
        <is>
          <t>edu</t>
        </is>
      </c>
      <c r="H453" s="6" t="inlineStr">
        <is>
          <t>%</t>
        </is>
      </c>
      <c r="Q453" s="12">
        <f>BSHARE("education_share",DECILE_ARRAY,"Overall","p75")</f>
        <v/>
      </c>
    </row>
    <row r="454">
      <c r="D454" s="6" t="inlineStr">
        <is>
          <t>p75</t>
        </is>
      </c>
      <c r="E454" s="6" t="inlineStr">
        <is>
          <t>Urban</t>
        </is>
      </c>
      <c r="F454" s="6" t="inlineStr">
        <is>
          <t>Basket</t>
        </is>
      </c>
      <c r="G454" s="6" t="inlineStr">
        <is>
          <t>edu</t>
        </is>
      </c>
      <c r="H454" s="6" t="inlineStr">
        <is>
          <t>%</t>
        </is>
      </c>
      <c r="P454" s="12">
        <f>BSHARE("education_share",0,"Urban","p75")</f>
        <v/>
      </c>
    </row>
    <row r="455">
      <c r="D455" s="6" t="inlineStr">
        <is>
          <t>p75</t>
        </is>
      </c>
      <c r="E455" s="6" t="inlineStr">
        <is>
          <t>Urban</t>
        </is>
      </c>
      <c r="F455" s="6" t="inlineStr">
        <is>
          <t>Deciles</t>
        </is>
      </c>
      <c r="G455" s="6" t="inlineStr">
        <is>
          <t>edu</t>
        </is>
      </c>
      <c r="H455" s="6" t="inlineStr">
        <is>
          <t>%</t>
        </is>
      </c>
      <c r="Q455" s="12">
        <f>BSHARE("education_share",DECILE_ARRAY,"Urban","p75")</f>
        <v/>
      </c>
    </row>
    <row r="456">
      <c r="D456" s="6" t="inlineStr">
        <is>
          <t>p75</t>
        </is>
      </c>
      <c r="E456" s="6" t="inlineStr">
        <is>
          <t>Rural</t>
        </is>
      </c>
      <c r="F456" s="6" t="inlineStr">
        <is>
          <t>Basket</t>
        </is>
      </c>
      <c r="G456" s="6" t="inlineStr">
        <is>
          <t>edu</t>
        </is>
      </c>
      <c r="H456" s="6" t="inlineStr">
        <is>
          <t>%</t>
        </is>
      </c>
      <c r="P456" s="12">
        <f>BSHARE("education_share",0,"Rural","p75")</f>
        <v/>
      </c>
    </row>
    <row r="457">
      <c r="D457" s="6" t="inlineStr">
        <is>
          <t>p75</t>
        </is>
      </c>
      <c r="E457" s="6" t="inlineStr">
        <is>
          <t>Rural</t>
        </is>
      </c>
      <c r="F457" s="6" t="inlineStr">
        <is>
          <t>Deciles</t>
        </is>
      </c>
      <c r="G457" s="6" t="inlineStr">
        <is>
          <t>edu</t>
        </is>
      </c>
      <c r="H457" s="6" t="inlineStr">
        <is>
          <t>%</t>
        </is>
      </c>
      <c r="Q457" s="12">
        <f>BSHARE("education_share",DECILE_ARRAY,"Rural","p75")</f>
        <v/>
      </c>
    </row>
    <row r="458"/>
    <row r="459">
      <c r="C459" s="7" t="inlineStr">
        <is>
          <t>Food Budget Share (% Total Consumption)</t>
        </is>
      </c>
      <c r="G459" s="6" t="inlineStr">
        <is>
          <t>food</t>
        </is>
      </c>
      <c r="O459" s="8" t="inlineStr">
        <is>
          <t>Decile --&gt;</t>
        </is>
      </c>
      <c r="Q459" s="8" t="n">
        <v>1</v>
      </c>
      <c r="R459" s="8" t="n">
        <v>2</v>
      </c>
      <c r="S459" s="8" t="n">
        <v>3</v>
      </c>
      <c r="T459" s="8" t="n">
        <v>4</v>
      </c>
      <c r="U459" s="8" t="n">
        <v>5</v>
      </c>
      <c r="V459" s="8" t="n">
        <v>6</v>
      </c>
      <c r="W459" s="8" t="n">
        <v>7</v>
      </c>
      <c r="X459" s="8" t="n">
        <v>8</v>
      </c>
      <c r="Y459" s="8" t="n">
        <v>9</v>
      </c>
      <c r="Z459" s="8" t="n">
        <v>10</v>
      </c>
    </row>
    <row r="460">
      <c r="D460" s="6" t="inlineStr">
        <is>
          <t>mean</t>
        </is>
      </c>
      <c r="E460" s="6" t="inlineStr">
        <is>
          <t>Overall</t>
        </is>
      </c>
      <c r="F460" s="6" t="inlineStr">
        <is>
          <t>Basket</t>
        </is>
      </c>
      <c r="G460" s="6" t="inlineStr">
        <is>
          <t>food</t>
        </is>
      </c>
      <c r="H460" s="6" t="inlineStr">
        <is>
          <t>%</t>
        </is>
      </c>
      <c r="P460" s="12">
        <f>BSHARE("food_share",0,"Overall","mean")</f>
        <v/>
      </c>
    </row>
    <row r="461">
      <c r="D461" s="6" t="inlineStr">
        <is>
          <t>mean</t>
        </is>
      </c>
      <c r="E461" s="6" t="inlineStr">
        <is>
          <t>Overall</t>
        </is>
      </c>
      <c r="F461" s="6" t="inlineStr">
        <is>
          <t>Deciles</t>
        </is>
      </c>
      <c r="G461" s="6" t="inlineStr">
        <is>
          <t>food</t>
        </is>
      </c>
      <c r="H461" s="6" t="inlineStr">
        <is>
          <t>%</t>
        </is>
      </c>
      <c r="Q461" s="12">
        <f>BSHARE("food_share",DECILE_ARRAY,"Overall","mean")</f>
        <v/>
      </c>
    </row>
    <row r="462">
      <c r="D462" s="6" t="inlineStr">
        <is>
          <t>mean</t>
        </is>
      </c>
      <c r="E462" s="6" t="inlineStr">
        <is>
          <t>Urban</t>
        </is>
      </c>
      <c r="F462" s="6" t="inlineStr">
        <is>
          <t>Basket</t>
        </is>
      </c>
      <c r="G462" s="6" t="inlineStr">
        <is>
          <t>food</t>
        </is>
      </c>
      <c r="H462" s="6" t="inlineStr">
        <is>
          <t>%</t>
        </is>
      </c>
      <c r="P462" s="12">
        <f>BSHARE("food_share",0,"Urban","mean")</f>
        <v/>
      </c>
    </row>
    <row r="463">
      <c r="D463" s="6" t="inlineStr">
        <is>
          <t>mean</t>
        </is>
      </c>
      <c r="E463" s="6" t="inlineStr">
        <is>
          <t>Urban</t>
        </is>
      </c>
      <c r="F463" s="6" t="inlineStr">
        <is>
          <t>Deciles</t>
        </is>
      </c>
      <c r="G463" s="6" t="inlineStr">
        <is>
          <t>food</t>
        </is>
      </c>
      <c r="H463" s="6" t="inlineStr">
        <is>
          <t>%</t>
        </is>
      </c>
      <c r="Q463" s="12">
        <f>BSHARE("food_share",DECILE_ARRAY,"Urban","mean")</f>
        <v/>
      </c>
    </row>
    <row r="464">
      <c r="D464" s="6" t="inlineStr">
        <is>
          <t>mean</t>
        </is>
      </c>
      <c r="E464" s="6" t="inlineStr">
        <is>
          <t>Rural</t>
        </is>
      </c>
      <c r="F464" s="6" t="inlineStr">
        <is>
          <t>Basket</t>
        </is>
      </c>
      <c r="G464" s="6" t="inlineStr">
        <is>
          <t>food</t>
        </is>
      </c>
      <c r="H464" s="6" t="inlineStr">
        <is>
          <t>%</t>
        </is>
      </c>
      <c r="P464" s="12">
        <f>BSHARE("food_share",0,"Rural","mean")</f>
        <v/>
      </c>
    </row>
    <row r="465">
      <c r="D465" s="6" t="inlineStr">
        <is>
          <t>mean</t>
        </is>
      </c>
      <c r="E465" s="6" t="inlineStr">
        <is>
          <t>Rural</t>
        </is>
      </c>
      <c r="F465" s="6" t="inlineStr">
        <is>
          <t>Deciles</t>
        </is>
      </c>
      <c r="G465" s="6" t="inlineStr">
        <is>
          <t>food</t>
        </is>
      </c>
      <c r="H465" s="6" t="inlineStr">
        <is>
          <t>%</t>
        </is>
      </c>
      <c r="Q465" s="12">
        <f>BSHARE("food_share",DECILE_ARRAY,"Rural","mean")</f>
        <v/>
      </c>
    </row>
    <row r="466">
      <c r="D466" s="6" t="inlineStr">
        <is>
          <t>median</t>
        </is>
      </c>
      <c r="E466" s="6" t="inlineStr">
        <is>
          <t>Overall</t>
        </is>
      </c>
      <c r="F466" s="6" t="inlineStr">
        <is>
          <t>Basket</t>
        </is>
      </c>
      <c r="G466" s="6" t="inlineStr">
        <is>
          <t>food</t>
        </is>
      </c>
      <c r="H466" s="6" t="inlineStr">
        <is>
          <t>%</t>
        </is>
      </c>
      <c r="P466" s="12">
        <f>BSHARE("food_share",0,"Overall","median")</f>
        <v/>
      </c>
    </row>
    <row r="467">
      <c r="D467" s="6" t="inlineStr">
        <is>
          <t>median</t>
        </is>
      </c>
      <c r="E467" s="6" t="inlineStr">
        <is>
          <t>Overall</t>
        </is>
      </c>
      <c r="F467" s="6" t="inlineStr">
        <is>
          <t>Deciles</t>
        </is>
      </c>
      <c r="G467" s="6" t="inlineStr">
        <is>
          <t>food</t>
        </is>
      </c>
      <c r="H467" s="6" t="inlineStr">
        <is>
          <t>%</t>
        </is>
      </c>
      <c r="Q467" s="12">
        <f>BSHARE("food_share",DECILE_ARRAY,"Overall","median")</f>
        <v/>
      </c>
    </row>
    <row r="468">
      <c r="D468" s="6" t="inlineStr">
        <is>
          <t>median</t>
        </is>
      </c>
      <c r="E468" s="6" t="inlineStr">
        <is>
          <t>Urban</t>
        </is>
      </c>
      <c r="F468" s="6" t="inlineStr">
        <is>
          <t>Basket</t>
        </is>
      </c>
      <c r="G468" s="6" t="inlineStr">
        <is>
          <t>food</t>
        </is>
      </c>
      <c r="H468" s="6" t="inlineStr">
        <is>
          <t>%</t>
        </is>
      </c>
      <c r="P468" s="12">
        <f>BSHARE("food_share",0,"Urban","median")</f>
        <v/>
      </c>
    </row>
    <row r="469">
      <c r="D469" s="6" t="inlineStr">
        <is>
          <t>median</t>
        </is>
      </c>
      <c r="E469" s="6" t="inlineStr">
        <is>
          <t>Urban</t>
        </is>
      </c>
      <c r="F469" s="6" t="inlineStr">
        <is>
          <t>Deciles</t>
        </is>
      </c>
      <c r="G469" s="6" t="inlineStr">
        <is>
          <t>food</t>
        </is>
      </c>
      <c r="H469" s="6" t="inlineStr">
        <is>
          <t>%</t>
        </is>
      </c>
      <c r="Q469" s="12">
        <f>BSHARE("food_share",DECILE_ARRAY,"Urban","median")</f>
        <v/>
      </c>
    </row>
    <row r="470">
      <c r="D470" s="6" t="inlineStr">
        <is>
          <t>median</t>
        </is>
      </c>
      <c r="E470" s="6" t="inlineStr">
        <is>
          <t>Rural</t>
        </is>
      </c>
      <c r="F470" s="6" t="inlineStr">
        <is>
          <t>Basket</t>
        </is>
      </c>
      <c r="G470" s="6" t="inlineStr">
        <is>
          <t>food</t>
        </is>
      </c>
      <c r="H470" s="6" t="inlineStr">
        <is>
          <t>%</t>
        </is>
      </c>
      <c r="P470" s="12">
        <f>BSHARE("food_share",0,"Rural","median")</f>
        <v/>
      </c>
    </row>
    <row r="471">
      <c r="D471" s="6" t="inlineStr">
        <is>
          <t>median</t>
        </is>
      </c>
      <c r="E471" s="6" t="inlineStr">
        <is>
          <t>Rural</t>
        </is>
      </c>
      <c r="F471" s="6" t="inlineStr">
        <is>
          <t>Deciles</t>
        </is>
      </c>
      <c r="G471" s="6" t="inlineStr">
        <is>
          <t>food</t>
        </is>
      </c>
      <c r="H471" s="6" t="inlineStr">
        <is>
          <t>%</t>
        </is>
      </c>
      <c r="Q471" s="12">
        <f>BSHARE("food_share",DECILE_ARRAY,"Rural","median")</f>
        <v/>
      </c>
    </row>
    <row r="472">
      <c r="D472" s="6" t="inlineStr">
        <is>
          <t>p25</t>
        </is>
      </c>
      <c r="E472" s="6" t="inlineStr">
        <is>
          <t>Overall</t>
        </is>
      </c>
      <c r="F472" s="6" t="inlineStr">
        <is>
          <t>Basket</t>
        </is>
      </c>
      <c r="G472" s="6" t="inlineStr">
        <is>
          <t>food</t>
        </is>
      </c>
      <c r="H472" s="6" t="inlineStr">
        <is>
          <t>%</t>
        </is>
      </c>
      <c r="P472" s="12">
        <f>BSHARE("food_share",0,"Overall","p25")</f>
        <v/>
      </c>
    </row>
    <row r="473">
      <c r="D473" s="6" t="inlineStr">
        <is>
          <t>p25</t>
        </is>
      </c>
      <c r="E473" s="6" t="inlineStr">
        <is>
          <t>Overall</t>
        </is>
      </c>
      <c r="F473" s="6" t="inlineStr">
        <is>
          <t>Deciles</t>
        </is>
      </c>
      <c r="G473" s="6" t="inlineStr">
        <is>
          <t>food</t>
        </is>
      </c>
      <c r="H473" s="6" t="inlineStr">
        <is>
          <t>%</t>
        </is>
      </c>
      <c r="Q473" s="12">
        <f>BSHARE("food_share",DECILE_ARRAY,"Overall","p25")</f>
        <v/>
      </c>
    </row>
    <row r="474">
      <c r="D474" s="6" t="inlineStr">
        <is>
          <t>p25</t>
        </is>
      </c>
      <c r="E474" s="6" t="inlineStr">
        <is>
          <t>Urban</t>
        </is>
      </c>
      <c r="F474" s="6" t="inlineStr">
        <is>
          <t>Basket</t>
        </is>
      </c>
      <c r="G474" s="6" t="inlineStr">
        <is>
          <t>food</t>
        </is>
      </c>
      <c r="H474" s="6" t="inlineStr">
        <is>
          <t>%</t>
        </is>
      </c>
      <c r="P474" s="12">
        <f>BSHARE("food_share",0,"Urban","p25")</f>
        <v/>
      </c>
    </row>
    <row r="475">
      <c r="D475" s="6" t="inlineStr">
        <is>
          <t>p25</t>
        </is>
      </c>
      <c r="E475" s="6" t="inlineStr">
        <is>
          <t>Urban</t>
        </is>
      </c>
      <c r="F475" s="6" t="inlineStr">
        <is>
          <t>Deciles</t>
        </is>
      </c>
      <c r="G475" s="6" t="inlineStr">
        <is>
          <t>food</t>
        </is>
      </c>
      <c r="H475" s="6" t="inlineStr">
        <is>
          <t>%</t>
        </is>
      </c>
      <c r="Q475" s="12">
        <f>BSHARE("food_share",DECILE_ARRAY,"Urban","p25")</f>
        <v/>
      </c>
    </row>
    <row r="476">
      <c r="D476" s="6" t="inlineStr">
        <is>
          <t>p25</t>
        </is>
      </c>
      <c r="E476" s="6" t="inlineStr">
        <is>
          <t>Rural</t>
        </is>
      </c>
      <c r="F476" s="6" t="inlineStr">
        <is>
          <t>Basket</t>
        </is>
      </c>
      <c r="G476" s="6" t="inlineStr">
        <is>
          <t>food</t>
        </is>
      </c>
      <c r="H476" s="6" t="inlineStr">
        <is>
          <t>%</t>
        </is>
      </c>
      <c r="P476" s="12">
        <f>BSHARE("food_share",0,"Rural","p25")</f>
        <v/>
      </c>
    </row>
    <row r="477">
      <c r="D477" s="6" t="inlineStr">
        <is>
          <t>p25</t>
        </is>
      </c>
      <c r="E477" s="6" t="inlineStr">
        <is>
          <t>Rural</t>
        </is>
      </c>
      <c r="F477" s="6" t="inlineStr">
        <is>
          <t>Deciles</t>
        </is>
      </c>
      <c r="G477" s="6" t="inlineStr">
        <is>
          <t>food</t>
        </is>
      </c>
      <c r="H477" s="6" t="inlineStr">
        <is>
          <t>%</t>
        </is>
      </c>
      <c r="Q477" s="12">
        <f>BSHARE("food_share",DECILE_ARRAY,"Rural","p25")</f>
        <v/>
      </c>
    </row>
    <row r="478">
      <c r="D478" s="6" t="inlineStr">
        <is>
          <t>p75</t>
        </is>
      </c>
      <c r="E478" s="6" t="inlineStr">
        <is>
          <t>Overall</t>
        </is>
      </c>
      <c r="F478" s="6" t="inlineStr">
        <is>
          <t>Basket</t>
        </is>
      </c>
      <c r="G478" s="6" t="inlineStr">
        <is>
          <t>food</t>
        </is>
      </c>
      <c r="H478" s="6" t="inlineStr">
        <is>
          <t>%</t>
        </is>
      </c>
      <c r="P478" s="12">
        <f>BSHARE("food_share",0,"Overall","p75")</f>
        <v/>
      </c>
    </row>
    <row r="479">
      <c r="D479" s="6" t="inlineStr">
        <is>
          <t>p75</t>
        </is>
      </c>
      <c r="E479" s="6" t="inlineStr">
        <is>
          <t>Overall</t>
        </is>
      </c>
      <c r="F479" s="6" t="inlineStr">
        <is>
          <t>Deciles</t>
        </is>
      </c>
      <c r="G479" s="6" t="inlineStr">
        <is>
          <t>food</t>
        </is>
      </c>
      <c r="H479" s="6" t="inlineStr">
        <is>
          <t>%</t>
        </is>
      </c>
      <c r="Q479" s="12">
        <f>BSHARE("food_share",DECILE_ARRAY,"Overall","p75")</f>
        <v/>
      </c>
    </row>
    <row r="480">
      <c r="D480" s="6" t="inlineStr">
        <is>
          <t>p75</t>
        </is>
      </c>
      <c r="E480" s="6" t="inlineStr">
        <is>
          <t>Urban</t>
        </is>
      </c>
      <c r="F480" s="6" t="inlineStr">
        <is>
          <t>Basket</t>
        </is>
      </c>
      <c r="G480" s="6" t="inlineStr">
        <is>
          <t>food</t>
        </is>
      </c>
      <c r="H480" s="6" t="inlineStr">
        <is>
          <t>%</t>
        </is>
      </c>
      <c r="P480" s="12">
        <f>BSHARE("food_share",0,"Urban","p75")</f>
        <v/>
      </c>
    </row>
    <row r="481">
      <c r="D481" s="6" t="inlineStr">
        <is>
          <t>p75</t>
        </is>
      </c>
      <c r="E481" s="6" t="inlineStr">
        <is>
          <t>Urban</t>
        </is>
      </c>
      <c r="F481" s="6" t="inlineStr">
        <is>
          <t>Deciles</t>
        </is>
      </c>
      <c r="G481" s="6" t="inlineStr">
        <is>
          <t>food</t>
        </is>
      </c>
      <c r="H481" s="6" t="inlineStr">
        <is>
          <t>%</t>
        </is>
      </c>
      <c r="Q481" s="12">
        <f>BSHARE("food_share",DECILE_ARRAY,"Urban","p75")</f>
        <v/>
      </c>
    </row>
    <row r="482">
      <c r="D482" s="6" t="inlineStr">
        <is>
          <t>p75</t>
        </is>
      </c>
      <c r="E482" s="6" t="inlineStr">
        <is>
          <t>Rural</t>
        </is>
      </c>
      <c r="F482" s="6" t="inlineStr">
        <is>
          <t>Basket</t>
        </is>
      </c>
      <c r="G482" s="6" t="inlineStr">
        <is>
          <t>food</t>
        </is>
      </c>
      <c r="H482" s="6" t="inlineStr">
        <is>
          <t>%</t>
        </is>
      </c>
      <c r="P482" s="12">
        <f>BSHARE("food_share",0,"Rural","p75")</f>
        <v/>
      </c>
    </row>
    <row r="483">
      <c r="D483" s="6" t="inlineStr">
        <is>
          <t>p75</t>
        </is>
      </c>
      <c r="E483" s="6" t="inlineStr">
        <is>
          <t>Rural</t>
        </is>
      </c>
      <c r="F483" s="6" t="inlineStr">
        <is>
          <t>Deciles</t>
        </is>
      </c>
      <c r="G483" s="6" t="inlineStr">
        <is>
          <t>food</t>
        </is>
      </c>
      <c r="H483" s="6" t="inlineStr">
        <is>
          <t>%</t>
        </is>
      </c>
      <c r="Q483" s="12">
        <f>BSHARE("food_share",DECILE_ARRAY,"Rural","p75")</f>
        <v/>
      </c>
    </row>
    <row r="484"/>
    <row r="485">
      <c r="C485" s="7" t="inlineStr">
        <is>
          <t>Health Services Budget Share (% Total Consumption)</t>
        </is>
      </c>
      <c r="G485" s="6" t="inlineStr">
        <is>
          <t>hea</t>
        </is>
      </c>
      <c r="O485" s="8" t="inlineStr">
        <is>
          <t>Decile --&gt;</t>
        </is>
      </c>
      <c r="Q485" s="8" t="n">
        <v>1</v>
      </c>
      <c r="R485" s="8" t="n">
        <v>2</v>
      </c>
      <c r="S485" s="8" t="n">
        <v>3</v>
      </c>
      <c r="T485" s="8" t="n">
        <v>4</v>
      </c>
      <c r="U485" s="8" t="n">
        <v>5</v>
      </c>
      <c r="V485" s="8" t="n">
        <v>6</v>
      </c>
      <c r="W485" s="8" t="n">
        <v>7</v>
      </c>
      <c r="X485" s="8" t="n">
        <v>8</v>
      </c>
      <c r="Y485" s="8" t="n">
        <v>9</v>
      </c>
      <c r="Z485" s="8" t="n">
        <v>10</v>
      </c>
    </row>
    <row r="486">
      <c r="D486" s="6" t="inlineStr">
        <is>
          <t>mean</t>
        </is>
      </c>
      <c r="E486" s="6" t="inlineStr">
        <is>
          <t>Overall</t>
        </is>
      </c>
      <c r="F486" s="6" t="inlineStr">
        <is>
          <t>Basket</t>
        </is>
      </c>
      <c r="G486" s="6" t="inlineStr">
        <is>
          <t>hea</t>
        </is>
      </c>
      <c r="H486" s="6" t="inlineStr">
        <is>
          <t>%</t>
        </is>
      </c>
      <c r="P486" s="12">
        <f>BSHARE("health_srv_share",0,"Overall","mean")</f>
        <v/>
      </c>
    </row>
    <row r="487">
      <c r="D487" s="6" t="inlineStr">
        <is>
          <t>mean</t>
        </is>
      </c>
      <c r="E487" s="6" t="inlineStr">
        <is>
          <t>Overall</t>
        </is>
      </c>
      <c r="F487" s="6" t="inlineStr">
        <is>
          <t>Deciles</t>
        </is>
      </c>
      <c r="G487" s="6" t="inlineStr">
        <is>
          <t>hea</t>
        </is>
      </c>
      <c r="H487" s="6" t="inlineStr">
        <is>
          <t>%</t>
        </is>
      </c>
      <c r="Q487" s="12">
        <f>BSHARE("health_srv_share",DECILE_ARRAY,"Overall","mean")</f>
        <v/>
      </c>
    </row>
    <row r="488">
      <c r="D488" s="6" t="inlineStr">
        <is>
          <t>mean</t>
        </is>
      </c>
      <c r="E488" s="6" t="inlineStr">
        <is>
          <t>Urban</t>
        </is>
      </c>
      <c r="F488" s="6" t="inlineStr">
        <is>
          <t>Basket</t>
        </is>
      </c>
      <c r="G488" s="6" t="inlineStr">
        <is>
          <t>hea</t>
        </is>
      </c>
      <c r="H488" s="6" t="inlineStr">
        <is>
          <t>%</t>
        </is>
      </c>
      <c r="P488" s="12">
        <f>BSHARE("health_srv_share",0,"Urban","mean")</f>
        <v/>
      </c>
    </row>
    <row r="489">
      <c r="D489" s="6" t="inlineStr">
        <is>
          <t>mean</t>
        </is>
      </c>
      <c r="E489" s="6" t="inlineStr">
        <is>
          <t>Urban</t>
        </is>
      </c>
      <c r="F489" s="6" t="inlineStr">
        <is>
          <t>Deciles</t>
        </is>
      </c>
      <c r="G489" s="6" t="inlineStr">
        <is>
          <t>hea</t>
        </is>
      </c>
      <c r="H489" s="6" t="inlineStr">
        <is>
          <t>%</t>
        </is>
      </c>
      <c r="Q489" s="12">
        <f>BSHARE("health_srv_share",DECILE_ARRAY,"Urban","mean")</f>
        <v/>
      </c>
    </row>
    <row r="490">
      <c r="D490" s="6" t="inlineStr">
        <is>
          <t>mean</t>
        </is>
      </c>
      <c r="E490" s="6" t="inlineStr">
        <is>
          <t>Rural</t>
        </is>
      </c>
      <c r="F490" s="6" t="inlineStr">
        <is>
          <t>Basket</t>
        </is>
      </c>
      <c r="G490" s="6" t="inlineStr">
        <is>
          <t>hea</t>
        </is>
      </c>
      <c r="H490" s="6" t="inlineStr">
        <is>
          <t>%</t>
        </is>
      </c>
      <c r="P490" s="12">
        <f>BSHARE("health_srv_share",0,"Rural","mean")</f>
        <v/>
      </c>
    </row>
    <row r="491">
      <c r="D491" s="6" t="inlineStr">
        <is>
          <t>mean</t>
        </is>
      </c>
      <c r="E491" s="6" t="inlineStr">
        <is>
          <t>Rural</t>
        </is>
      </c>
      <c r="F491" s="6" t="inlineStr">
        <is>
          <t>Deciles</t>
        </is>
      </c>
      <c r="G491" s="6" t="inlineStr">
        <is>
          <t>hea</t>
        </is>
      </c>
      <c r="H491" s="6" t="inlineStr">
        <is>
          <t>%</t>
        </is>
      </c>
      <c r="Q491" s="12">
        <f>BSHARE("health_srv_share",DECILE_ARRAY,"Rural","mean")</f>
        <v/>
      </c>
    </row>
    <row r="492">
      <c r="D492" s="6" t="inlineStr">
        <is>
          <t>median</t>
        </is>
      </c>
      <c r="E492" s="6" t="inlineStr">
        <is>
          <t>Overall</t>
        </is>
      </c>
      <c r="F492" s="6" t="inlineStr">
        <is>
          <t>Basket</t>
        </is>
      </c>
      <c r="G492" s="6" t="inlineStr">
        <is>
          <t>hea</t>
        </is>
      </c>
      <c r="H492" s="6" t="inlineStr">
        <is>
          <t>%</t>
        </is>
      </c>
      <c r="P492" s="12">
        <f>BSHARE("health_srv_share",0,"Overall","median")</f>
        <v/>
      </c>
    </row>
    <row r="493">
      <c r="D493" s="6" t="inlineStr">
        <is>
          <t>median</t>
        </is>
      </c>
      <c r="E493" s="6" t="inlineStr">
        <is>
          <t>Overall</t>
        </is>
      </c>
      <c r="F493" s="6" t="inlineStr">
        <is>
          <t>Deciles</t>
        </is>
      </c>
      <c r="G493" s="6" t="inlineStr">
        <is>
          <t>hea</t>
        </is>
      </c>
      <c r="H493" s="6" t="inlineStr">
        <is>
          <t>%</t>
        </is>
      </c>
      <c r="Q493" s="12">
        <f>BSHARE("health_srv_share",DECILE_ARRAY,"Overall","median")</f>
        <v/>
      </c>
    </row>
    <row r="494">
      <c r="D494" s="6" t="inlineStr">
        <is>
          <t>median</t>
        </is>
      </c>
      <c r="E494" s="6" t="inlineStr">
        <is>
          <t>Urban</t>
        </is>
      </c>
      <c r="F494" s="6" t="inlineStr">
        <is>
          <t>Basket</t>
        </is>
      </c>
      <c r="G494" s="6" t="inlineStr">
        <is>
          <t>hea</t>
        </is>
      </c>
      <c r="H494" s="6" t="inlineStr">
        <is>
          <t>%</t>
        </is>
      </c>
      <c r="P494" s="12">
        <f>BSHARE("health_srv_share",0,"Urban","median")</f>
        <v/>
      </c>
    </row>
    <row r="495">
      <c r="D495" s="6" t="inlineStr">
        <is>
          <t>median</t>
        </is>
      </c>
      <c r="E495" s="6" t="inlineStr">
        <is>
          <t>Urban</t>
        </is>
      </c>
      <c r="F495" s="6" t="inlineStr">
        <is>
          <t>Deciles</t>
        </is>
      </c>
      <c r="G495" s="6" t="inlineStr">
        <is>
          <t>hea</t>
        </is>
      </c>
      <c r="H495" s="6" t="inlineStr">
        <is>
          <t>%</t>
        </is>
      </c>
      <c r="Q495" s="12">
        <f>BSHARE("health_srv_share",DECILE_ARRAY,"Urban","median")</f>
        <v/>
      </c>
    </row>
    <row r="496">
      <c r="D496" s="6" t="inlineStr">
        <is>
          <t>median</t>
        </is>
      </c>
      <c r="E496" s="6" t="inlineStr">
        <is>
          <t>Rural</t>
        </is>
      </c>
      <c r="F496" s="6" t="inlineStr">
        <is>
          <t>Basket</t>
        </is>
      </c>
      <c r="G496" s="6" t="inlineStr">
        <is>
          <t>hea</t>
        </is>
      </c>
      <c r="H496" s="6" t="inlineStr">
        <is>
          <t>%</t>
        </is>
      </c>
      <c r="P496" s="12">
        <f>BSHARE("health_srv_share",0,"Rural","median")</f>
        <v/>
      </c>
    </row>
    <row r="497">
      <c r="D497" s="6" t="inlineStr">
        <is>
          <t>median</t>
        </is>
      </c>
      <c r="E497" s="6" t="inlineStr">
        <is>
          <t>Rural</t>
        </is>
      </c>
      <c r="F497" s="6" t="inlineStr">
        <is>
          <t>Deciles</t>
        </is>
      </c>
      <c r="G497" s="6" t="inlineStr">
        <is>
          <t>hea</t>
        </is>
      </c>
      <c r="H497" s="6" t="inlineStr">
        <is>
          <t>%</t>
        </is>
      </c>
      <c r="Q497" s="12">
        <f>BSHARE("health_srv_share",DECILE_ARRAY,"Rural","median")</f>
        <v/>
      </c>
    </row>
    <row r="498">
      <c r="D498" s="6" t="inlineStr">
        <is>
          <t>p25</t>
        </is>
      </c>
      <c r="E498" s="6" t="inlineStr">
        <is>
          <t>Overall</t>
        </is>
      </c>
      <c r="F498" s="6" t="inlineStr">
        <is>
          <t>Basket</t>
        </is>
      </c>
      <c r="G498" s="6" t="inlineStr">
        <is>
          <t>hea</t>
        </is>
      </c>
      <c r="H498" s="6" t="inlineStr">
        <is>
          <t>%</t>
        </is>
      </c>
      <c r="P498" s="12">
        <f>BSHARE("health_srv_share",0,"Overall","p25")</f>
        <v/>
      </c>
    </row>
    <row r="499">
      <c r="D499" s="6" t="inlineStr">
        <is>
          <t>p25</t>
        </is>
      </c>
      <c r="E499" s="6" t="inlineStr">
        <is>
          <t>Overall</t>
        </is>
      </c>
      <c r="F499" s="6" t="inlineStr">
        <is>
          <t>Deciles</t>
        </is>
      </c>
      <c r="G499" s="6" t="inlineStr">
        <is>
          <t>hea</t>
        </is>
      </c>
      <c r="H499" s="6" t="inlineStr">
        <is>
          <t>%</t>
        </is>
      </c>
      <c r="Q499" s="12">
        <f>BSHARE("health_srv_share",DECILE_ARRAY,"Overall","p25")</f>
        <v/>
      </c>
    </row>
    <row r="500">
      <c r="D500" s="6" t="inlineStr">
        <is>
          <t>p25</t>
        </is>
      </c>
      <c r="E500" s="6" t="inlineStr">
        <is>
          <t>Urban</t>
        </is>
      </c>
      <c r="F500" s="6" t="inlineStr">
        <is>
          <t>Basket</t>
        </is>
      </c>
      <c r="G500" s="6" t="inlineStr">
        <is>
          <t>hea</t>
        </is>
      </c>
      <c r="H500" s="6" t="inlineStr">
        <is>
          <t>%</t>
        </is>
      </c>
      <c r="P500" s="12">
        <f>BSHARE("health_srv_share",0,"Urban","p25")</f>
        <v/>
      </c>
    </row>
    <row r="501">
      <c r="D501" s="6" t="inlineStr">
        <is>
          <t>p25</t>
        </is>
      </c>
      <c r="E501" s="6" t="inlineStr">
        <is>
          <t>Urban</t>
        </is>
      </c>
      <c r="F501" s="6" t="inlineStr">
        <is>
          <t>Deciles</t>
        </is>
      </c>
      <c r="G501" s="6" t="inlineStr">
        <is>
          <t>hea</t>
        </is>
      </c>
      <c r="H501" s="6" t="inlineStr">
        <is>
          <t>%</t>
        </is>
      </c>
      <c r="Q501" s="12">
        <f>BSHARE("health_srv_share",DECILE_ARRAY,"Urban","p25")</f>
        <v/>
      </c>
    </row>
    <row r="502">
      <c r="D502" s="6" t="inlineStr">
        <is>
          <t>p25</t>
        </is>
      </c>
      <c r="E502" s="6" t="inlineStr">
        <is>
          <t>Rural</t>
        </is>
      </c>
      <c r="F502" s="6" t="inlineStr">
        <is>
          <t>Basket</t>
        </is>
      </c>
      <c r="G502" s="6" t="inlineStr">
        <is>
          <t>hea</t>
        </is>
      </c>
      <c r="H502" s="6" t="inlineStr">
        <is>
          <t>%</t>
        </is>
      </c>
      <c r="P502" s="12">
        <f>BSHARE("health_srv_share",0,"Rural","p25")</f>
        <v/>
      </c>
    </row>
    <row r="503">
      <c r="D503" s="6" t="inlineStr">
        <is>
          <t>p25</t>
        </is>
      </c>
      <c r="E503" s="6" t="inlineStr">
        <is>
          <t>Rural</t>
        </is>
      </c>
      <c r="F503" s="6" t="inlineStr">
        <is>
          <t>Deciles</t>
        </is>
      </c>
      <c r="G503" s="6" t="inlineStr">
        <is>
          <t>hea</t>
        </is>
      </c>
      <c r="H503" s="6" t="inlineStr">
        <is>
          <t>%</t>
        </is>
      </c>
      <c r="Q503" s="12">
        <f>BSHARE("health_srv_share",DECILE_ARRAY,"Rural","p25")</f>
        <v/>
      </c>
    </row>
    <row r="504">
      <c r="D504" s="6" t="inlineStr">
        <is>
          <t>p75</t>
        </is>
      </c>
      <c r="E504" s="6" t="inlineStr">
        <is>
          <t>Overall</t>
        </is>
      </c>
      <c r="F504" s="6" t="inlineStr">
        <is>
          <t>Basket</t>
        </is>
      </c>
      <c r="G504" s="6" t="inlineStr">
        <is>
          <t>hea</t>
        </is>
      </c>
      <c r="H504" s="6" t="inlineStr">
        <is>
          <t>%</t>
        </is>
      </c>
      <c r="P504" s="12">
        <f>BSHARE("health_srv_share",0,"Overall","p75")</f>
        <v/>
      </c>
    </row>
    <row r="505">
      <c r="D505" s="6" t="inlineStr">
        <is>
          <t>p75</t>
        </is>
      </c>
      <c r="E505" s="6" t="inlineStr">
        <is>
          <t>Overall</t>
        </is>
      </c>
      <c r="F505" s="6" t="inlineStr">
        <is>
          <t>Deciles</t>
        </is>
      </c>
      <c r="G505" s="6" t="inlineStr">
        <is>
          <t>hea</t>
        </is>
      </c>
      <c r="H505" s="6" t="inlineStr">
        <is>
          <t>%</t>
        </is>
      </c>
      <c r="Q505" s="12">
        <f>BSHARE("health_srv_share",DECILE_ARRAY,"Overall","p75")</f>
        <v/>
      </c>
    </row>
    <row r="506">
      <c r="D506" s="6" t="inlineStr">
        <is>
          <t>p75</t>
        </is>
      </c>
      <c r="E506" s="6" t="inlineStr">
        <is>
          <t>Urban</t>
        </is>
      </c>
      <c r="F506" s="6" t="inlineStr">
        <is>
          <t>Basket</t>
        </is>
      </c>
      <c r="G506" s="6" t="inlineStr">
        <is>
          <t>hea</t>
        </is>
      </c>
      <c r="H506" s="6" t="inlineStr">
        <is>
          <t>%</t>
        </is>
      </c>
      <c r="P506" s="12">
        <f>BSHARE("health_srv_share",0,"Urban","p75")</f>
        <v/>
      </c>
    </row>
    <row r="507">
      <c r="D507" s="6" t="inlineStr">
        <is>
          <t>p75</t>
        </is>
      </c>
      <c r="E507" s="6" t="inlineStr">
        <is>
          <t>Urban</t>
        </is>
      </c>
      <c r="F507" s="6" t="inlineStr">
        <is>
          <t>Deciles</t>
        </is>
      </c>
      <c r="G507" s="6" t="inlineStr">
        <is>
          <t>hea</t>
        </is>
      </c>
      <c r="H507" s="6" t="inlineStr">
        <is>
          <t>%</t>
        </is>
      </c>
      <c r="Q507" s="12">
        <f>BSHARE("health_srv_share",DECILE_ARRAY,"Urban","p75")</f>
        <v/>
      </c>
    </row>
    <row r="508">
      <c r="D508" s="6" t="inlineStr">
        <is>
          <t>p75</t>
        </is>
      </c>
      <c r="E508" s="6" t="inlineStr">
        <is>
          <t>Rural</t>
        </is>
      </c>
      <c r="F508" s="6" t="inlineStr">
        <is>
          <t>Basket</t>
        </is>
      </c>
      <c r="G508" s="6" t="inlineStr">
        <is>
          <t>hea</t>
        </is>
      </c>
      <c r="H508" s="6" t="inlineStr">
        <is>
          <t>%</t>
        </is>
      </c>
      <c r="P508" s="12">
        <f>BSHARE("health_srv_share",0,"Rural","p75")</f>
        <v/>
      </c>
    </row>
    <row r="509">
      <c r="D509" s="6" t="inlineStr">
        <is>
          <t>p75</t>
        </is>
      </c>
      <c r="E509" s="6" t="inlineStr">
        <is>
          <t>Rural</t>
        </is>
      </c>
      <c r="F509" s="6" t="inlineStr">
        <is>
          <t>Deciles</t>
        </is>
      </c>
      <c r="G509" s="6" t="inlineStr">
        <is>
          <t>hea</t>
        </is>
      </c>
      <c r="H509" s="6" t="inlineStr">
        <is>
          <t>%</t>
        </is>
      </c>
      <c r="Q509" s="12">
        <f>BSHARE("health_srv_share",DECILE_ARRAY,"Rural","p75")</f>
        <v/>
      </c>
    </row>
    <row r="510"/>
    <row r="511">
      <c r="C511" s="7" t="inlineStr">
        <is>
          <t>Housing Budget Share (% Total Consumption)</t>
        </is>
      </c>
      <c r="G511" s="6" t="inlineStr">
        <is>
          <t>hou</t>
        </is>
      </c>
      <c r="O511" s="8" t="inlineStr">
        <is>
          <t>Decile --&gt;</t>
        </is>
      </c>
      <c r="Q511" s="8" t="n">
        <v>1</v>
      </c>
      <c r="R511" s="8" t="n">
        <v>2</v>
      </c>
      <c r="S511" s="8" t="n">
        <v>3</v>
      </c>
      <c r="T511" s="8" t="n">
        <v>4</v>
      </c>
      <c r="U511" s="8" t="n">
        <v>5</v>
      </c>
      <c r="V511" s="8" t="n">
        <v>6</v>
      </c>
      <c r="W511" s="8" t="n">
        <v>7</v>
      </c>
      <c r="X511" s="8" t="n">
        <v>8</v>
      </c>
      <c r="Y511" s="8" t="n">
        <v>9</v>
      </c>
      <c r="Z511" s="8" t="n">
        <v>10</v>
      </c>
    </row>
    <row r="512">
      <c r="D512" s="6" t="inlineStr">
        <is>
          <t>mean</t>
        </is>
      </c>
      <c r="E512" s="6" t="inlineStr">
        <is>
          <t>Overall</t>
        </is>
      </c>
      <c r="F512" s="6" t="inlineStr">
        <is>
          <t>Basket</t>
        </is>
      </c>
      <c r="G512" s="6" t="inlineStr">
        <is>
          <t>hou</t>
        </is>
      </c>
      <c r="H512" s="6" t="inlineStr">
        <is>
          <t>%</t>
        </is>
      </c>
      <c r="P512" s="12">
        <f>BSHARE("housing_share",0,"Overall","mean")</f>
        <v/>
      </c>
    </row>
    <row r="513">
      <c r="D513" s="6" t="inlineStr">
        <is>
          <t>mean</t>
        </is>
      </c>
      <c r="E513" s="6" t="inlineStr">
        <is>
          <t>Overall</t>
        </is>
      </c>
      <c r="F513" s="6" t="inlineStr">
        <is>
          <t>Deciles</t>
        </is>
      </c>
      <c r="G513" s="6" t="inlineStr">
        <is>
          <t>hou</t>
        </is>
      </c>
      <c r="H513" s="6" t="inlineStr">
        <is>
          <t>%</t>
        </is>
      </c>
      <c r="Q513" s="12">
        <f>BSHARE("housing_share",DECILE_ARRAY,"Overall","mean")</f>
        <v/>
      </c>
    </row>
    <row r="514">
      <c r="D514" s="6" t="inlineStr">
        <is>
          <t>mean</t>
        </is>
      </c>
      <c r="E514" s="6" t="inlineStr">
        <is>
          <t>Urban</t>
        </is>
      </c>
      <c r="F514" s="6" t="inlineStr">
        <is>
          <t>Basket</t>
        </is>
      </c>
      <c r="G514" s="6" t="inlineStr">
        <is>
          <t>hou</t>
        </is>
      </c>
      <c r="H514" s="6" t="inlineStr">
        <is>
          <t>%</t>
        </is>
      </c>
      <c r="P514" s="12">
        <f>BSHARE("housing_share",0,"Urban","mean")</f>
        <v/>
      </c>
    </row>
    <row r="515">
      <c r="D515" s="6" t="inlineStr">
        <is>
          <t>mean</t>
        </is>
      </c>
      <c r="E515" s="6" t="inlineStr">
        <is>
          <t>Urban</t>
        </is>
      </c>
      <c r="F515" s="6" t="inlineStr">
        <is>
          <t>Deciles</t>
        </is>
      </c>
      <c r="G515" s="6" t="inlineStr">
        <is>
          <t>hou</t>
        </is>
      </c>
      <c r="H515" s="6" t="inlineStr">
        <is>
          <t>%</t>
        </is>
      </c>
      <c r="Q515" s="12">
        <f>BSHARE("housing_share",DECILE_ARRAY,"Urban","mean")</f>
        <v/>
      </c>
    </row>
    <row r="516">
      <c r="D516" s="6" t="inlineStr">
        <is>
          <t>mean</t>
        </is>
      </c>
      <c r="E516" s="6" t="inlineStr">
        <is>
          <t>Rural</t>
        </is>
      </c>
      <c r="F516" s="6" t="inlineStr">
        <is>
          <t>Basket</t>
        </is>
      </c>
      <c r="G516" s="6" t="inlineStr">
        <is>
          <t>hou</t>
        </is>
      </c>
      <c r="H516" s="6" t="inlineStr">
        <is>
          <t>%</t>
        </is>
      </c>
      <c r="P516" s="12">
        <f>BSHARE("housing_share",0,"Rural","mean")</f>
        <v/>
      </c>
    </row>
    <row r="517">
      <c r="D517" s="6" t="inlineStr">
        <is>
          <t>mean</t>
        </is>
      </c>
      <c r="E517" s="6" t="inlineStr">
        <is>
          <t>Rural</t>
        </is>
      </c>
      <c r="F517" s="6" t="inlineStr">
        <is>
          <t>Deciles</t>
        </is>
      </c>
      <c r="G517" s="6" t="inlineStr">
        <is>
          <t>hou</t>
        </is>
      </c>
      <c r="H517" s="6" t="inlineStr">
        <is>
          <t>%</t>
        </is>
      </c>
      <c r="Q517" s="12">
        <f>BSHARE("housing_share",DECILE_ARRAY,"Rural","mean")</f>
        <v/>
      </c>
    </row>
    <row r="518">
      <c r="D518" s="6" t="inlineStr">
        <is>
          <t>median</t>
        </is>
      </c>
      <c r="E518" s="6" t="inlineStr">
        <is>
          <t>Overall</t>
        </is>
      </c>
      <c r="F518" s="6" t="inlineStr">
        <is>
          <t>Basket</t>
        </is>
      </c>
      <c r="G518" s="6" t="inlineStr">
        <is>
          <t>hou</t>
        </is>
      </c>
      <c r="H518" s="6" t="inlineStr">
        <is>
          <t>%</t>
        </is>
      </c>
      <c r="P518" s="12">
        <f>BSHARE("housing_share",0,"Overall","median")</f>
        <v/>
      </c>
    </row>
    <row r="519">
      <c r="D519" s="6" t="inlineStr">
        <is>
          <t>median</t>
        </is>
      </c>
      <c r="E519" s="6" t="inlineStr">
        <is>
          <t>Overall</t>
        </is>
      </c>
      <c r="F519" s="6" t="inlineStr">
        <is>
          <t>Deciles</t>
        </is>
      </c>
      <c r="G519" s="6" t="inlineStr">
        <is>
          <t>hou</t>
        </is>
      </c>
      <c r="H519" s="6" t="inlineStr">
        <is>
          <t>%</t>
        </is>
      </c>
      <c r="Q519" s="12">
        <f>BSHARE("housing_share",DECILE_ARRAY,"Overall","median")</f>
        <v/>
      </c>
    </row>
    <row r="520">
      <c r="D520" s="6" t="inlineStr">
        <is>
          <t>median</t>
        </is>
      </c>
      <c r="E520" s="6" t="inlineStr">
        <is>
          <t>Urban</t>
        </is>
      </c>
      <c r="F520" s="6" t="inlineStr">
        <is>
          <t>Basket</t>
        </is>
      </c>
      <c r="G520" s="6" t="inlineStr">
        <is>
          <t>hou</t>
        </is>
      </c>
      <c r="H520" s="6" t="inlineStr">
        <is>
          <t>%</t>
        </is>
      </c>
      <c r="P520" s="12">
        <f>BSHARE("housing_share",0,"Urban","median")</f>
        <v/>
      </c>
    </row>
    <row r="521">
      <c r="D521" s="6" t="inlineStr">
        <is>
          <t>median</t>
        </is>
      </c>
      <c r="E521" s="6" t="inlineStr">
        <is>
          <t>Urban</t>
        </is>
      </c>
      <c r="F521" s="6" t="inlineStr">
        <is>
          <t>Deciles</t>
        </is>
      </c>
      <c r="G521" s="6" t="inlineStr">
        <is>
          <t>hou</t>
        </is>
      </c>
      <c r="H521" s="6" t="inlineStr">
        <is>
          <t>%</t>
        </is>
      </c>
      <c r="Q521" s="12">
        <f>BSHARE("housing_share",DECILE_ARRAY,"Urban","median")</f>
        <v/>
      </c>
    </row>
    <row r="522">
      <c r="D522" s="6" t="inlineStr">
        <is>
          <t>median</t>
        </is>
      </c>
      <c r="E522" s="6" t="inlineStr">
        <is>
          <t>Rural</t>
        </is>
      </c>
      <c r="F522" s="6" t="inlineStr">
        <is>
          <t>Basket</t>
        </is>
      </c>
      <c r="G522" s="6" t="inlineStr">
        <is>
          <t>hou</t>
        </is>
      </c>
      <c r="H522" s="6" t="inlineStr">
        <is>
          <t>%</t>
        </is>
      </c>
      <c r="P522" s="12">
        <f>BSHARE("housing_share",0,"Rural","median")</f>
        <v/>
      </c>
    </row>
    <row r="523">
      <c r="D523" s="6" t="inlineStr">
        <is>
          <t>median</t>
        </is>
      </c>
      <c r="E523" s="6" t="inlineStr">
        <is>
          <t>Rural</t>
        </is>
      </c>
      <c r="F523" s="6" t="inlineStr">
        <is>
          <t>Deciles</t>
        </is>
      </c>
      <c r="G523" s="6" t="inlineStr">
        <is>
          <t>hou</t>
        </is>
      </c>
      <c r="H523" s="6" t="inlineStr">
        <is>
          <t>%</t>
        </is>
      </c>
      <c r="Q523" s="12">
        <f>BSHARE("housing_share",DECILE_ARRAY,"Rural","median")</f>
        <v/>
      </c>
    </row>
    <row r="524">
      <c r="D524" s="6" t="inlineStr">
        <is>
          <t>p25</t>
        </is>
      </c>
      <c r="E524" s="6" t="inlineStr">
        <is>
          <t>Overall</t>
        </is>
      </c>
      <c r="F524" s="6" t="inlineStr">
        <is>
          <t>Basket</t>
        </is>
      </c>
      <c r="G524" s="6" t="inlineStr">
        <is>
          <t>hou</t>
        </is>
      </c>
      <c r="H524" s="6" t="inlineStr">
        <is>
          <t>%</t>
        </is>
      </c>
      <c r="P524" s="12">
        <f>BSHARE("housing_share",0,"Overall","p25")</f>
        <v/>
      </c>
    </row>
    <row r="525">
      <c r="D525" s="6" t="inlineStr">
        <is>
          <t>p25</t>
        </is>
      </c>
      <c r="E525" s="6" t="inlineStr">
        <is>
          <t>Overall</t>
        </is>
      </c>
      <c r="F525" s="6" t="inlineStr">
        <is>
          <t>Deciles</t>
        </is>
      </c>
      <c r="G525" s="6" t="inlineStr">
        <is>
          <t>hou</t>
        </is>
      </c>
      <c r="H525" s="6" t="inlineStr">
        <is>
          <t>%</t>
        </is>
      </c>
      <c r="Q525" s="12">
        <f>BSHARE("housing_share",DECILE_ARRAY,"Overall","p25")</f>
        <v/>
      </c>
    </row>
    <row r="526">
      <c r="D526" s="6" t="inlineStr">
        <is>
          <t>p25</t>
        </is>
      </c>
      <c r="E526" s="6" t="inlineStr">
        <is>
          <t>Urban</t>
        </is>
      </c>
      <c r="F526" s="6" t="inlineStr">
        <is>
          <t>Basket</t>
        </is>
      </c>
      <c r="G526" s="6" t="inlineStr">
        <is>
          <t>hou</t>
        </is>
      </c>
      <c r="H526" s="6" t="inlineStr">
        <is>
          <t>%</t>
        </is>
      </c>
      <c r="P526" s="12">
        <f>BSHARE("housing_share",0,"Urban","p25")</f>
        <v/>
      </c>
    </row>
    <row r="527">
      <c r="D527" s="6" t="inlineStr">
        <is>
          <t>p25</t>
        </is>
      </c>
      <c r="E527" s="6" t="inlineStr">
        <is>
          <t>Urban</t>
        </is>
      </c>
      <c r="F527" s="6" t="inlineStr">
        <is>
          <t>Deciles</t>
        </is>
      </c>
      <c r="G527" s="6" t="inlineStr">
        <is>
          <t>hou</t>
        </is>
      </c>
      <c r="H527" s="6" t="inlineStr">
        <is>
          <t>%</t>
        </is>
      </c>
      <c r="Q527" s="12">
        <f>BSHARE("housing_share",DECILE_ARRAY,"Urban","p25")</f>
        <v/>
      </c>
    </row>
    <row r="528">
      <c r="D528" s="6" t="inlineStr">
        <is>
          <t>p25</t>
        </is>
      </c>
      <c r="E528" s="6" t="inlineStr">
        <is>
          <t>Rural</t>
        </is>
      </c>
      <c r="F528" s="6" t="inlineStr">
        <is>
          <t>Basket</t>
        </is>
      </c>
      <c r="G528" s="6" t="inlineStr">
        <is>
          <t>hou</t>
        </is>
      </c>
      <c r="H528" s="6" t="inlineStr">
        <is>
          <t>%</t>
        </is>
      </c>
      <c r="P528" s="12">
        <f>BSHARE("housing_share",0,"Rural","p25")</f>
        <v/>
      </c>
    </row>
    <row r="529">
      <c r="D529" s="6" t="inlineStr">
        <is>
          <t>p25</t>
        </is>
      </c>
      <c r="E529" s="6" t="inlineStr">
        <is>
          <t>Rural</t>
        </is>
      </c>
      <c r="F529" s="6" t="inlineStr">
        <is>
          <t>Deciles</t>
        </is>
      </c>
      <c r="G529" s="6" t="inlineStr">
        <is>
          <t>hou</t>
        </is>
      </c>
      <c r="H529" s="6" t="inlineStr">
        <is>
          <t>%</t>
        </is>
      </c>
      <c r="Q529" s="12">
        <f>BSHARE("housing_share",DECILE_ARRAY,"Rural","p25")</f>
        <v/>
      </c>
    </row>
    <row r="530">
      <c r="D530" s="6" t="inlineStr">
        <is>
          <t>p75</t>
        </is>
      </c>
      <c r="E530" s="6" t="inlineStr">
        <is>
          <t>Overall</t>
        </is>
      </c>
      <c r="F530" s="6" t="inlineStr">
        <is>
          <t>Basket</t>
        </is>
      </c>
      <c r="G530" s="6" t="inlineStr">
        <is>
          <t>hou</t>
        </is>
      </c>
      <c r="H530" s="6" t="inlineStr">
        <is>
          <t>%</t>
        </is>
      </c>
      <c r="P530" s="12">
        <f>BSHARE("housing_share",0,"Overall","p75")</f>
        <v/>
      </c>
    </row>
    <row r="531">
      <c r="D531" s="6" t="inlineStr">
        <is>
          <t>p75</t>
        </is>
      </c>
      <c r="E531" s="6" t="inlineStr">
        <is>
          <t>Overall</t>
        </is>
      </c>
      <c r="F531" s="6" t="inlineStr">
        <is>
          <t>Deciles</t>
        </is>
      </c>
      <c r="G531" s="6" t="inlineStr">
        <is>
          <t>hou</t>
        </is>
      </c>
      <c r="H531" s="6" t="inlineStr">
        <is>
          <t>%</t>
        </is>
      </c>
      <c r="Q531" s="12">
        <f>BSHARE("housing_share",DECILE_ARRAY,"Overall","p75")</f>
        <v/>
      </c>
    </row>
    <row r="532">
      <c r="D532" s="6" t="inlineStr">
        <is>
          <t>p75</t>
        </is>
      </c>
      <c r="E532" s="6" t="inlineStr">
        <is>
          <t>Urban</t>
        </is>
      </c>
      <c r="F532" s="6" t="inlineStr">
        <is>
          <t>Basket</t>
        </is>
      </c>
      <c r="G532" s="6" t="inlineStr">
        <is>
          <t>hou</t>
        </is>
      </c>
      <c r="H532" s="6" t="inlineStr">
        <is>
          <t>%</t>
        </is>
      </c>
      <c r="P532" s="12">
        <f>BSHARE("housing_share",0,"Urban","p75")</f>
        <v/>
      </c>
    </row>
    <row r="533">
      <c r="D533" s="6" t="inlineStr">
        <is>
          <t>p75</t>
        </is>
      </c>
      <c r="E533" s="6" t="inlineStr">
        <is>
          <t>Urban</t>
        </is>
      </c>
      <c r="F533" s="6" t="inlineStr">
        <is>
          <t>Deciles</t>
        </is>
      </c>
      <c r="G533" s="6" t="inlineStr">
        <is>
          <t>hou</t>
        </is>
      </c>
      <c r="H533" s="6" t="inlineStr">
        <is>
          <t>%</t>
        </is>
      </c>
      <c r="Q533" s="12">
        <f>BSHARE("housing_share",DECILE_ARRAY,"Urban","p75")</f>
        <v/>
      </c>
    </row>
    <row r="534">
      <c r="D534" s="6" t="inlineStr">
        <is>
          <t>p75</t>
        </is>
      </c>
      <c r="E534" s="6" t="inlineStr">
        <is>
          <t>Rural</t>
        </is>
      </c>
      <c r="F534" s="6" t="inlineStr">
        <is>
          <t>Basket</t>
        </is>
      </c>
      <c r="G534" s="6" t="inlineStr">
        <is>
          <t>hou</t>
        </is>
      </c>
      <c r="H534" s="6" t="inlineStr">
        <is>
          <t>%</t>
        </is>
      </c>
      <c r="P534" s="12">
        <f>BSHARE("housing_share",0,"Rural","p75")</f>
        <v/>
      </c>
    </row>
    <row r="535">
      <c r="D535" s="6" t="inlineStr">
        <is>
          <t>p75</t>
        </is>
      </c>
      <c r="E535" s="6" t="inlineStr">
        <is>
          <t>Rural</t>
        </is>
      </c>
      <c r="F535" s="6" t="inlineStr">
        <is>
          <t>Deciles</t>
        </is>
      </c>
      <c r="G535" s="6" t="inlineStr">
        <is>
          <t>hou</t>
        </is>
      </c>
      <c r="H535" s="6" t="inlineStr">
        <is>
          <t>%</t>
        </is>
      </c>
      <c r="Q535" s="12">
        <f>BSHARE("housing_share",DECILE_ARRAY,"Rural","p75")</f>
        <v/>
      </c>
    </row>
    <row r="536"/>
    <row r="537">
      <c r="C537" s="7" t="inlineStr">
        <is>
          <t>Other Budget Share (% Total Consumption)</t>
        </is>
      </c>
      <c r="G537" s="6" t="inlineStr">
        <is>
          <t>oth</t>
        </is>
      </c>
      <c r="O537" s="8" t="inlineStr">
        <is>
          <t>Decile --&gt;</t>
        </is>
      </c>
      <c r="Q537" s="8" t="n">
        <v>1</v>
      </c>
      <c r="R537" s="8" t="n">
        <v>2</v>
      </c>
      <c r="S537" s="8" t="n">
        <v>3</v>
      </c>
      <c r="T537" s="8" t="n">
        <v>4</v>
      </c>
      <c r="U537" s="8" t="n">
        <v>5</v>
      </c>
      <c r="V537" s="8" t="n">
        <v>6</v>
      </c>
      <c r="W537" s="8" t="n">
        <v>7</v>
      </c>
      <c r="X537" s="8" t="n">
        <v>8</v>
      </c>
      <c r="Y537" s="8" t="n">
        <v>9</v>
      </c>
      <c r="Z537" s="8" t="n">
        <v>10</v>
      </c>
    </row>
    <row r="538">
      <c r="D538" s="6" t="inlineStr">
        <is>
          <t>mean</t>
        </is>
      </c>
      <c r="E538" s="6" t="inlineStr">
        <is>
          <t>Overall</t>
        </is>
      </c>
      <c r="F538" s="6" t="inlineStr">
        <is>
          <t>Basket</t>
        </is>
      </c>
      <c r="G538" s="6" t="inlineStr">
        <is>
          <t>oth</t>
        </is>
      </c>
      <c r="H538" s="6" t="inlineStr">
        <is>
          <t>%</t>
        </is>
      </c>
      <c r="P538" s="12">
        <f>BSHARE("other_share",0,"Overall","mean")</f>
        <v/>
      </c>
    </row>
    <row r="539">
      <c r="D539" s="6" t="inlineStr">
        <is>
          <t>mean</t>
        </is>
      </c>
      <c r="E539" s="6" t="inlineStr">
        <is>
          <t>Overall</t>
        </is>
      </c>
      <c r="F539" s="6" t="inlineStr">
        <is>
          <t>Deciles</t>
        </is>
      </c>
      <c r="G539" s="6" t="inlineStr">
        <is>
          <t>oth</t>
        </is>
      </c>
      <c r="H539" s="6" t="inlineStr">
        <is>
          <t>%</t>
        </is>
      </c>
      <c r="Q539" s="12">
        <f>BSHARE("other_share",DECILE_ARRAY,"Overall","mean")</f>
        <v/>
      </c>
    </row>
    <row r="540">
      <c r="D540" s="6" t="inlineStr">
        <is>
          <t>mean</t>
        </is>
      </c>
      <c r="E540" s="6" t="inlineStr">
        <is>
          <t>Urban</t>
        </is>
      </c>
      <c r="F540" s="6" t="inlineStr">
        <is>
          <t>Basket</t>
        </is>
      </c>
      <c r="G540" s="6" t="inlineStr">
        <is>
          <t>oth</t>
        </is>
      </c>
      <c r="H540" s="6" t="inlineStr">
        <is>
          <t>%</t>
        </is>
      </c>
      <c r="P540" s="12">
        <f>BSHARE("other_share",0,"Urban","mean")</f>
        <v/>
      </c>
    </row>
    <row r="541">
      <c r="D541" s="6" t="inlineStr">
        <is>
          <t>mean</t>
        </is>
      </c>
      <c r="E541" s="6" t="inlineStr">
        <is>
          <t>Urban</t>
        </is>
      </c>
      <c r="F541" s="6" t="inlineStr">
        <is>
          <t>Deciles</t>
        </is>
      </c>
      <c r="G541" s="6" t="inlineStr">
        <is>
          <t>oth</t>
        </is>
      </c>
      <c r="H541" s="6" t="inlineStr">
        <is>
          <t>%</t>
        </is>
      </c>
      <c r="Q541" s="12">
        <f>BSHARE("other_share",DECILE_ARRAY,"Urban","mean")</f>
        <v/>
      </c>
    </row>
    <row r="542">
      <c r="D542" s="6" t="inlineStr">
        <is>
          <t>mean</t>
        </is>
      </c>
      <c r="E542" s="6" t="inlineStr">
        <is>
          <t>Rural</t>
        </is>
      </c>
      <c r="F542" s="6" t="inlineStr">
        <is>
          <t>Basket</t>
        </is>
      </c>
      <c r="G542" s="6" t="inlineStr">
        <is>
          <t>oth</t>
        </is>
      </c>
      <c r="H542" s="6" t="inlineStr">
        <is>
          <t>%</t>
        </is>
      </c>
      <c r="P542" s="12">
        <f>BSHARE("other_share",0,"Rural","mean")</f>
        <v/>
      </c>
    </row>
    <row r="543">
      <c r="D543" s="6" t="inlineStr">
        <is>
          <t>mean</t>
        </is>
      </c>
      <c r="E543" s="6" t="inlineStr">
        <is>
          <t>Rural</t>
        </is>
      </c>
      <c r="F543" s="6" t="inlineStr">
        <is>
          <t>Deciles</t>
        </is>
      </c>
      <c r="G543" s="6" t="inlineStr">
        <is>
          <t>oth</t>
        </is>
      </c>
      <c r="H543" s="6" t="inlineStr">
        <is>
          <t>%</t>
        </is>
      </c>
      <c r="Q543" s="12">
        <f>BSHARE("other_share",DECILE_ARRAY,"Rural","mean")</f>
        <v/>
      </c>
    </row>
    <row r="544">
      <c r="D544" s="6" t="inlineStr">
        <is>
          <t>median</t>
        </is>
      </c>
      <c r="E544" s="6" t="inlineStr">
        <is>
          <t>Overall</t>
        </is>
      </c>
      <c r="F544" s="6" t="inlineStr">
        <is>
          <t>Basket</t>
        </is>
      </c>
      <c r="G544" s="6" t="inlineStr">
        <is>
          <t>oth</t>
        </is>
      </c>
      <c r="H544" s="6" t="inlineStr">
        <is>
          <t>%</t>
        </is>
      </c>
      <c r="P544" s="12">
        <f>BSHARE("other_share",0,"Overall","median")</f>
        <v/>
      </c>
    </row>
    <row r="545">
      <c r="D545" s="6" t="inlineStr">
        <is>
          <t>median</t>
        </is>
      </c>
      <c r="E545" s="6" t="inlineStr">
        <is>
          <t>Overall</t>
        </is>
      </c>
      <c r="F545" s="6" t="inlineStr">
        <is>
          <t>Deciles</t>
        </is>
      </c>
      <c r="G545" s="6" t="inlineStr">
        <is>
          <t>oth</t>
        </is>
      </c>
      <c r="H545" s="6" t="inlineStr">
        <is>
          <t>%</t>
        </is>
      </c>
      <c r="Q545" s="12">
        <f>BSHARE("other_share",DECILE_ARRAY,"Overall","median")</f>
        <v/>
      </c>
    </row>
    <row r="546">
      <c r="D546" s="6" t="inlineStr">
        <is>
          <t>median</t>
        </is>
      </c>
      <c r="E546" s="6" t="inlineStr">
        <is>
          <t>Urban</t>
        </is>
      </c>
      <c r="F546" s="6" t="inlineStr">
        <is>
          <t>Basket</t>
        </is>
      </c>
      <c r="G546" s="6" t="inlineStr">
        <is>
          <t>oth</t>
        </is>
      </c>
      <c r="H546" s="6" t="inlineStr">
        <is>
          <t>%</t>
        </is>
      </c>
      <c r="P546" s="12">
        <f>BSHARE("other_share",0,"Urban","median")</f>
        <v/>
      </c>
    </row>
    <row r="547">
      <c r="D547" s="6" t="inlineStr">
        <is>
          <t>median</t>
        </is>
      </c>
      <c r="E547" s="6" t="inlineStr">
        <is>
          <t>Urban</t>
        </is>
      </c>
      <c r="F547" s="6" t="inlineStr">
        <is>
          <t>Deciles</t>
        </is>
      </c>
      <c r="G547" s="6" t="inlineStr">
        <is>
          <t>oth</t>
        </is>
      </c>
      <c r="H547" s="6" t="inlineStr">
        <is>
          <t>%</t>
        </is>
      </c>
      <c r="Q547" s="12">
        <f>BSHARE("other_share",DECILE_ARRAY,"Urban","median")</f>
        <v/>
      </c>
    </row>
    <row r="548">
      <c r="D548" s="6" t="inlineStr">
        <is>
          <t>median</t>
        </is>
      </c>
      <c r="E548" s="6" t="inlineStr">
        <is>
          <t>Rural</t>
        </is>
      </c>
      <c r="F548" s="6" t="inlineStr">
        <is>
          <t>Basket</t>
        </is>
      </c>
      <c r="G548" s="6" t="inlineStr">
        <is>
          <t>oth</t>
        </is>
      </c>
      <c r="H548" s="6" t="inlineStr">
        <is>
          <t>%</t>
        </is>
      </c>
      <c r="P548" s="12">
        <f>BSHARE("other_share",0,"Rural","median")</f>
        <v/>
      </c>
    </row>
    <row r="549">
      <c r="D549" s="6" t="inlineStr">
        <is>
          <t>median</t>
        </is>
      </c>
      <c r="E549" s="6" t="inlineStr">
        <is>
          <t>Rural</t>
        </is>
      </c>
      <c r="F549" s="6" t="inlineStr">
        <is>
          <t>Deciles</t>
        </is>
      </c>
      <c r="G549" s="6" t="inlineStr">
        <is>
          <t>oth</t>
        </is>
      </c>
      <c r="H549" s="6" t="inlineStr">
        <is>
          <t>%</t>
        </is>
      </c>
      <c r="Q549" s="12">
        <f>BSHARE("other_share",DECILE_ARRAY,"Rural","median")</f>
        <v/>
      </c>
    </row>
    <row r="550">
      <c r="D550" s="6" t="inlineStr">
        <is>
          <t>p25</t>
        </is>
      </c>
      <c r="E550" s="6" t="inlineStr">
        <is>
          <t>Overall</t>
        </is>
      </c>
      <c r="F550" s="6" t="inlineStr">
        <is>
          <t>Basket</t>
        </is>
      </c>
      <c r="G550" s="6" t="inlineStr">
        <is>
          <t>oth</t>
        </is>
      </c>
      <c r="H550" s="6" t="inlineStr">
        <is>
          <t>%</t>
        </is>
      </c>
      <c r="P550" s="12">
        <f>BSHARE("other_share",0,"Overall","p25")</f>
        <v/>
      </c>
    </row>
    <row r="551">
      <c r="D551" s="6" t="inlineStr">
        <is>
          <t>p25</t>
        </is>
      </c>
      <c r="E551" s="6" t="inlineStr">
        <is>
          <t>Overall</t>
        </is>
      </c>
      <c r="F551" s="6" t="inlineStr">
        <is>
          <t>Deciles</t>
        </is>
      </c>
      <c r="G551" s="6" t="inlineStr">
        <is>
          <t>oth</t>
        </is>
      </c>
      <c r="H551" s="6" t="inlineStr">
        <is>
          <t>%</t>
        </is>
      </c>
      <c r="Q551" s="12">
        <f>BSHARE("other_share",DECILE_ARRAY,"Overall","p25")</f>
        <v/>
      </c>
    </row>
    <row r="552">
      <c r="D552" s="6" t="inlineStr">
        <is>
          <t>p25</t>
        </is>
      </c>
      <c r="E552" s="6" t="inlineStr">
        <is>
          <t>Urban</t>
        </is>
      </c>
      <c r="F552" s="6" t="inlineStr">
        <is>
          <t>Basket</t>
        </is>
      </c>
      <c r="G552" s="6" t="inlineStr">
        <is>
          <t>oth</t>
        </is>
      </c>
      <c r="H552" s="6" t="inlineStr">
        <is>
          <t>%</t>
        </is>
      </c>
      <c r="P552" s="12">
        <f>BSHARE("other_share",0,"Urban","p25")</f>
        <v/>
      </c>
    </row>
    <row r="553">
      <c r="D553" s="6" t="inlineStr">
        <is>
          <t>p25</t>
        </is>
      </c>
      <c r="E553" s="6" t="inlineStr">
        <is>
          <t>Urban</t>
        </is>
      </c>
      <c r="F553" s="6" t="inlineStr">
        <is>
          <t>Deciles</t>
        </is>
      </c>
      <c r="G553" s="6" t="inlineStr">
        <is>
          <t>oth</t>
        </is>
      </c>
      <c r="H553" s="6" t="inlineStr">
        <is>
          <t>%</t>
        </is>
      </c>
      <c r="Q553" s="12">
        <f>BSHARE("other_share",DECILE_ARRAY,"Urban","p25")</f>
        <v/>
      </c>
    </row>
    <row r="554">
      <c r="D554" s="6" t="inlineStr">
        <is>
          <t>p25</t>
        </is>
      </c>
      <c r="E554" s="6" t="inlineStr">
        <is>
          <t>Rural</t>
        </is>
      </c>
      <c r="F554" s="6" t="inlineStr">
        <is>
          <t>Basket</t>
        </is>
      </c>
      <c r="G554" s="6" t="inlineStr">
        <is>
          <t>oth</t>
        </is>
      </c>
      <c r="H554" s="6" t="inlineStr">
        <is>
          <t>%</t>
        </is>
      </c>
      <c r="P554" s="12">
        <f>BSHARE("other_share",0,"Rural","p25")</f>
        <v/>
      </c>
    </row>
    <row r="555">
      <c r="D555" s="6" t="inlineStr">
        <is>
          <t>p25</t>
        </is>
      </c>
      <c r="E555" s="6" t="inlineStr">
        <is>
          <t>Rural</t>
        </is>
      </c>
      <c r="F555" s="6" t="inlineStr">
        <is>
          <t>Deciles</t>
        </is>
      </c>
      <c r="G555" s="6" t="inlineStr">
        <is>
          <t>oth</t>
        </is>
      </c>
      <c r="H555" s="6" t="inlineStr">
        <is>
          <t>%</t>
        </is>
      </c>
      <c r="Q555" s="12">
        <f>BSHARE("other_share",DECILE_ARRAY,"Rural","p25")</f>
        <v/>
      </c>
    </row>
    <row r="556">
      <c r="D556" s="6" t="inlineStr">
        <is>
          <t>p75</t>
        </is>
      </c>
      <c r="E556" s="6" t="inlineStr">
        <is>
          <t>Overall</t>
        </is>
      </c>
      <c r="F556" s="6" t="inlineStr">
        <is>
          <t>Basket</t>
        </is>
      </c>
      <c r="G556" s="6" t="inlineStr">
        <is>
          <t>oth</t>
        </is>
      </c>
      <c r="H556" s="6" t="inlineStr">
        <is>
          <t>%</t>
        </is>
      </c>
      <c r="P556" s="12">
        <f>BSHARE("other_share",0,"Overall","p75")</f>
        <v/>
      </c>
    </row>
    <row r="557">
      <c r="D557" s="6" t="inlineStr">
        <is>
          <t>p75</t>
        </is>
      </c>
      <c r="E557" s="6" t="inlineStr">
        <is>
          <t>Overall</t>
        </is>
      </c>
      <c r="F557" s="6" t="inlineStr">
        <is>
          <t>Deciles</t>
        </is>
      </c>
      <c r="G557" s="6" t="inlineStr">
        <is>
          <t>oth</t>
        </is>
      </c>
      <c r="H557" s="6" t="inlineStr">
        <is>
          <t>%</t>
        </is>
      </c>
      <c r="Q557" s="12">
        <f>BSHARE("other_share",DECILE_ARRAY,"Overall","p75")</f>
        <v/>
      </c>
    </row>
    <row r="558">
      <c r="D558" s="6" t="inlineStr">
        <is>
          <t>p75</t>
        </is>
      </c>
      <c r="E558" s="6" t="inlineStr">
        <is>
          <t>Urban</t>
        </is>
      </c>
      <c r="F558" s="6" t="inlineStr">
        <is>
          <t>Basket</t>
        </is>
      </c>
      <c r="G558" s="6" t="inlineStr">
        <is>
          <t>oth</t>
        </is>
      </c>
      <c r="H558" s="6" t="inlineStr">
        <is>
          <t>%</t>
        </is>
      </c>
      <c r="P558" s="12">
        <f>BSHARE("other_share",0,"Urban","p75")</f>
        <v/>
      </c>
    </row>
    <row r="559">
      <c r="D559" s="6" t="inlineStr">
        <is>
          <t>p75</t>
        </is>
      </c>
      <c r="E559" s="6" t="inlineStr">
        <is>
          <t>Urban</t>
        </is>
      </c>
      <c r="F559" s="6" t="inlineStr">
        <is>
          <t>Deciles</t>
        </is>
      </c>
      <c r="G559" s="6" t="inlineStr">
        <is>
          <t>oth</t>
        </is>
      </c>
      <c r="H559" s="6" t="inlineStr">
        <is>
          <t>%</t>
        </is>
      </c>
      <c r="Q559" s="12">
        <f>BSHARE("other_share",DECILE_ARRAY,"Urban","p75")</f>
        <v/>
      </c>
    </row>
    <row r="560">
      <c r="D560" s="6" t="inlineStr">
        <is>
          <t>p75</t>
        </is>
      </c>
      <c r="E560" s="6" t="inlineStr">
        <is>
          <t>Rural</t>
        </is>
      </c>
      <c r="F560" s="6" t="inlineStr">
        <is>
          <t>Basket</t>
        </is>
      </c>
      <c r="G560" s="6" t="inlineStr">
        <is>
          <t>oth</t>
        </is>
      </c>
      <c r="H560" s="6" t="inlineStr">
        <is>
          <t>%</t>
        </is>
      </c>
      <c r="P560" s="12">
        <f>BSHARE("other_share",0,"Rural","p75")</f>
        <v/>
      </c>
    </row>
    <row r="561">
      <c r="D561" s="6" t="inlineStr">
        <is>
          <t>p75</t>
        </is>
      </c>
      <c r="E561" s="6" t="inlineStr">
        <is>
          <t>Rural</t>
        </is>
      </c>
      <c r="F561" s="6" t="inlineStr">
        <is>
          <t>Deciles</t>
        </is>
      </c>
      <c r="G561" s="6" t="inlineStr">
        <is>
          <t>oth</t>
        </is>
      </c>
      <c r="H561" s="6" t="inlineStr">
        <is>
          <t>%</t>
        </is>
      </c>
      <c r="Q561" s="12">
        <f>BSHARE("other_share",DECILE_ARRAY,"Rural","p75")</f>
        <v/>
      </c>
    </row>
    <row r="562"/>
    <row r="563">
      <c r="C563" s="7" t="inlineStr">
        <is>
          <t>Paper Budget Share (% Total Consumption)</t>
        </is>
      </c>
      <c r="G563" s="6" t="inlineStr">
        <is>
          <t>pap</t>
        </is>
      </c>
      <c r="O563" s="8" t="inlineStr">
        <is>
          <t>Decile --&gt;</t>
        </is>
      </c>
      <c r="Q563" s="8" t="n">
        <v>1</v>
      </c>
      <c r="R563" s="8" t="n">
        <v>2</v>
      </c>
      <c r="S563" s="8" t="n">
        <v>3</v>
      </c>
      <c r="T563" s="8" t="n">
        <v>4</v>
      </c>
      <c r="U563" s="8" t="n">
        <v>5</v>
      </c>
      <c r="V563" s="8" t="n">
        <v>6</v>
      </c>
      <c r="W563" s="8" t="n">
        <v>7</v>
      </c>
      <c r="X563" s="8" t="n">
        <v>8</v>
      </c>
      <c r="Y563" s="8" t="n">
        <v>9</v>
      </c>
      <c r="Z563" s="8" t="n">
        <v>10</v>
      </c>
    </row>
    <row r="564">
      <c r="D564" s="6" t="inlineStr">
        <is>
          <t>mean</t>
        </is>
      </c>
      <c r="E564" s="6" t="inlineStr">
        <is>
          <t>Overall</t>
        </is>
      </c>
      <c r="F564" s="6" t="inlineStr">
        <is>
          <t>Basket</t>
        </is>
      </c>
      <c r="G564" s="6" t="inlineStr">
        <is>
          <t>pap</t>
        </is>
      </c>
      <c r="H564" s="6" t="inlineStr">
        <is>
          <t>%</t>
        </is>
      </c>
      <c r="P564" s="12">
        <f>BSHARE("paper_share",0,"Overall","mean")</f>
        <v/>
      </c>
    </row>
    <row r="565">
      <c r="D565" s="6" t="inlineStr">
        <is>
          <t>mean</t>
        </is>
      </c>
      <c r="E565" s="6" t="inlineStr">
        <is>
          <t>Overall</t>
        </is>
      </c>
      <c r="F565" s="6" t="inlineStr">
        <is>
          <t>Deciles</t>
        </is>
      </c>
      <c r="G565" s="6" t="inlineStr">
        <is>
          <t>pap</t>
        </is>
      </c>
      <c r="H565" s="6" t="inlineStr">
        <is>
          <t>%</t>
        </is>
      </c>
      <c r="Q565" s="12">
        <f>BSHARE("paper_share",DECILE_ARRAY,"Overall","mean")</f>
        <v/>
      </c>
    </row>
    <row r="566">
      <c r="D566" s="6" t="inlineStr">
        <is>
          <t>mean</t>
        </is>
      </c>
      <c r="E566" s="6" t="inlineStr">
        <is>
          <t>Urban</t>
        </is>
      </c>
      <c r="F566" s="6" t="inlineStr">
        <is>
          <t>Basket</t>
        </is>
      </c>
      <c r="G566" s="6" t="inlineStr">
        <is>
          <t>pap</t>
        </is>
      </c>
      <c r="H566" s="6" t="inlineStr">
        <is>
          <t>%</t>
        </is>
      </c>
      <c r="P566" s="12">
        <f>BSHARE("paper_share",0,"Urban","mean")</f>
        <v/>
      </c>
    </row>
    <row r="567">
      <c r="D567" s="6" t="inlineStr">
        <is>
          <t>mean</t>
        </is>
      </c>
      <c r="E567" s="6" t="inlineStr">
        <is>
          <t>Urban</t>
        </is>
      </c>
      <c r="F567" s="6" t="inlineStr">
        <is>
          <t>Deciles</t>
        </is>
      </c>
      <c r="G567" s="6" t="inlineStr">
        <is>
          <t>pap</t>
        </is>
      </c>
      <c r="H567" s="6" t="inlineStr">
        <is>
          <t>%</t>
        </is>
      </c>
      <c r="Q567" s="12">
        <f>BSHARE("paper_share",DECILE_ARRAY,"Urban","mean")</f>
        <v/>
      </c>
    </row>
    <row r="568">
      <c r="D568" s="6" t="inlineStr">
        <is>
          <t>mean</t>
        </is>
      </c>
      <c r="E568" s="6" t="inlineStr">
        <is>
          <t>Rural</t>
        </is>
      </c>
      <c r="F568" s="6" t="inlineStr">
        <is>
          <t>Basket</t>
        </is>
      </c>
      <c r="G568" s="6" t="inlineStr">
        <is>
          <t>pap</t>
        </is>
      </c>
      <c r="H568" s="6" t="inlineStr">
        <is>
          <t>%</t>
        </is>
      </c>
      <c r="P568" s="12">
        <f>BSHARE("paper_share",0,"Rural","mean")</f>
        <v/>
      </c>
    </row>
    <row r="569">
      <c r="D569" s="6" t="inlineStr">
        <is>
          <t>mean</t>
        </is>
      </c>
      <c r="E569" s="6" t="inlineStr">
        <is>
          <t>Rural</t>
        </is>
      </c>
      <c r="F569" s="6" t="inlineStr">
        <is>
          <t>Deciles</t>
        </is>
      </c>
      <c r="G569" s="6" t="inlineStr">
        <is>
          <t>pap</t>
        </is>
      </c>
      <c r="H569" s="6" t="inlineStr">
        <is>
          <t>%</t>
        </is>
      </c>
      <c r="Q569" s="12">
        <f>BSHARE("paper_share",DECILE_ARRAY,"Rural","mean")</f>
        <v/>
      </c>
    </row>
    <row r="570">
      <c r="D570" s="6" t="inlineStr">
        <is>
          <t>median</t>
        </is>
      </c>
      <c r="E570" s="6" t="inlineStr">
        <is>
          <t>Overall</t>
        </is>
      </c>
      <c r="F570" s="6" t="inlineStr">
        <is>
          <t>Basket</t>
        </is>
      </c>
      <c r="G570" s="6" t="inlineStr">
        <is>
          <t>pap</t>
        </is>
      </c>
      <c r="H570" s="6" t="inlineStr">
        <is>
          <t>%</t>
        </is>
      </c>
      <c r="P570" s="12">
        <f>BSHARE("paper_share",0,"Overall","median")</f>
        <v/>
      </c>
    </row>
    <row r="571">
      <c r="D571" s="6" t="inlineStr">
        <is>
          <t>median</t>
        </is>
      </c>
      <c r="E571" s="6" t="inlineStr">
        <is>
          <t>Overall</t>
        </is>
      </c>
      <c r="F571" s="6" t="inlineStr">
        <is>
          <t>Deciles</t>
        </is>
      </c>
      <c r="G571" s="6" t="inlineStr">
        <is>
          <t>pap</t>
        </is>
      </c>
      <c r="H571" s="6" t="inlineStr">
        <is>
          <t>%</t>
        </is>
      </c>
      <c r="Q571" s="12">
        <f>BSHARE("paper_share",DECILE_ARRAY,"Overall","median")</f>
        <v/>
      </c>
    </row>
    <row r="572">
      <c r="D572" s="6" t="inlineStr">
        <is>
          <t>median</t>
        </is>
      </c>
      <c r="E572" s="6" t="inlineStr">
        <is>
          <t>Urban</t>
        </is>
      </c>
      <c r="F572" s="6" t="inlineStr">
        <is>
          <t>Basket</t>
        </is>
      </c>
      <c r="G572" s="6" t="inlineStr">
        <is>
          <t>pap</t>
        </is>
      </c>
      <c r="H572" s="6" t="inlineStr">
        <is>
          <t>%</t>
        </is>
      </c>
      <c r="P572" s="12">
        <f>BSHARE("paper_share",0,"Urban","median")</f>
        <v/>
      </c>
    </row>
    <row r="573">
      <c r="D573" s="6" t="inlineStr">
        <is>
          <t>median</t>
        </is>
      </c>
      <c r="E573" s="6" t="inlineStr">
        <is>
          <t>Urban</t>
        </is>
      </c>
      <c r="F573" s="6" t="inlineStr">
        <is>
          <t>Deciles</t>
        </is>
      </c>
      <c r="G573" s="6" t="inlineStr">
        <is>
          <t>pap</t>
        </is>
      </c>
      <c r="H573" s="6" t="inlineStr">
        <is>
          <t>%</t>
        </is>
      </c>
      <c r="Q573" s="12">
        <f>BSHARE("paper_share",DECILE_ARRAY,"Urban","median")</f>
        <v/>
      </c>
    </row>
    <row r="574">
      <c r="D574" s="6" t="inlineStr">
        <is>
          <t>median</t>
        </is>
      </c>
      <c r="E574" s="6" t="inlineStr">
        <is>
          <t>Rural</t>
        </is>
      </c>
      <c r="F574" s="6" t="inlineStr">
        <is>
          <t>Basket</t>
        </is>
      </c>
      <c r="G574" s="6" t="inlineStr">
        <is>
          <t>pap</t>
        </is>
      </c>
      <c r="H574" s="6" t="inlineStr">
        <is>
          <t>%</t>
        </is>
      </c>
      <c r="P574" s="12">
        <f>BSHARE("paper_share",0,"Rural","median")</f>
        <v/>
      </c>
    </row>
    <row r="575">
      <c r="D575" s="6" t="inlineStr">
        <is>
          <t>median</t>
        </is>
      </c>
      <c r="E575" s="6" t="inlineStr">
        <is>
          <t>Rural</t>
        </is>
      </c>
      <c r="F575" s="6" t="inlineStr">
        <is>
          <t>Deciles</t>
        </is>
      </c>
      <c r="G575" s="6" t="inlineStr">
        <is>
          <t>pap</t>
        </is>
      </c>
      <c r="H575" s="6" t="inlineStr">
        <is>
          <t>%</t>
        </is>
      </c>
      <c r="Q575" s="12">
        <f>BSHARE("paper_share",DECILE_ARRAY,"Rural","median")</f>
        <v/>
      </c>
    </row>
    <row r="576">
      <c r="D576" s="6" t="inlineStr">
        <is>
          <t>p25</t>
        </is>
      </c>
      <c r="E576" s="6" t="inlineStr">
        <is>
          <t>Overall</t>
        </is>
      </c>
      <c r="F576" s="6" t="inlineStr">
        <is>
          <t>Basket</t>
        </is>
      </c>
      <c r="G576" s="6" t="inlineStr">
        <is>
          <t>pap</t>
        </is>
      </c>
      <c r="H576" s="6" t="inlineStr">
        <is>
          <t>%</t>
        </is>
      </c>
      <c r="P576" s="12">
        <f>BSHARE("paper_share",0,"Overall","p25")</f>
        <v/>
      </c>
    </row>
    <row r="577">
      <c r="D577" s="6" t="inlineStr">
        <is>
          <t>p25</t>
        </is>
      </c>
      <c r="E577" s="6" t="inlineStr">
        <is>
          <t>Overall</t>
        </is>
      </c>
      <c r="F577" s="6" t="inlineStr">
        <is>
          <t>Deciles</t>
        </is>
      </c>
      <c r="G577" s="6" t="inlineStr">
        <is>
          <t>pap</t>
        </is>
      </c>
      <c r="H577" s="6" t="inlineStr">
        <is>
          <t>%</t>
        </is>
      </c>
      <c r="Q577" s="12">
        <f>BSHARE("paper_share",DECILE_ARRAY,"Overall","p25")</f>
        <v/>
      </c>
    </row>
    <row r="578">
      <c r="D578" s="6" t="inlineStr">
        <is>
          <t>p25</t>
        </is>
      </c>
      <c r="E578" s="6" t="inlineStr">
        <is>
          <t>Urban</t>
        </is>
      </c>
      <c r="F578" s="6" t="inlineStr">
        <is>
          <t>Basket</t>
        </is>
      </c>
      <c r="G578" s="6" t="inlineStr">
        <is>
          <t>pap</t>
        </is>
      </c>
      <c r="H578" s="6" t="inlineStr">
        <is>
          <t>%</t>
        </is>
      </c>
      <c r="P578" s="12">
        <f>BSHARE("paper_share",0,"Urban","p25")</f>
        <v/>
      </c>
    </row>
    <row r="579">
      <c r="D579" s="6" t="inlineStr">
        <is>
          <t>p25</t>
        </is>
      </c>
      <c r="E579" s="6" t="inlineStr">
        <is>
          <t>Urban</t>
        </is>
      </c>
      <c r="F579" s="6" t="inlineStr">
        <is>
          <t>Deciles</t>
        </is>
      </c>
      <c r="G579" s="6" t="inlineStr">
        <is>
          <t>pap</t>
        </is>
      </c>
      <c r="H579" s="6" t="inlineStr">
        <is>
          <t>%</t>
        </is>
      </c>
      <c r="Q579" s="12">
        <f>BSHARE("paper_share",DECILE_ARRAY,"Urban","p25")</f>
        <v/>
      </c>
    </row>
    <row r="580">
      <c r="D580" s="6" t="inlineStr">
        <is>
          <t>p25</t>
        </is>
      </c>
      <c r="E580" s="6" t="inlineStr">
        <is>
          <t>Rural</t>
        </is>
      </c>
      <c r="F580" s="6" t="inlineStr">
        <is>
          <t>Basket</t>
        </is>
      </c>
      <c r="G580" s="6" t="inlineStr">
        <is>
          <t>pap</t>
        </is>
      </c>
      <c r="H580" s="6" t="inlineStr">
        <is>
          <t>%</t>
        </is>
      </c>
      <c r="P580" s="12">
        <f>BSHARE("paper_share",0,"Rural","p25")</f>
        <v/>
      </c>
    </row>
    <row r="581">
      <c r="D581" s="6" t="inlineStr">
        <is>
          <t>p25</t>
        </is>
      </c>
      <c r="E581" s="6" t="inlineStr">
        <is>
          <t>Rural</t>
        </is>
      </c>
      <c r="F581" s="6" t="inlineStr">
        <is>
          <t>Deciles</t>
        </is>
      </c>
      <c r="G581" s="6" t="inlineStr">
        <is>
          <t>pap</t>
        </is>
      </c>
      <c r="H581" s="6" t="inlineStr">
        <is>
          <t>%</t>
        </is>
      </c>
      <c r="Q581" s="12">
        <f>BSHARE("paper_share",DECILE_ARRAY,"Rural","p25")</f>
        <v/>
      </c>
    </row>
    <row r="582">
      <c r="D582" s="6" t="inlineStr">
        <is>
          <t>p75</t>
        </is>
      </c>
      <c r="E582" s="6" t="inlineStr">
        <is>
          <t>Overall</t>
        </is>
      </c>
      <c r="F582" s="6" t="inlineStr">
        <is>
          <t>Basket</t>
        </is>
      </c>
      <c r="G582" s="6" t="inlineStr">
        <is>
          <t>pap</t>
        </is>
      </c>
      <c r="H582" s="6" t="inlineStr">
        <is>
          <t>%</t>
        </is>
      </c>
      <c r="P582" s="12">
        <f>BSHARE("paper_share",0,"Overall","p75")</f>
        <v/>
      </c>
    </row>
    <row r="583">
      <c r="D583" s="6" t="inlineStr">
        <is>
          <t>p75</t>
        </is>
      </c>
      <c r="E583" s="6" t="inlineStr">
        <is>
          <t>Overall</t>
        </is>
      </c>
      <c r="F583" s="6" t="inlineStr">
        <is>
          <t>Deciles</t>
        </is>
      </c>
      <c r="G583" s="6" t="inlineStr">
        <is>
          <t>pap</t>
        </is>
      </c>
      <c r="H583" s="6" t="inlineStr">
        <is>
          <t>%</t>
        </is>
      </c>
      <c r="Q583" s="12">
        <f>BSHARE("paper_share",DECILE_ARRAY,"Overall","p75")</f>
        <v/>
      </c>
    </row>
    <row r="584">
      <c r="D584" s="6" t="inlineStr">
        <is>
          <t>p75</t>
        </is>
      </c>
      <c r="E584" s="6" t="inlineStr">
        <is>
          <t>Urban</t>
        </is>
      </c>
      <c r="F584" s="6" t="inlineStr">
        <is>
          <t>Basket</t>
        </is>
      </c>
      <c r="G584" s="6" t="inlineStr">
        <is>
          <t>pap</t>
        </is>
      </c>
      <c r="H584" s="6" t="inlineStr">
        <is>
          <t>%</t>
        </is>
      </c>
      <c r="P584" s="12">
        <f>BSHARE("paper_share",0,"Urban","p75")</f>
        <v/>
      </c>
    </row>
    <row r="585">
      <c r="D585" s="6" t="inlineStr">
        <is>
          <t>p75</t>
        </is>
      </c>
      <c r="E585" s="6" t="inlineStr">
        <is>
          <t>Urban</t>
        </is>
      </c>
      <c r="F585" s="6" t="inlineStr">
        <is>
          <t>Deciles</t>
        </is>
      </c>
      <c r="G585" s="6" t="inlineStr">
        <is>
          <t>pap</t>
        </is>
      </c>
      <c r="H585" s="6" t="inlineStr">
        <is>
          <t>%</t>
        </is>
      </c>
      <c r="Q585" s="12">
        <f>BSHARE("paper_share",DECILE_ARRAY,"Urban","p75")</f>
        <v/>
      </c>
    </row>
    <row r="586">
      <c r="D586" s="6" t="inlineStr">
        <is>
          <t>p75</t>
        </is>
      </c>
      <c r="E586" s="6" t="inlineStr">
        <is>
          <t>Rural</t>
        </is>
      </c>
      <c r="F586" s="6" t="inlineStr">
        <is>
          <t>Basket</t>
        </is>
      </c>
      <c r="G586" s="6" t="inlineStr">
        <is>
          <t>pap</t>
        </is>
      </c>
      <c r="H586" s="6" t="inlineStr">
        <is>
          <t>%</t>
        </is>
      </c>
      <c r="P586" s="12">
        <f>BSHARE("paper_share",0,"Rural","p75")</f>
        <v/>
      </c>
    </row>
    <row r="587">
      <c r="D587" s="6" t="inlineStr">
        <is>
          <t>p75</t>
        </is>
      </c>
      <c r="E587" s="6" t="inlineStr">
        <is>
          <t>Rural</t>
        </is>
      </c>
      <c r="F587" s="6" t="inlineStr">
        <is>
          <t>Deciles</t>
        </is>
      </c>
      <c r="G587" s="6" t="inlineStr">
        <is>
          <t>pap</t>
        </is>
      </c>
      <c r="H587" s="6" t="inlineStr">
        <is>
          <t>%</t>
        </is>
      </c>
      <c r="Q587" s="12">
        <f>BSHARE("paper_share",DECILE_ARRAY,"Rural","p75")</f>
        <v/>
      </c>
    </row>
    <row r="588"/>
    <row r="589">
      <c r="C589" s="7" t="inlineStr">
        <is>
          <t>Pharmaceuticals Budget Share (% Total Consumption)</t>
        </is>
      </c>
      <c r="G589" s="6" t="inlineStr">
        <is>
          <t>pha</t>
        </is>
      </c>
      <c r="O589" s="8" t="inlineStr">
        <is>
          <t>Decile --&gt;</t>
        </is>
      </c>
      <c r="Q589" s="8" t="n">
        <v>1</v>
      </c>
      <c r="R589" s="8" t="n">
        <v>2</v>
      </c>
      <c r="S589" s="8" t="n">
        <v>3</v>
      </c>
      <c r="T589" s="8" t="n">
        <v>4</v>
      </c>
      <c r="U589" s="8" t="n">
        <v>5</v>
      </c>
      <c r="V589" s="8" t="n">
        <v>6</v>
      </c>
      <c r="W589" s="8" t="n">
        <v>7</v>
      </c>
      <c r="X589" s="8" t="n">
        <v>8</v>
      </c>
      <c r="Y589" s="8" t="n">
        <v>9</v>
      </c>
      <c r="Z589" s="8" t="n">
        <v>10</v>
      </c>
    </row>
    <row r="590">
      <c r="D590" s="6" t="inlineStr">
        <is>
          <t>mean</t>
        </is>
      </c>
      <c r="E590" s="6" t="inlineStr">
        <is>
          <t>Overall</t>
        </is>
      </c>
      <c r="F590" s="6" t="inlineStr">
        <is>
          <t>Basket</t>
        </is>
      </c>
      <c r="G590" s="6" t="inlineStr">
        <is>
          <t>pha</t>
        </is>
      </c>
      <c r="H590" s="6" t="inlineStr">
        <is>
          <t>%</t>
        </is>
      </c>
      <c r="P590" s="12">
        <f>BSHARE("pharma_share",0,"Overall","mean")</f>
        <v/>
      </c>
    </row>
    <row r="591">
      <c r="D591" s="6" t="inlineStr">
        <is>
          <t>mean</t>
        </is>
      </c>
      <c r="E591" s="6" t="inlineStr">
        <is>
          <t>Overall</t>
        </is>
      </c>
      <c r="F591" s="6" t="inlineStr">
        <is>
          <t>Deciles</t>
        </is>
      </c>
      <c r="G591" s="6" t="inlineStr">
        <is>
          <t>pha</t>
        </is>
      </c>
      <c r="H591" s="6" t="inlineStr">
        <is>
          <t>%</t>
        </is>
      </c>
      <c r="Q591" s="12">
        <f>BSHARE("pharma_share",DECILE_ARRAY,"Overall","mean")</f>
        <v/>
      </c>
    </row>
    <row r="592">
      <c r="D592" s="6" t="inlineStr">
        <is>
          <t>mean</t>
        </is>
      </c>
      <c r="E592" s="6" t="inlineStr">
        <is>
          <t>Urban</t>
        </is>
      </c>
      <c r="F592" s="6" t="inlineStr">
        <is>
          <t>Basket</t>
        </is>
      </c>
      <c r="G592" s="6" t="inlineStr">
        <is>
          <t>pha</t>
        </is>
      </c>
      <c r="H592" s="6" t="inlineStr">
        <is>
          <t>%</t>
        </is>
      </c>
      <c r="P592" s="12">
        <f>BSHARE("pharma_share",0,"Urban","mean")</f>
        <v/>
      </c>
    </row>
    <row r="593">
      <c r="D593" s="6" t="inlineStr">
        <is>
          <t>mean</t>
        </is>
      </c>
      <c r="E593" s="6" t="inlineStr">
        <is>
          <t>Urban</t>
        </is>
      </c>
      <c r="F593" s="6" t="inlineStr">
        <is>
          <t>Deciles</t>
        </is>
      </c>
      <c r="G593" s="6" t="inlineStr">
        <is>
          <t>pha</t>
        </is>
      </c>
      <c r="H593" s="6" t="inlineStr">
        <is>
          <t>%</t>
        </is>
      </c>
      <c r="Q593" s="12">
        <f>BSHARE("pharma_share",DECILE_ARRAY,"Urban","mean")</f>
        <v/>
      </c>
    </row>
    <row r="594">
      <c r="D594" s="6" t="inlineStr">
        <is>
          <t>mean</t>
        </is>
      </c>
      <c r="E594" s="6" t="inlineStr">
        <is>
          <t>Rural</t>
        </is>
      </c>
      <c r="F594" s="6" t="inlineStr">
        <is>
          <t>Basket</t>
        </is>
      </c>
      <c r="G594" s="6" t="inlineStr">
        <is>
          <t>pha</t>
        </is>
      </c>
      <c r="H594" s="6" t="inlineStr">
        <is>
          <t>%</t>
        </is>
      </c>
      <c r="P594" s="12">
        <f>BSHARE("pharma_share",0,"Rural","mean")</f>
        <v/>
      </c>
    </row>
    <row r="595">
      <c r="D595" s="6" t="inlineStr">
        <is>
          <t>mean</t>
        </is>
      </c>
      <c r="E595" s="6" t="inlineStr">
        <is>
          <t>Rural</t>
        </is>
      </c>
      <c r="F595" s="6" t="inlineStr">
        <is>
          <t>Deciles</t>
        </is>
      </c>
      <c r="G595" s="6" t="inlineStr">
        <is>
          <t>pha</t>
        </is>
      </c>
      <c r="H595" s="6" t="inlineStr">
        <is>
          <t>%</t>
        </is>
      </c>
      <c r="Q595" s="12">
        <f>BSHARE("pharma_share",DECILE_ARRAY,"Rural","mean")</f>
        <v/>
      </c>
    </row>
    <row r="596">
      <c r="D596" s="6" t="inlineStr">
        <is>
          <t>median</t>
        </is>
      </c>
      <c r="E596" s="6" t="inlineStr">
        <is>
          <t>Overall</t>
        </is>
      </c>
      <c r="F596" s="6" t="inlineStr">
        <is>
          <t>Basket</t>
        </is>
      </c>
      <c r="G596" s="6" t="inlineStr">
        <is>
          <t>pha</t>
        </is>
      </c>
      <c r="H596" s="6" t="inlineStr">
        <is>
          <t>%</t>
        </is>
      </c>
      <c r="P596" s="12">
        <f>BSHARE("pharma_share",0,"Overall","median")</f>
        <v/>
      </c>
    </row>
    <row r="597">
      <c r="D597" s="6" t="inlineStr">
        <is>
          <t>median</t>
        </is>
      </c>
      <c r="E597" s="6" t="inlineStr">
        <is>
          <t>Overall</t>
        </is>
      </c>
      <c r="F597" s="6" t="inlineStr">
        <is>
          <t>Deciles</t>
        </is>
      </c>
      <c r="G597" s="6" t="inlineStr">
        <is>
          <t>pha</t>
        </is>
      </c>
      <c r="H597" s="6" t="inlineStr">
        <is>
          <t>%</t>
        </is>
      </c>
      <c r="Q597" s="12">
        <f>BSHARE("pharma_share",DECILE_ARRAY,"Overall","median")</f>
        <v/>
      </c>
    </row>
    <row r="598">
      <c r="D598" s="6" t="inlineStr">
        <is>
          <t>median</t>
        </is>
      </c>
      <c r="E598" s="6" t="inlineStr">
        <is>
          <t>Urban</t>
        </is>
      </c>
      <c r="F598" s="6" t="inlineStr">
        <is>
          <t>Basket</t>
        </is>
      </c>
      <c r="G598" s="6" t="inlineStr">
        <is>
          <t>pha</t>
        </is>
      </c>
      <c r="H598" s="6" t="inlineStr">
        <is>
          <t>%</t>
        </is>
      </c>
      <c r="P598" s="12">
        <f>BSHARE("pharma_share",0,"Urban","median")</f>
        <v/>
      </c>
    </row>
    <row r="599">
      <c r="D599" s="6" t="inlineStr">
        <is>
          <t>median</t>
        </is>
      </c>
      <c r="E599" s="6" t="inlineStr">
        <is>
          <t>Urban</t>
        </is>
      </c>
      <c r="F599" s="6" t="inlineStr">
        <is>
          <t>Deciles</t>
        </is>
      </c>
      <c r="G599" s="6" t="inlineStr">
        <is>
          <t>pha</t>
        </is>
      </c>
      <c r="H599" s="6" t="inlineStr">
        <is>
          <t>%</t>
        </is>
      </c>
      <c r="Q599" s="12">
        <f>BSHARE("pharma_share",DECILE_ARRAY,"Urban","median")</f>
        <v/>
      </c>
    </row>
    <row r="600">
      <c r="D600" s="6" t="inlineStr">
        <is>
          <t>median</t>
        </is>
      </c>
      <c r="E600" s="6" t="inlineStr">
        <is>
          <t>Rural</t>
        </is>
      </c>
      <c r="F600" s="6" t="inlineStr">
        <is>
          <t>Basket</t>
        </is>
      </c>
      <c r="G600" s="6" t="inlineStr">
        <is>
          <t>pha</t>
        </is>
      </c>
      <c r="H600" s="6" t="inlineStr">
        <is>
          <t>%</t>
        </is>
      </c>
      <c r="P600" s="12">
        <f>BSHARE("pharma_share",0,"Rural","median")</f>
        <v/>
      </c>
    </row>
    <row r="601">
      <c r="D601" s="6" t="inlineStr">
        <is>
          <t>median</t>
        </is>
      </c>
      <c r="E601" s="6" t="inlineStr">
        <is>
          <t>Rural</t>
        </is>
      </c>
      <c r="F601" s="6" t="inlineStr">
        <is>
          <t>Deciles</t>
        </is>
      </c>
      <c r="G601" s="6" t="inlineStr">
        <is>
          <t>pha</t>
        </is>
      </c>
      <c r="H601" s="6" t="inlineStr">
        <is>
          <t>%</t>
        </is>
      </c>
      <c r="Q601" s="12">
        <f>BSHARE("pharma_share",DECILE_ARRAY,"Rural","median")</f>
        <v/>
      </c>
    </row>
    <row r="602">
      <c r="D602" s="6" t="inlineStr">
        <is>
          <t>p25</t>
        </is>
      </c>
      <c r="E602" s="6" t="inlineStr">
        <is>
          <t>Overall</t>
        </is>
      </c>
      <c r="F602" s="6" t="inlineStr">
        <is>
          <t>Basket</t>
        </is>
      </c>
      <c r="G602" s="6" t="inlineStr">
        <is>
          <t>pha</t>
        </is>
      </c>
      <c r="H602" s="6" t="inlineStr">
        <is>
          <t>%</t>
        </is>
      </c>
      <c r="P602" s="12">
        <f>BSHARE("pharma_share",0,"Overall","p25")</f>
        <v/>
      </c>
    </row>
    <row r="603">
      <c r="D603" s="6" t="inlineStr">
        <is>
          <t>p25</t>
        </is>
      </c>
      <c r="E603" s="6" t="inlineStr">
        <is>
          <t>Overall</t>
        </is>
      </c>
      <c r="F603" s="6" t="inlineStr">
        <is>
          <t>Deciles</t>
        </is>
      </c>
      <c r="G603" s="6" t="inlineStr">
        <is>
          <t>pha</t>
        </is>
      </c>
      <c r="H603" s="6" t="inlineStr">
        <is>
          <t>%</t>
        </is>
      </c>
      <c r="Q603" s="12">
        <f>BSHARE("pharma_share",DECILE_ARRAY,"Overall","p25")</f>
        <v/>
      </c>
    </row>
    <row r="604">
      <c r="D604" s="6" t="inlineStr">
        <is>
          <t>p25</t>
        </is>
      </c>
      <c r="E604" s="6" t="inlineStr">
        <is>
          <t>Urban</t>
        </is>
      </c>
      <c r="F604" s="6" t="inlineStr">
        <is>
          <t>Basket</t>
        </is>
      </c>
      <c r="G604" s="6" t="inlineStr">
        <is>
          <t>pha</t>
        </is>
      </c>
      <c r="H604" s="6" t="inlineStr">
        <is>
          <t>%</t>
        </is>
      </c>
      <c r="P604" s="12">
        <f>BSHARE("pharma_share",0,"Urban","p25")</f>
        <v/>
      </c>
    </row>
    <row r="605">
      <c r="D605" s="6" t="inlineStr">
        <is>
          <t>p25</t>
        </is>
      </c>
      <c r="E605" s="6" t="inlineStr">
        <is>
          <t>Urban</t>
        </is>
      </c>
      <c r="F605" s="6" t="inlineStr">
        <is>
          <t>Deciles</t>
        </is>
      </c>
      <c r="G605" s="6" t="inlineStr">
        <is>
          <t>pha</t>
        </is>
      </c>
      <c r="H605" s="6" t="inlineStr">
        <is>
          <t>%</t>
        </is>
      </c>
      <c r="Q605" s="12">
        <f>BSHARE("pharma_share",DECILE_ARRAY,"Urban","p25")</f>
        <v/>
      </c>
    </row>
    <row r="606">
      <c r="D606" s="6" t="inlineStr">
        <is>
          <t>p25</t>
        </is>
      </c>
      <c r="E606" s="6" t="inlineStr">
        <is>
          <t>Rural</t>
        </is>
      </c>
      <c r="F606" s="6" t="inlineStr">
        <is>
          <t>Basket</t>
        </is>
      </c>
      <c r="G606" s="6" t="inlineStr">
        <is>
          <t>pha</t>
        </is>
      </c>
      <c r="H606" s="6" t="inlineStr">
        <is>
          <t>%</t>
        </is>
      </c>
      <c r="P606" s="12">
        <f>BSHARE("pharma_share",0,"Rural","p25")</f>
        <v/>
      </c>
    </row>
    <row r="607">
      <c r="D607" s="6" t="inlineStr">
        <is>
          <t>p25</t>
        </is>
      </c>
      <c r="E607" s="6" t="inlineStr">
        <is>
          <t>Rural</t>
        </is>
      </c>
      <c r="F607" s="6" t="inlineStr">
        <is>
          <t>Deciles</t>
        </is>
      </c>
      <c r="G607" s="6" t="inlineStr">
        <is>
          <t>pha</t>
        </is>
      </c>
      <c r="H607" s="6" t="inlineStr">
        <is>
          <t>%</t>
        </is>
      </c>
      <c r="Q607" s="12">
        <f>BSHARE("pharma_share",DECILE_ARRAY,"Rural","p25")</f>
        <v/>
      </c>
    </row>
    <row r="608">
      <c r="D608" s="6" t="inlineStr">
        <is>
          <t>p75</t>
        </is>
      </c>
      <c r="E608" s="6" t="inlineStr">
        <is>
          <t>Overall</t>
        </is>
      </c>
      <c r="F608" s="6" t="inlineStr">
        <is>
          <t>Basket</t>
        </is>
      </c>
      <c r="G608" s="6" t="inlineStr">
        <is>
          <t>pha</t>
        </is>
      </c>
      <c r="H608" s="6" t="inlineStr">
        <is>
          <t>%</t>
        </is>
      </c>
      <c r="P608" s="12">
        <f>BSHARE("pharma_share",0,"Overall","p75")</f>
        <v/>
      </c>
    </row>
    <row r="609">
      <c r="D609" s="6" t="inlineStr">
        <is>
          <t>p75</t>
        </is>
      </c>
      <c r="E609" s="6" t="inlineStr">
        <is>
          <t>Overall</t>
        </is>
      </c>
      <c r="F609" s="6" t="inlineStr">
        <is>
          <t>Deciles</t>
        </is>
      </c>
      <c r="G609" s="6" t="inlineStr">
        <is>
          <t>pha</t>
        </is>
      </c>
      <c r="H609" s="6" t="inlineStr">
        <is>
          <t>%</t>
        </is>
      </c>
      <c r="Q609" s="12">
        <f>BSHARE("pharma_share",DECILE_ARRAY,"Overall","p75")</f>
        <v/>
      </c>
    </row>
    <row r="610">
      <c r="D610" s="6" t="inlineStr">
        <is>
          <t>p75</t>
        </is>
      </c>
      <c r="E610" s="6" t="inlineStr">
        <is>
          <t>Urban</t>
        </is>
      </c>
      <c r="F610" s="6" t="inlineStr">
        <is>
          <t>Basket</t>
        </is>
      </c>
      <c r="G610" s="6" t="inlineStr">
        <is>
          <t>pha</t>
        </is>
      </c>
      <c r="H610" s="6" t="inlineStr">
        <is>
          <t>%</t>
        </is>
      </c>
      <c r="P610" s="12">
        <f>BSHARE("pharma_share",0,"Urban","p75")</f>
        <v/>
      </c>
    </row>
    <row r="611">
      <c r="D611" s="6" t="inlineStr">
        <is>
          <t>p75</t>
        </is>
      </c>
      <c r="E611" s="6" t="inlineStr">
        <is>
          <t>Urban</t>
        </is>
      </c>
      <c r="F611" s="6" t="inlineStr">
        <is>
          <t>Deciles</t>
        </is>
      </c>
      <c r="G611" s="6" t="inlineStr">
        <is>
          <t>pha</t>
        </is>
      </c>
      <c r="H611" s="6" t="inlineStr">
        <is>
          <t>%</t>
        </is>
      </c>
      <c r="Q611" s="12">
        <f>BSHARE("pharma_share",DECILE_ARRAY,"Urban","p75")</f>
        <v/>
      </c>
    </row>
    <row r="612">
      <c r="D612" s="6" t="inlineStr">
        <is>
          <t>p75</t>
        </is>
      </c>
      <c r="E612" s="6" t="inlineStr">
        <is>
          <t>Rural</t>
        </is>
      </c>
      <c r="F612" s="6" t="inlineStr">
        <is>
          <t>Basket</t>
        </is>
      </c>
      <c r="G612" s="6" t="inlineStr">
        <is>
          <t>pha</t>
        </is>
      </c>
      <c r="H612" s="6" t="inlineStr">
        <is>
          <t>%</t>
        </is>
      </c>
      <c r="P612" s="12">
        <f>BSHARE("pharma_share",0,"Rural","p75")</f>
        <v/>
      </c>
    </row>
    <row r="613">
      <c r="D613" s="6" t="inlineStr">
        <is>
          <t>p75</t>
        </is>
      </c>
      <c r="E613" s="6" t="inlineStr">
        <is>
          <t>Rural</t>
        </is>
      </c>
      <c r="F613" s="6" t="inlineStr">
        <is>
          <t>Deciles</t>
        </is>
      </c>
      <c r="G613" s="6" t="inlineStr">
        <is>
          <t>pha</t>
        </is>
      </c>
      <c r="H613" s="6" t="inlineStr">
        <is>
          <t>%</t>
        </is>
      </c>
      <c r="Q613" s="12">
        <f>BSHARE("pharma_share",DECILE_ARRAY,"Rural","p75")</f>
        <v/>
      </c>
    </row>
    <row r="614"/>
    <row r="615">
      <c r="C615" s="7" t="inlineStr">
        <is>
          <t>Recreation/Tourism Budget Share (% Total Consumption)</t>
        </is>
      </c>
      <c r="G615" s="6" t="inlineStr">
        <is>
          <t>ret</t>
        </is>
      </c>
      <c r="O615" s="8" t="inlineStr">
        <is>
          <t>Decile --&gt;</t>
        </is>
      </c>
      <c r="Q615" s="8" t="n">
        <v>1</v>
      </c>
      <c r="R615" s="8" t="n">
        <v>2</v>
      </c>
      <c r="S615" s="8" t="n">
        <v>3</v>
      </c>
      <c r="T615" s="8" t="n">
        <v>4</v>
      </c>
      <c r="U615" s="8" t="n">
        <v>5</v>
      </c>
      <c r="V615" s="8" t="n">
        <v>6</v>
      </c>
      <c r="W615" s="8" t="n">
        <v>7</v>
      </c>
      <c r="X615" s="8" t="n">
        <v>8</v>
      </c>
      <c r="Y615" s="8" t="n">
        <v>9</v>
      </c>
      <c r="Z615" s="8" t="n">
        <v>10</v>
      </c>
    </row>
    <row r="616">
      <c r="D616" s="6" t="inlineStr">
        <is>
          <t>mean</t>
        </is>
      </c>
      <c r="E616" s="6" t="inlineStr">
        <is>
          <t>Overall</t>
        </is>
      </c>
      <c r="F616" s="6" t="inlineStr">
        <is>
          <t>Basket</t>
        </is>
      </c>
      <c r="G616" s="6" t="inlineStr">
        <is>
          <t>ret</t>
        </is>
      </c>
      <c r="H616" s="6" t="inlineStr">
        <is>
          <t>%</t>
        </is>
      </c>
      <c r="P616" s="12">
        <f>BSHARE("rectourism_share",0,"Overall","mean")</f>
        <v/>
      </c>
    </row>
    <row r="617">
      <c r="D617" s="6" t="inlineStr">
        <is>
          <t>mean</t>
        </is>
      </c>
      <c r="E617" s="6" t="inlineStr">
        <is>
          <t>Overall</t>
        </is>
      </c>
      <c r="F617" s="6" t="inlineStr">
        <is>
          <t>Deciles</t>
        </is>
      </c>
      <c r="G617" s="6" t="inlineStr">
        <is>
          <t>ret</t>
        </is>
      </c>
      <c r="H617" s="6" t="inlineStr">
        <is>
          <t>%</t>
        </is>
      </c>
      <c r="Q617" s="12">
        <f>BSHARE("rectourism_share",DECILE_ARRAY,"Overall","mean")</f>
        <v/>
      </c>
    </row>
    <row r="618">
      <c r="D618" s="6" t="inlineStr">
        <is>
          <t>mean</t>
        </is>
      </c>
      <c r="E618" s="6" t="inlineStr">
        <is>
          <t>Urban</t>
        </is>
      </c>
      <c r="F618" s="6" t="inlineStr">
        <is>
          <t>Basket</t>
        </is>
      </c>
      <c r="G618" s="6" t="inlineStr">
        <is>
          <t>ret</t>
        </is>
      </c>
      <c r="H618" s="6" t="inlineStr">
        <is>
          <t>%</t>
        </is>
      </c>
      <c r="P618" s="12">
        <f>BSHARE("rectourism_share",0,"Urban","mean")</f>
        <v/>
      </c>
    </row>
    <row r="619">
      <c r="D619" s="6" t="inlineStr">
        <is>
          <t>mean</t>
        </is>
      </c>
      <c r="E619" s="6" t="inlineStr">
        <is>
          <t>Urban</t>
        </is>
      </c>
      <c r="F619" s="6" t="inlineStr">
        <is>
          <t>Deciles</t>
        </is>
      </c>
      <c r="G619" s="6" t="inlineStr">
        <is>
          <t>ret</t>
        </is>
      </c>
      <c r="H619" s="6" t="inlineStr">
        <is>
          <t>%</t>
        </is>
      </c>
      <c r="Q619" s="12">
        <f>BSHARE("rectourism_share",DECILE_ARRAY,"Urban","mean")</f>
        <v/>
      </c>
    </row>
    <row r="620">
      <c r="D620" s="6" t="inlineStr">
        <is>
          <t>mean</t>
        </is>
      </c>
      <c r="E620" s="6" t="inlineStr">
        <is>
          <t>Rural</t>
        </is>
      </c>
      <c r="F620" s="6" t="inlineStr">
        <is>
          <t>Basket</t>
        </is>
      </c>
      <c r="G620" s="6" t="inlineStr">
        <is>
          <t>ret</t>
        </is>
      </c>
      <c r="H620" s="6" t="inlineStr">
        <is>
          <t>%</t>
        </is>
      </c>
      <c r="P620" s="12">
        <f>BSHARE("rectourism_share",0,"Rural","mean")</f>
        <v/>
      </c>
    </row>
    <row r="621">
      <c r="D621" s="6" t="inlineStr">
        <is>
          <t>mean</t>
        </is>
      </c>
      <c r="E621" s="6" t="inlineStr">
        <is>
          <t>Rural</t>
        </is>
      </c>
      <c r="F621" s="6" t="inlineStr">
        <is>
          <t>Deciles</t>
        </is>
      </c>
      <c r="G621" s="6" t="inlineStr">
        <is>
          <t>ret</t>
        </is>
      </c>
      <c r="H621" s="6" t="inlineStr">
        <is>
          <t>%</t>
        </is>
      </c>
      <c r="Q621" s="12">
        <f>BSHARE("rectourism_share",DECILE_ARRAY,"Rural","mean")</f>
        <v/>
      </c>
    </row>
    <row r="622">
      <c r="D622" s="6" t="inlineStr">
        <is>
          <t>median</t>
        </is>
      </c>
      <c r="E622" s="6" t="inlineStr">
        <is>
          <t>Overall</t>
        </is>
      </c>
      <c r="F622" s="6" t="inlineStr">
        <is>
          <t>Basket</t>
        </is>
      </c>
      <c r="G622" s="6" t="inlineStr">
        <is>
          <t>ret</t>
        </is>
      </c>
      <c r="H622" s="6" t="inlineStr">
        <is>
          <t>%</t>
        </is>
      </c>
      <c r="P622" s="12">
        <f>BSHARE("rectourism_share",0,"Overall","median")</f>
        <v/>
      </c>
    </row>
    <row r="623">
      <c r="D623" s="6" t="inlineStr">
        <is>
          <t>median</t>
        </is>
      </c>
      <c r="E623" s="6" t="inlineStr">
        <is>
          <t>Overall</t>
        </is>
      </c>
      <c r="F623" s="6" t="inlineStr">
        <is>
          <t>Deciles</t>
        </is>
      </c>
      <c r="G623" s="6" t="inlineStr">
        <is>
          <t>ret</t>
        </is>
      </c>
      <c r="H623" s="6" t="inlineStr">
        <is>
          <t>%</t>
        </is>
      </c>
      <c r="Q623" s="12">
        <f>BSHARE("rectourism_share",DECILE_ARRAY,"Overall","median")</f>
        <v/>
      </c>
    </row>
    <row r="624">
      <c r="D624" s="6" t="inlineStr">
        <is>
          <t>median</t>
        </is>
      </c>
      <c r="E624" s="6" t="inlineStr">
        <is>
          <t>Urban</t>
        </is>
      </c>
      <c r="F624" s="6" t="inlineStr">
        <is>
          <t>Basket</t>
        </is>
      </c>
      <c r="G624" s="6" t="inlineStr">
        <is>
          <t>ret</t>
        </is>
      </c>
      <c r="H624" s="6" t="inlineStr">
        <is>
          <t>%</t>
        </is>
      </c>
      <c r="P624" s="12">
        <f>BSHARE("rectourism_share",0,"Urban","median")</f>
        <v/>
      </c>
    </row>
    <row r="625">
      <c r="D625" s="6" t="inlineStr">
        <is>
          <t>median</t>
        </is>
      </c>
      <c r="E625" s="6" t="inlineStr">
        <is>
          <t>Urban</t>
        </is>
      </c>
      <c r="F625" s="6" t="inlineStr">
        <is>
          <t>Deciles</t>
        </is>
      </c>
      <c r="G625" s="6" t="inlineStr">
        <is>
          <t>ret</t>
        </is>
      </c>
      <c r="H625" s="6" t="inlineStr">
        <is>
          <t>%</t>
        </is>
      </c>
      <c r="Q625" s="12">
        <f>BSHARE("rectourism_share",DECILE_ARRAY,"Urban","median")</f>
        <v/>
      </c>
    </row>
    <row r="626">
      <c r="D626" s="6" t="inlineStr">
        <is>
          <t>median</t>
        </is>
      </c>
      <c r="E626" s="6" t="inlineStr">
        <is>
          <t>Rural</t>
        </is>
      </c>
      <c r="F626" s="6" t="inlineStr">
        <is>
          <t>Basket</t>
        </is>
      </c>
      <c r="G626" s="6" t="inlineStr">
        <is>
          <t>ret</t>
        </is>
      </c>
      <c r="H626" s="6" t="inlineStr">
        <is>
          <t>%</t>
        </is>
      </c>
      <c r="P626" s="12">
        <f>BSHARE("rectourism_share",0,"Rural","median")</f>
        <v/>
      </c>
    </row>
    <row r="627">
      <c r="D627" s="6" t="inlineStr">
        <is>
          <t>median</t>
        </is>
      </c>
      <c r="E627" s="6" t="inlineStr">
        <is>
          <t>Rural</t>
        </is>
      </c>
      <c r="F627" s="6" t="inlineStr">
        <is>
          <t>Deciles</t>
        </is>
      </c>
      <c r="G627" s="6" t="inlineStr">
        <is>
          <t>ret</t>
        </is>
      </c>
      <c r="H627" s="6" t="inlineStr">
        <is>
          <t>%</t>
        </is>
      </c>
      <c r="Q627" s="12">
        <f>BSHARE("rectourism_share",DECILE_ARRAY,"Rural","median")</f>
        <v/>
      </c>
    </row>
    <row r="628">
      <c r="D628" s="6" t="inlineStr">
        <is>
          <t>p25</t>
        </is>
      </c>
      <c r="E628" s="6" t="inlineStr">
        <is>
          <t>Overall</t>
        </is>
      </c>
      <c r="F628" s="6" t="inlineStr">
        <is>
          <t>Basket</t>
        </is>
      </c>
      <c r="G628" s="6" t="inlineStr">
        <is>
          <t>ret</t>
        </is>
      </c>
      <c r="H628" s="6" t="inlineStr">
        <is>
          <t>%</t>
        </is>
      </c>
      <c r="P628" s="12">
        <f>BSHARE("rectourism_share",0,"Overall","p25")</f>
        <v/>
      </c>
    </row>
    <row r="629">
      <c r="D629" s="6" t="inlineStr">
        <is>
          <t>p25</t>
        </is>
      </c>
      <c r="E629" s="6" t="inlineStr">
        <is>
          <t>Overall</t>
        </is>
      </c>
      <c r="F629" s="6" t="inlineStr">
        <is>
          <t>Deciles</t>
        </is>
      </c>
      <c r="G629" s="6" t="inlineStr">
        <is>
          <t>ret</t>
        </is>
      </c>
      <c r="H629" s="6" t="inlineStr">
        <is>
          <t>%</t>
        </is>
      </c>
      <c r="Q629" s="12">
        <f>BSHARE("rectourism_share",DECILE_ARRAY,"Overall","p25")</f>
        <v/>
      </c>
    </row>
    <row r="630">
      <c r="D630" s="6" t="inlineStr">
        <is>
          <t>p25</t>
        </is>
      </c>
      <c r="E630" s="6" t="inlineStr">
        <is>
          <t>Urban</t>
        </is>
      </c>
      <c r="F630" s="6" t="inlineStr">
        <is>
          <t>Basket</t>
        </is>
      </c>
      <c r="G630" s="6" t="inlineStr">
        <is>
          <t>ret</t>
        </is>
      </c>
      <c r="H630" s="6" t="inlineStr">
        <is>
          <t>%</t>
        </is>
      </c>
      <c r="P630" s="12">
        <f>BSHARE("rectourism_share",0,"Urban","p25")</f>
        <v/>
      </c>
    </row>
    <row r="631">
      <c r="D631" s="6" t="inlineStr">
        <is>
          <t>p25</t>
        </is>
      </c>
      <c r="E631" s="6" t="inlineStr">
        <is>
          <t>Urban</t>
        </is>
      </c>
      <c r="F631" s="6" t="inlineStr">
        <is>
          <t>Deciles</t>
        </is>
      </c>
      <c r="G631" s="6" t="inlineStr">
        <is>
          <t>ret</t>
        </is>
      </c>
      <c r="H631" s="6" t="inlineStr">
        <is>
          <t>%</t>
        </is>
      </c>
      <c r="Q631" s="12">
        <f>BSHARE("rectourism_share",DECILE_ARRAY,"Urban","p25")</f>
        <v/>
      </c>
    </row>
    <row r="632">
      <c r="D632" s="6" t="inlineStr">
        <is>
          <t>p25</t>
        </is>
      </c>
      <c r="E632" s="6" t="inlineStr">
        <is>
          <t>Rural</t>
        </is>
      </c>
      <c r="F632" s="6" t="inlineStr">
        <is>
          <t>Basket</t>
        </is>
      </c>
      <c r="G632" s="6" t="inlineStr">
        <is>
          <t>ret</t>
        </is>
      </c>
      <c r="H632" s="6" t="inlineStr">
        <is>
          <t>%</t>
        </is>
      </c>
      <c r="P632" s="12">
        <f>BSHARE("rectourism_share",0,"Rural","p25")</f>
        <v/>
      </c>
    </row>
    <row r="633">
      <c r="D633" s="6" t="inlineStr">
        <is>
          <t>p25</t>
        </is>
      </c>
      <c r="E633" s="6" t="inlineStr">
        <is>
          <t>Rural</t>
        </is>
      </c>
      <c r="F633" s="6" t="inlineStr">
        <is>
          <t>Deciles</t>
        </is>
      </c>
      <c r="G633" s="6" t="inlineStr">
        <is>
          <t>ret</t>
        </is>
      </c>
      <c r="H633" s="6" t="inlineStr">
        <is>
          <t>%</t>
        </is>
      </c>
      <c r="Q633" s="12">
        <f>BSHARE("rectourism_share",DECILE_ARRAY,"Rural","p25")</f>
        <v/>
      </c>
    </row>
    <row r="634">
      <c r="D634" s="6" t="inlineStr">
        <is>
          <t>p75</t>
        </is>
      </c>
      <c r="E634" s="6" t="inlineStr">
        <is>
          <t>Overall</t>
        </is>
      </c>
      <c r="F634" s="6" t="inlineStr">
        <is>
          <t>Basket</t>
        </is>
      </c>
      <c r="G634" s="6" t="inlineStr">
        <is>
          <t>ret</t>
        </is>
      </c>
      <c r="H634" s="6" t="inlineStr">
        <is>
          <t>%</t>
        </is>
      </c>
      <c r="P634" s="12">
        <f>BSHARE("rectourism_share",0,"Overall","p75")</f>
        <v/>
      </c>
    </row>
    <row r="635">
      <c r="D635" s="6" t="inlineStr">
        <is>
          <t>p75</t>
        </is>
      </c>
      <c r="E635" s="6" t="inlineStr">
        <is>
          <t>Overall</t>
        </is>
      </c>
      <c r="F635" s="6" t="inlineStr">
        <is>
          <t>Deciles</t>
        </is>
      </c>
      <c r="G635" s="6" t="inlineStr">
        <is>
          <t>ret</t>
        </is>
      </c>
      <c r="H635" s="6" t="inlineStr">
        <is>
          <t>%</t>
        </is>
      </c>
      <c r="Q635" s="12">
        <f>BSHARE("rectourism_share",DECILE_ARRAY,"Overall","p75")</f>
        <v/>
      </c>
    </row>
    <row r="636">
      <c r="D636" s="6" t="inlineStr">
        <is>
          <t>p75</t>
        </is>
      </c>
      <c r="E636" s="6" t="inlineStr">
        <is>
          <t>Urban</t>
        </is>
      </c>
      <c r="F636" s="6" t="inlineStr">
        <is>
          <t>Basket</t>
        </is>
      </c>
      <c r="G636" s="6" t="inlineStr">
        <is>
          <t>ret</t>
        </is>
      </c>
      <c r="H636" s="6" t="inlineStr">
        <is>
          <t>%</t>
        </is>
      </c>
      <c r="P636" s="12">
        <f>BSHARE("rectourism_share",0,"Urban","p75")</f>
        <v/>
      </c>
    </row>
    <row r="637">
      <c r="D637" s="6" t="inlineStr">
        <is>
          <t>p75</t>
        </is>
      </c>
      <c r="E637" s="6" t="inlineStr">
        <is>
          <t>Urban</t>
        </is>
      </c>
      <c r="F637" s="6" t="inlineStr">
        <is>
          <t>Deciles</t>
        </is>
      </c>
      <c r="G637" s="6" t="inlineStr">
        <is>
          <t>ret</t>
        </is>
      </c>
      <c r="H637" s="6" t="inlineStr">
        <is>
          <t>%</t>
        </is>
      </c>
      <c r="Q637" s="12">
        <f>BSHARE("rectourism_share",DECILE_ARRAY,"Urban","p75")</f>
        <v/>
      </c>
    </row>
    <row r="638">
      <c r="D638" s="6" t="inlineStr">
        <is>
          <t>p75</t>
        </is>
      </c>
      <c r="E638" s="6" t="inlineStr">
        <is>
          <t>Rural</t>
        </is>
      </c>
      <c r="F638" s="6" t="inlineStr">
        <is>
          <t>Basket</t>
        </is>
      </c>
      <c r="G638" s="6" t="inlineStr">
        <is>
          <t>ret</t>
        </is>
      </c>
      <c r="H638" s="6" t="inlineStr">
        <is>
          <t>%</t>
        </is>
      </c>
      <c r="P638" s="12">
        <f>BSHARE("rectourism_share",0,"Rural","p75")</f>
        <v/>
      </c>
    </row>
    <row r="639">
      <c r="D639" s="6" t="inlineStr">
        <is>
          <t>p75</t>
        </is>
      </c>
      <c r="E639" s="6" t="inlineStr">
        <is>
          <t>Rural</t>
        </is>
      </c>
      <c r="F639" s="6" t="inlineStr">
        <is>
          <t>Deciles</t>
        </is>
      </c>
      <c r="G639" s="6" t="inlineStr">
        <is>
          <t>ret</t>
        </is>
      </c>
      <c r="H639" s="6" t="inlineStr">
        <is>
          <t>%</t>
        </is>
      </c>
      <c r="Q639" s="12">
        <f>BSHARE("rectourism_share",DECILE_ARRAY,"Rural","p75")</f>
        <v/>
      </c>
    </row>
    <row r="640"/>
    <row r="641">
      <c r="C641" s="7" t="inlineStr">
        <is>
          <t>Transportation Equipment Budget Share (% Total Consumption)</t>
        </is>
      </c>
      <c r="G641" s="6" t="inlineStr">
        <is>
          <t>teq</t>
        </is>
      </c>
      <c r="O641" s="8" t="inlineStr">
        <is>
          <t>Decile --&gt;</t>
        </is>
      </c>
      <c r="Q641" s="8" t="n">
        <v>1</v>
      </c>
      <c r="R641" s="8" t="n">
        <v>2</v>
      </c>
      <c r="S641" s="8" t="n">
        <v>3</v>
      </c>
      <c r="T641" s="8" t="n">
        <v>4</v>
      </c>
      <c r="U641" s="8" t="n">
        <v>5</v>
      </c>
      <c r="V641" s="8" t="n">
        <v>6</v>
      </c>
      <c r="W641" s="8" t="n">
        <v>7</v>
      </c>
      <c r="X641" s="8" t="n">
        <v>8</v>
      </c>
      <c r="Y641" s="8" t="n">
        <v>9</v>
      </c>
      <c r="Z641" s="8" t="n">
        <v>10</v>
      </c>
    </row>
    <row r="642">
      <c r="D642" s="6" t="inlineStr">
        <is>
          <t>mean</t>
        </is>
      </c>
      <c r="E642" s="6" t="inlineStr">
        <is>
          <t>Overall</t>
        </is>
      </c>
      <c r="F642" s="6" t="inlineStr">
        <is>
          <t>Basket</t>
        </is>
      </c>
      <c r="G642" s="6" t="inlineStr">
        <is>
          <t>teq</t>
        </is>
      </c>
      <c r="H642" s="6" t="inlineStr">
        <is>
          <t>%</t>
        </is>
      </c>
      <c r="P642" s="12">
        <f>BSHARE("transp_eqt_share",0,"Overall","mean")</f>
        <v/>
      </c>
    </row>
    <row r="643">
      <c r="D643" s="6" t="inlineStr">
        <is>
          <t>mean</t>
        </is>
      </c>
      <c r="E643" s="6" t="inlineStr">
        <is>
          <t>Overall</t>
        </is>
      </c>
      <c r="F643" s="6" t="inlineStr">
        <is>
          <t>Deciles</t>
        </is>
      </c>
      <c r="G643" s="6" t="inlineStr">
        <is>
          <t>teq</t>
        </is>
      </c>
      <c r="H643" s="6" t="inlineStr">
        <is>
          <t>%</t>
        </is>
      </c>
      <c r="Q643" s="12">
        <f>BSHARE("transp_eqt_share",DECILE_ARRAY,"Overall","mean")</f>
        <v/>
      </c>
    </row>
    <row r="644">
      <c r="D644" s="6" t="inlineStr">
        <is>
          <t>mean</t>
        </is>
      </c>
      <c r="E644" s="6" t="inlineStr">
        <is>
          <t>Urban</t>
        </is>
      </c>
      <c r="F644" s="6" t="inlineStr">
        <is>
          <t>Basket</t>
        </is>
      </c>
      <c r="G644" s="6" t="inlineStr">
        <is>
          <t>teq</t>
        </is>
      </c>
      <c r="H644" s="6" t="inlineStr">
        <is>
          <t>%</t>
        </is>
      </c>
      <c r="P644" s="12">
        <f>BSHARE("transp_eqt_share",0,"Urban","mean")</f>
        <v/>
      </c>
    </row>
    <row r="645">
      <c r="D645" s="6" t="inlineStr">
        <is>
          <t>mean</t>
        </is>
      </c>
      <c r="E645" s="6" t="inlineStr">
        <is>
          <t>Urban</t>
        </is>
      </c>
      <c r="F645" s="6" t="inlineStr">
        <is>
          <t>Deciles</t>
        </is>
      </c>
      <c r="G645" s="6" t="inlineStr">
        <is>
          <t>teq</t>
        </is>
      </c>
      <c r="H645" s="6" t="inlineStr">
        <is>
          <t>%</t>
        </is>
      </c>
      <c r="Q645" s="12">
        <f>BSHARE("transp_eqt_share",DECILE_ARRAY,"Urban","mean")</f>
        <v/>
      </c>
    </row>
    <row r="646">
      <c r="D646" s="6" t="inlineStr">
        <is>
          <t>mean</t>
        </is>
      </c>
      <c r="E646" s="6" t="inlineStr">
        <is>
          <t>Rural</t>
        </is>
      </c>
      <c r="F646" s="6" t="inlineStr">
        <is>
          <t>Basket</t>
        </is>
      </c>
      <c r="G646" s="6" t="inlineStr">
        <is>
          <t>teq</t>
        </is>
      </c>
      <c r="H646" s="6" t="inlineStr">
        <is>
          <t>%</t>
        </is>
      </c>
      <c r="P646" s="12">
        <f>BSHARE("transp_eqt_share",0,"Rural","mean")</f>
        <v/>
      </c>
    </row>
    <row r="647">
      <c r="D647" s="6" t="inlineStr">
        <is>
          <t>mean</t>
        </is>
      </c>
      <c r="E647" s="6" t="inlineStr">
        <is>
          <t>Rural</t>
        </is>
      </c>
      <c r="F647" s="6" t="inlineStr">
        <is>
          <t>Deciles</t>
        </is>
      </c>
      <c r="G647" s="6" t="inlineStr">
        <is>
          <t>teq</t>
        </is>
      </c>
      <c r="H647" s="6" t="inlineStr">
        <is>
          <t>%</t>
        </is>
      </c>
      <c r="Q647" s="12">
        <f>BSHARE("transp_eqt_share",DECILE_ARRAY,"Rural","mean")</f>
        <v/>
      </c>
    </row>
    <row r="648">
      <c r="D648" s="6" t="inlineStr">
        <is>
          <t>median</t>
        </is>
      </c>
      <c r="E648" s="6" t="inlineStr">
        <is>
          <t>Overall</t>
        </is>
      </c>
      <c r="F648" s="6" t="inlineStr">
        <is>
          <t>Basket</t>
        </is>
      </c>
      <c r="G648" s="6" t="inlineStr">
        <is>
          <t>teq</t>
        </is>
      </c>
      <c r="H648" s="6" t="inlineStr">
        <is>
          <t>%</t>
        </is>
      </c>
      <c r="P648" s="12">
        <f>BSHARE("transp_eqt_share",0,"Overall","median")</f>
        <v/>
      </c>
    </row>
    <row r="649">
      <c r="D649" s="6" t="inlineStr">
        <is>
          <t>median</t>
        </is>
      </c>
      <c r="E649" s="6" t="inlineStr">
        <is>
          <t>Overall</t>
        </is>
      </c>
      <c r="F649" s="6" t="inlineStr">
        <is>
          <t>Deciles</t>
        </is>
      </c>
      <c r="G649" s="6" t="inlineStr">
        <is>
          <t>teq</t>
        </is>
      </c>
      <c r="H649" s="6" t="inlineStr">
        <is>
          <t>%</t>
        </is>
      </c>
      <c r="Q649" s="12">
        <f>BSHARE("transp_eqt_share",DECILE_ARRAY,"Overall","median")</f>
        <v/>
      </c>
    </row>
    <row r="650">
      <c r="D650" s="6" t="inlineStr">
        <is>
          <t>median</t>
        </is>
      </c>
      <c r="E650" s="6" t="inlineStr">
        <is>
          <t>Urban</t>
        </is>
      </c>
      <c r="F650" s="6" t="inlineStr">
        <is>
          <t>Basket</t>
        </is>
      </c>
      <c r="G650" s="6" t="inlineStr">
        <is>
          <t>teq</t>
        </is>
      </c>
      <c r="H650" s="6" t="inlineStr">
        <is>
          <t>%</t>
        </is>
      </c>
      <c r="P650" s="12">
        <f>BSHARE("transp_eqt_share",0,"Urban","median")</f>
        <v/>
      </c>
    </row>
    <row r="651">
      <c r="D651" s="6" t="inlineStr">
        <is>
          <t>median</t>
        </is>
      </c>
      <c r="E651" s="6" t="inlineStr">
        <is>
          <t>Urban</t>
        </is>
      </c>
      <c r="F651" s="6" t="inlineStr">
        <is>
          <t>Deciles</t>
        </is>
      </c>
      <c r="G651" s="6" t="inlineStr">
        <is>
          <t>teq</t>
        </is>
      </c>
      <c r="H651" s="6" t="inlineStr">
        <is>
          <t>%</t>
        </is>
      </c>
      <c r="Q651" s="12">
        <f>BSHARE("transp_eqt_share",DECILE_ARRAY,"Urban","median")</f>
        <v/>
      </c>
    </row>
    <row r="652">
      <c r="D652" s="6" t="inlineStr">
        <is>
          <t>median</t>
        </is>
      </c>
      <c r="E652" s="6" t="inlineStr">
        <is>
          <t>Rural</t>
        </is>
      </c>
      <c r="F652" s="6" t="inlineStr">
        <is>
          <t>Basket</t>
        </is>
      </c>
      <c r="G652" s="6" t="inlineStr">
        <is>
          <t>teq</t>
        </is>
      </c>
      <c r="H652" s="6" t="inlineStr">
        <is>
          <t>%</t>
        </is>
      </c>
      <c r="P652" s="12">
        <f>BSHARE("transp_eqt_share",0,"Rural","median")</f>
        <v/>
      </c>
    </row>
    <row r="653">
      <c r="D653" s="6" t="inlineStr">
        <is>
          <t>median</t>
        </is>
      </c>
      <c r="E653" s="6" t="inlineStr">
        <is>
          <t>Rural</t>
        </is>
      </c>
      <c r="F653" s="6" t="inlineStr">
        <is>
          <t>Deciles</t>
        </is>
      </c>
      <c r="G653" s="6" t="inlineStr">
        <is>
          <t>teq</t>
        </is>
      </c>
      <c r="H653" s="6" t="inlineStr">
        <is>
          <t>%</t>
        </is>
      </c>
      <c r="Q653" s="12">
        <f>BSHARE("transp_eqt_share",DECILE_ARRAY,"Rural","median")</f>
        <v/>
      </c>
    </row>
    <row r="654">
      <c r="D654" s="6" t="inlineStr">
        <is>
          <t>p25</t>
        </is>
      </c>
      <c r="E654" s="6" t="inlineStr">
        <is>
          <t>Overall</t>
        </is>
      </c>
      <c r="F654" s="6" t="inlineStr">
        <is>
          <t>Basket</t>
        </is>
      </c>
      <c r="G654" s="6" t="inlineStr">
        <is>
          <t>teq</t>
        </is>
      </c>
      <c r="H654" s="6" t="inlineStr">
        <is>
          <t>%</t>
        </is>
      </c>
      <c r="P654" s="12">
        <f>BSHARE("transp_eqt_share",0,"Overall","p25")</f>
        <v/>
      </c>
    </row>
    <row r="655">
      <c r="D655" s="6" t="inlineStr">
        <is>
          <t>p25</t>
        </is>
      </c>
      <c r="E655" s="6" t="inlineStr">
        <is>
          <t>Overall</t>
        </is>
      </c>
      <c r="F655" s="6" t="inlineStr">
        <is>
          <t>Deciles</t>
        </is>
      </c>
      <c r="G655" s="6" t="inlineStr">
        <is>
          <t>teq</t>
        </is>
      </c>
      <c r="H655" s="6" t="inlineStr">
        <is>
          <t>%</t>
        </is>
      </c>
      <c r="Q655" s="12">
        <f>BSHARE("transp_eqt_share",DECILE_ARRAY,"Overall","p25")</f>
        <v/>
      </c>
    </row>
    <row r="656">
      <c r="D656" s="6" t="inlineStr">
        <is>
          <t>p25</t>
        </is>
      </c>
      <c r="E656" s="6" t="inlineStr">
        <is>
          <t>Urban</t>
        </is>
      </c>
      <c r="F656" s="6" t="inlineStr">
        <is>
          <t>Basket</t>
        </is>
      </c>
      <c r="G656" s="6" t="inlineStr">
        <is>
          <t>teq</t>
        </is>
      </c>
      <c r="H656" s="6" t="inlineStr">
        <is>
          <t>%</t>
        </is>
      </c>
      <c r="P656" s="12">
        <f>BSHARE("transp_eqt_share",0,"Urban","p25")</f>
        <v/>
      </c>
    </row>
    <row r="657">
      <c r="D657" s="6" t="inlineStr">
        <is>
          <t>p25</t>
        </is>
      </c>
      <c r="E657" s="6" t="inlineStr">
        <is>
          <t>Urban</t>
        </is>
      </c>
      <c r="F657" s="6" t="inlineStr">
        <is>
          <t>Deciles</t>
        </is>
      </c>
      <c r="G657" s="6" t="inlineStr">
        <is>
          <t>teq</t>
        </is>
      </c>
      <c r="H657" s="6" t="inlineStr">
        <is>
          <t>%</t>
        </is>
      </c>
      <c r="Q657" s="12">
        <f>BSHARE("transp_eqt_share",DECILE_ARRAY,"Urban","p25")</f>
        <v/>
      </c>
    </row>
    <row r="658">
      <c r="D658" s="6" t="inlineStr">
        <is>
          <t>p25</t>
        </is>
      </c>
      <c r="E658" s="6" t="inlineStr">
        <is>
          <t>Rural</t>
        </is>
      </c>
      <c r="F658" s="6" t="inlineStr">
        <is>
          <t>Basket</t>
        </is>
      </c>
      <c r="G658" s="6" t="inlineStr">
        <is>
          <t>teq</t>
        </is>
      </c>
      <c r="H658" s="6" t="inlineStr">
        <is>
          <t>%</t>
        </is>
      </c>
      <c r="P658" s="12">
        <f>BSHARE("transp_eqt_share",0,"Rural","p25")</f>
        <v/>
      </c>
    </row>
    <row r="659">
      <c r="D659" s="6" t="inlineStr">
        <is>
          <t>p25</t>
        </is>
      </c>
      <c r="E659" s="6" t="inlineStr">
        <is>
          <t>Rural</t>
        </is>
      </c>
      <c r="F659" s="6" t="inlineStr">
        <is>
          <t>Deciles</t>
        </is>
      </c>
      <c r="G659" s="6" t="inlineStr">
        <is>
          <t>teq</t>
        </is>
      </c>
      <c r="H659" s="6" t="inlineStr">
        <is>
          <t>%</t>
        </is>
      </c>
      <c r="Q659" s="12">
        <f>BSHARE("transp_eqt_share",DECILE_ARRAY,"Rural","p25")</f>
        <v/>
      </c>
    </row>
    <row r="660">
      <c r="D660" s="6" t="inlineStr">
        <is>
          <t>p75</t>
        </is>
      </c>
      <c r="E660" s="6" t="inlineStr">
        <is>
          <t>Overall</t>
        </is>
      </c>
      <c r="F660" s="6" t="inlineStr">
        <is>
          <t>Basket</t>
        </is>
      </c>
      <c r="G660" s="6" t="inlineStr">
        <is>
          <t>teq</t>
        </is>
      </c>
      <c r="H660" s="6" t="inlineStr">
        <is>
          <t>%</t>
        </is>
      </c>
      <c r="P660" s="12">
        <f>BSHARE("transp_eqt_share",0,"Overall","p75")</f>
        <v/>
      </c>
    </row>
    <row r="661">
      <c r="D661" s="6" t="inlineStr">
        <is>
          <t>p75</t>
        </is>
      </c>
      <c r="E661" s="6" t="inlineStr">
        <is>
          <t>Overall</t>
        </is>
      </c>
      <c r="F661" s="6" t="inlineStr">
        <is>
          <t>Deciles</t>
        </is>
      </c>
      <c r="G661" s="6" t="inlineStr">
        <is>
          <t>teq</t>
        </is>
      </c>
      <c r="H661" s="6" t="inlineStr">
        <is>
          <t>%</t>
        </is>
      </c>
      <c r="Q661" s="12">
        <f>BSHARE("transp_eqt_share",DECILE_ARRAY,"Overall","p75")</f>
        <v/>
      </c>
    </row>
    <row r="662">
      <c r="D662" s="6" t="inlineStr">
        <is>
          <t>p75</t>
        </is>
      </c>
      <c r="E662" s="6" t="inlineStr">
        <is>
          <t>Urban</t>
        </is>
      </c>
      <c r="F662" s="6" t="inlineStr">
        <is>
          <t>Basket</t>
        </is>
      </c>
      <c r="G662" s="6" t="inlineStr">
        <is>
          <t>teq</t>
        </is>
      </c>
      <c r="H662" s="6" t="inlineStr">
        <is>
          <t>%</t>
        </is>
      </c>
      <c r="P662" s="12">
        <f>BSHARE("transp_eqt_share",0,"Urban","p75")</f>
        <v/>
      </c>
    </row>
    <row r="663">
      <c r="D663" s="6" t="inlineStr">
        <is>
          <t>p75</t>
        </is>
      </c>
      <c r="E663" s="6" t="inlineStr">
        <is>
          <t>Urban</t>
        </is>
      </c>
      <c r="F663" s="6" t="inlineStr">
        <is>
          <t>Deciles</t>
        </is>
      </c>
      <c r="G663" s="6" t="inlineStr">
        <is>
          <t>teq</t>
        </is>
      </c>
      <c r="H663" s="6" t="inlineStr">
        <is>
          <t>%</t>
        </is>
      </c>
      <c r="Q663" s="12">
        <f>BSHARE("transp_eqt_share",DECILE_ARRAY,"Urban","p75")</f>
        <v/>
      </c>
    </row>
    <row r="664">
      <c r="D664" s="6" t="inlineStr">
        <is>
          <t>p75</t>
        </is>
      </c>
      <c r="E664" s="6" t="inlineStr">
        <is>
          <t>Rural</t>
        </is>
      </c>
      <c r="F664" s="6" t="inlineStr">
        <is>
          <t>Basket</t>
        </is>
      </c>
      <c r="G664" s="6" t="inlineStr">
        <is>
          <t>teq</t>
        </is>
      </c>
      <c r="H664" s="6" t="inlineStr">
        <is>
          <t>%</t>
        </is>
      </c>
      <c r="P664" s="12">
        <f>BSHARE("transp_eqt_share",0,"Rural","p75")</f>
        <v/>
      </c>
    </row>
    <row r="665">
      <c r="D665" s="6" t="inlineStr">
        <is>
          <t>p75</t>
        </is>
      </c>
      <c r="E665" s="6" t="inlineStr">
        <is>
          <t>Rural</t>
        </is>
      </c>
      <c r="F665" s="6" t="inlineStr">
        <is>
          <t>Deciles</t>
        </is>
      </c>
      <c r="G665" s="6" t="inlineStr">
        <is>
          <t>teq</t>
        </is>
      </c>
      <c r="H665" s="6" t="inlineStr">
        <is>
          <t>%</t>
        </is>
      </c>
      <c r="Q665" s="12">
        <f>BSHARE("transp_eqt_share",DECILE_ARRAY,"Rural","p75")</f>
        <v/>
      </c>
    </row>
    <row r="666"/>
    <row r="667">
      <c r="C667" s="7" t="inlineStr">
        <is>
          <t>Public Transportation Budget Share (% Total Consumption)</t>
        </is>
      </c>
      <c r="G667" s="6" t="inlineStr">
        <is>
          <t>tpu</t>
        </is>
      </c>
      <c r="O667" s="8" t="inlineStr">
        <is>
          <t>Decile --&gt;</t>
        </is>
      </c>
      <c r="Q667" s="8" t="n">
        <v>1</v>
      </c>
      <c r="R667" s="8" t="n">
        <v>2</v>
      </c>
      <c r="S667" s="8" t="n">
        <v>3</v>
      </c>
      <c r="T667" s="8" t="n">
        <v>4</v>
      </c>
      <c r="U667" s="8" t="n">
        <v>5</v>
      </c>
      <c r="V667" s="8" t="n">
        <v>6</v>
      </c>
      <c r="W667" s="8" t="n">
        <v>7</v>
      </c>
      <c r="X667" s="8" t="n">
        <v>8</v>
      </c>
      <c r="Y667" s="8" t="n">
        <v>9</v>
      </c>
      <c r="Z667" s="8" t="n">
        <v>10</v>
      </c>
    </row>
    <row r="668">
      <c r="D668" s="6" t="inlineStr">
        <is>
          <t>mean</t>
        </is>
      </c>
      <c r="E668" s="6" t="inlineStr">
        <is>
          <t>Overall</t>
        </is>
      </c>
      <c r="F668" s="6" t="inlineStr">
        <is>
          <t>Basket</t>
        </is>
      </c>
      <c r="G668" s="6" t="inlineStr">
        <is>
          <t>tpu</t>
        </is>
      </c>
      <c r="H668" s="6" t="inlineStr">
        <is>
          <t>%</t>
        </is>
      </c>
      <c r="P668" s="12">
        <f>BSHARE("transp_pub_share",0,"Overall","mean")</f>
        <v/>
      </c>
    </row>
    <row r="669">
      <c r="D669" s="6" t="inlineStr">
        <is>
          <t>mean</t>
        </is>
      </c>
      <c r="E669" s="6" t="inlineStr">
        <is>
          <t>Overall</t>
        </is>
      </c>
      <c r="F669" s="6" t="inlineStr">
        <is>
          <t>Deciles</t>
        </is>
      </c>
      <c r="G669" s="6" t="inlineStr">
        <is>
          <t>tpu</t>
        </is>
      </c>
      <c r="H669" s="6" t="inlineStr">
        <is>
          <t>%</t>
        </is>
      </c>
      <c r="Q669" s="12">
        <f>BSHARE("transp_pub_share",DECILE_ARRAY,"Overall","mean")</f>
        <v/>
      </c>
    </row>
    <row r="670">
      <c r="D670" s="6" t="inlineStr">
        <is>
          <t>mean</t>
        </is>
      </c>
      <c r="E670" s="6" t="inlineStr">
        <is>
          <t>Urban</t>
        </is>
      </c>
      <c r="F670" s="6" t="inlineStr">
        <is>
          <t>Basket</t>
        </is>
      </c>
      <c r="G670" s="6" t="inlineStr">
        <is>
          <t>tpu</t>
        </is>
      </c>
      <c r="H670" s="6" t="inlineStr">
        <is>
          <t>%</t>
        </is>
      </c>
      <c r="P670" s="12">
        <f>BSHARE("transp_pub_share",0,"Urban","mean")</f>
        <v/>
      </c>
    </row>
    <row r="671">
      <c r="D671" s="6" t="inlineStr">
        <is>
          <t>mean</t>
        </is>
      </c>
      <c r="E671" s="6" t="inlineStr">
        <is>
          <t>Urban</t>
        </is>
      </c>
      <c r="F671" s="6" t="inlineStr">
        <is>
          <t>Deciles</t>
        </is>
      </c>
      <c r="G671" s="6" t="inlineStr">
        <is>
          <t>tpu</t>
        </is>
      </c>
      <c r="H671" s="6" t="inlineStr">
        <is>
          <t>%</t>
        </is>
      </c>
      <c r="Q671" s="12">
        <f>BSHARE("transp_pub_share",DECILE_ARRAY,"Urban","mean")</f>
        <v/>
      </c>
    </row>
    <row r="672">
      <c r="D672" s="6" t="inlineStr">
        <is>
          <t>mean</t>
        </is>
      </c>
      <c r="E672" s="6" t="inlineStr">
        <is>
          <t>Rural</t>
        </is>
      </c>
      <c r="F672" s="6" t="inlineStr">
        <is>
          <t>Basket</t>
        </is>
      </c>
      <c r="G672" s="6" t="inlineStr">
        <is>
          <t>tpu</t>
        </is>
      </c>
      <c r="H672" s="6" t="inlineStr">
        <is>
          <t>%</t>
        </is>
      </c>
      <c r="P672" s="12">
        <f>BSHARE("transp_pub_share",0,"Rural","mean")</f>
        <v/>
      </c>
    </row>
    <row r="673">
      <c r="D673" s="6" t="inlineStr">
        <is>
          <t>mean</t>
        </is>
      </c>
      <c r="E673" s="6" t="inlineStr">
        <is>
          <t>Rural</t>
        </is>
      </c>
      <c r="F673" s="6" t="inlineStr">
        <is>
          <t>Deciles</t>
        </is>
      </c>
      <c r="G673" s="6" t="inlineStr">
        <is>
          <t>tpu</t>
        </is>
      </c>
      <c r="H673" s="6" t="inlineStr">
        <is>
          <t>%</t>
        </is>
      </c>
      <c r="Q673" s="12">
        <f>BSHARE("transp_pub_share",DECILE_ARRAY,"Rural","mean")</f>
        <v/>
      </c>
    </row>
    <row r="674">
      <c r="D674" s="6" t="inlineStr">
        <is>
          <t>median</t>
        </is>
      </c>
      <c r="E674" s="6" t="inlineStr">
        <is>
          <t>Overall</t>
        </is>
      </c>
      <c r="F674" s="6" t="inlineStr">
        <is>
          <t>Basket</t>
        </is>
      </c>
      <c r="G674" s="6" t="inlineStr">
        <is>
          <t>tpu</t>
        </is>
      </c>
      <c r="H674" s="6" t="inlineStr">
        <is>
          <t>%</t>
        </is>
      </c>
      <c r="P674" s="12">
        <f>BSHARE("transp_pub_share",0,"Overall","median")</f>
        <v/>
      </c>
    </row>
    <row r="675">
      <c r="D675" s="6" t="inlineStr">
        <is>
          <t>median</t>
        </is>
      </c>
      <c r="E675" s="6" t="inlineStr">
        <is>
          <t>Overall</t>
        </is>
      </c>
      <c r="F675" s="6" t="inlineStr">
        <is>
          <t>Deciles</t>
        </is>
      </c>
      <c r="G675" s="6" t="inlineStr">
        <is>
          <t>tpu</t>
        </is>
      </c>
      <c r="H675" s="6" t="inlineStr">
        <is>
          <t>%</t>
        </is>
      </c>
      <c r="Q675" s="12">
        <f>BSHARE("transp_pub_share",DECILE_ARRAY,"Overall","median")</f>
        <v/>
      </c>
    </row>
    <row r="676">
      <c r="D676" s="6" t="inlineStr">
        <is>
          <t>median</t>
        </is>
      </c>
      <c r="E676" s="6" t="inlineStr">
        <is>
          <t>Urban</t>
        </is>
      </c>
      <c r="F676" s="6" t="inlineStr">
        <is>
          <t>Basket</t>
        </is>
      </c>
      <c r="G676" s="6" t="inlineStr">
        <is>
          <t>tpu</t>
        </is>
      </c>
      <c r="H676" s="6" t="inlineStr">
        <is>
          <t>%</t>
        </is>
      </c>
      <c r="P676" s="12">
        <f>BSHARE("transp_pub_share",0,"Urban","median")</f>
        <v/>
      </c>
    </row>
    <row r="677">
      <c r="D677" s="6" t="inlineStr">
        <is>
          <t>median</t>
        </is>
      </c>
      <c r="E677" s="6" t="inlineStr">
        <is>
          <t>Urban</t>
        </is>
      </c>
      <c r="F677" s="6" t="inlineStr">
        <is>
          <t>Deciles</t>
        </is>
      </c>
      <c r="G677" s="6" t="inlineStr">
        <is>
          <t>tpu</t>
        </is>
      </c>
      <c r="H677" s="6" t="inlineStr">
        <is>
          <t>%</t>
        </is>
      </c>
      <c r="Q677" s="12">
        <f>BSHARE("transp_pub_share",DECILE_ARRAY,"Urban","median")</f>
        <v/>
      </c>
    </row>
    <row r="678">
      <c r="D678" s="6" t="inlineStr">
        <is>
          <t>median</t>
        </is>
      </c>
      <c r="E678" s="6" t="inlineStr">
        <is>
          <t>Rural</t>
        </is>
      </c>
      <c r="F678" s="6" t="inlineStr">
        <is>
          <t>Basket</t>
        </is>
      </c>
      <c r="G678" s="6" t="inlineStr">
        <is>
          <t>tpu</t>
        </is>
      </c>
      <c r="H678" s="6" t="inlineStr">
        <is>
          <t>%</t>
        </is>
      </c>
      <c r="P678" s="12">
        <f>BSHARE("transp_pub_share",0,"Rural","median")</f>
        <v/>
      </c>
    </row>
    <row r="679">
      <c r="D679" s="6" t="inlineStr">
        <is>
          <t>median</t>
        </is>
      </c>
      <c r="E679" s="6" t="inlineStr">
        <is>
          <t>Rural</t>
        </is>
      </c>
      <c r="F679" s="6" t="inlineStr">
        <is>
          <t>Deciles</t>
        </is>
      </c>
      <c r="G679" s="6" t="inlineStr">
        <is>
          <t>tpu</t>
        </is>
      </c>
      <c r="H679" s="6" t="inlineStr">
        <is>
          <t>%</t>
        </is>
      </c>
      <c r="Q679" s="12">
        <f>BSHARE("transp_pub_share",DECILE_ARRAY,"Rural","median")</f>
        <v/>
      </c>
    </row>
    <row r="680">
      <c r="D680" s="6" t="inlineStr">
        <is>
          <t>p25</t>
        </is>
      </c>
      <c r="E680" s="6" t="inlineStr">
        <is>
          <t>Overall</t>
        </is>
      </c>
      <c r="F680" s="6" t="inlineStr">
        <is>
          <t>Basket</t>
        </is>
      </c>
      <c r="G680" s="6" t="inlineStr">
        <is>
          <t>tpu</t>
        </is>
      </c>
      <c r="H680" s="6" t="inlineStr">
        <is>
          <t>%</t>
        </is>
      </c>
      <c r="P680" s="12">
        <f>BSHARE("transp_pub_share",0,"Overall","p25")</f>
        <v/>
      </c>
    </row>
    <row r="681">
      <c r="D681" s="6" t="inlineStr">
        <is>
          <t>p25</t>
        </is>
      </c>
      <c r="E681" s="6" t="inlineStr">
        <is>
          <t>Overall</t>
        </is>
      </c>
      <c r="F681" s="6" t="inlineStr">
        <is>
          <t>Deciles</t>
        </is>
      </c>
      <c r="G681" s="6" t="inlineStr">
        <is>
          <t>tpu</t>
        </is>
      </c>
      <c r="H681" s="6" t="inlineStr">
        <is>
          <t>%</t>
        </is>
      </c>
      <c r="Q681" s="12">
        <f>BSHARE("transp_pub_share",DECILE_ARRAY,"Overall","p25")</f>
        <v/>
      </c>
    </row>
    <row r="682">
      <c r="D682" s="6" t="inlineStr">
        <is>
          <t>p25</t>
        </is>
      </c>
      <c r="E682" s="6" t="inlineStr">
        <is>
          <t>Urban</t>
        </is>
      </c>
      <c r="F682" s="6" t="inlineStr">
        <is>
          <t>Basket</t>
        </is>
      </c>
      <c r="G682" s="6" t="inlineStr">
        <is>
          <t>tpu</t>
        </is>
      </c>
      <c r="H682" s="6" t="inlineStr">
        <is>
          <t>%</t>
        </is>
      </c>
      <c r="P682" s="12">
        <f>BSHARE("transp_pub_share",0,"Urban","p25")</f>
        <v/>
      </c>
    </row>
    <row r="683">
      <c r="D683" s="6" t="inlineStr">
        <is>
          <t>p25</t>
        </is>
      </c>
      <c r="E683" s="6" t="inlineStr">
        <is>
          <t>Urban</t>
        </is>
      </c>
      <c r="F683" s="6" t="inlineStr">
        <is>
          <t>Deciles</t>
        </is>
      </c>
      <c r="G683" s="6" t="inlineStr">
        <is>
          <t>tpu</t>
        </is>
      </c>
      <c r="H683" s="6" t="inlineStr">
        <is>
          <t>%</t>
        </is>
      </c>
      <c r="Q683" s="12">
        <f>BSHARE("transp_pub_share",DECILE_ARRAY,"Urban","p25")</f>
        <v/>
      </c>
    </row>
    <row r="684">
      <c r="D684" s="6" t="inlineStr">
        <is>
          <t>p25</t>
        </is>
      </c>
      <c r="E684" s="6" t="inlineStr">
        <is>
          <t>Rural</t>
        </is>
      </c>
      <c r="F684" s="6" t="inlineStr">
        <is>
          <t>Basket</t>
        </is>
      </c>
      <c r="G684" s="6" t="inlineStr">
        <is>
          <t>tpu</t>
        </is>
      </c>
      <c r="H684" s="6" t="inlineStr">
        <is>
          <t>%</t>
        </is>
      </c>
      <c r="P684" s="12">
        <f>BSHARE("transp_pub_share",0,"Rural","p25")</f>
        <v/>
      </c>
    </row>
    <row r="685">
      <c r="D685" s="6" t="inlineStr">
        <is>
          <t>p25</t>
        </is>
      </c>
      <c r="E685" s="6" t="inlineStr">
        <is>
          <t>Rural</t>
        </is>
      </c>
      <c r="F685" s="6" t="inlineStr">
        <is>
          <t>Deciles</t>
        </is>
      </c>
      <c r="G685" s="6" t="inlineStr">
        <is>
          <t>tpu</t>
        </is>
      </c>
      <c r="H685" s="6" t="inlineStr">
        <is>
          <t>%</t>
        </is>
      </c>
      <c r="Q685" s="12">
        <f>BSHARE("transp_pub_share",DECILE_ARRAY,"Rural","p25")</f>
        <v/>
      </c>
    </row>
    <row r="686">
      <c r="D686" s="6" t="inlineStr">
        <is>
          <t>p75</t>
        </is>
      </c>
      <c r="E686" s="6" t="inlineStr">
        <is>
          <t>Overall</t>
        </is>
      </c>
      <c r="F686" s="6" t="inlineStr">
        <is>
          <t>Basket</t>
        </is>
      </c>
      <c r="G686" s="6" t="inlineStr">
        <is>
          <t>tpu</t>
        </is>
      </c>
      <c r="H686" s="6" t="inlineStr">
        <is>
          <t>%</t>
        </is>
      </c>
      <c r="P686" s="12">
        <f>BSHARE("transp_pub_share",0,"Overall","p75")</f>
        <v/>
      </c>
    </row>
    <row r="687">
      <c r="D687" s="6" t="inlineStr">
        <is>
          <t>p75</t>
        </is>
      </c>
      <c r="E687" s="6" t="inlineStr">
        <is>
          <t>Overall</t>
        </is>
      </c>
      <c r="F687" s="6" t="inlineStr">
        <is>
          <t>Deciles</t>
        </is>
      </c>
      <c r="G687" s="6" t="inlineStr">
        <is>
          <t>tpu</t>
        </is>
      </c>
      <c r="H687" s="6" t="inlineStr">
        <is>
          <t>%</t>
        </is>
      </c>
      <c r="Q687" s="12">
        <f>BSHARE("transp_pub_share",DECILE_ARRAY,"Overall","p75")</f>
        <v/>
      </c>
    </row>
    <row r="688">
      <c r="D688" s="6" t="inlineStr">
        <is>
          <t>p75</t>
        </is>
      </c>
      <c r="E688" s="6" t="inlineStr">
        <is>
          <t>Urban</t>
        </is>
      </c>
      <c r="F688" s="6" t="inlineStr">
        <is>
          <t>Basket</t>
        </is>
      </c>
      <c r="G688" s="6" t="inlineStr">
        <is>
          <t>tpu</t>
        </is>
      </c>
      <c r="H688" s="6" t="inlineStr">
        <is>
          <t>%</t>
        </is>
      </c>
      <c r="P688" s="12">
        <f>BSHARE("transp_pub_share",0,"Urban","p75")</f>
        <v/>
      </c>
    </row>
    <row r="689">
      <c r="D689" s="6" t="inlineStr">
        <is>
          <t>p75</t>
        </is>
      </c>
      <c r="E689" s="6" t="inlineStr">
        <is>
          <t>Urban</t>
        </is>
      </c>
      <c r="F689" s="6" t="inlineStr">
        <is>
          <t>Deciles</t>
        </is>
      </c>
      <c r="G689" s="6" t="inlineStr">
        <is>
          <t>tpu</t>
        </is>
      </c>
      <c r="H689" s="6" t="inlineStr">
        <is>
          <t>%</t>
        </is>
      </c>
      <c r="Q689" s="12">
        <f>BSHARE("transp_pub_share",DECILE_ARRAY,"Urban","p75")</f>
        <v/>
      </c>
    </row>
    <row r="690">
      <c r="D690" s="6" t="inlineStr">
        <is>
          <t>p75</t>
        </is>
      </c>
      <c r="E690" s="6" t="inlineStr">
        <is>
          <t>Rural</t>
        </is>
      </c>
      <c r="F690" s="6" t="inlineStr">
        <is>
          <t>Basket</t>
        </is>
      </c>
      <c r="G690" s="6" t="inlineStr">
        <is>
          <t>tpu</t>
        </is>
      </c>
      <c r="H690" s="6" t="inlineStr">
        <is>
          <t>%</t>
        </is>
      </c>
      <c r="P690" s="12">
        <f>BSHARE("transp_pub_share",0,"Rural","p75")</f>
        <v/>
      </c>
    </row>
    <row r="691">
      <c r="D691" s="6" t="inlineStr">
        <is>
          <t>p75</t>
        </is>
      </c>
      <c r="E691" s="6" t="inlineStr">
        <is>
          <t>Rural</t>
        </is>
      </c>
      <c r="F691" s="6" t="inlineStr">
        <is>
          <t>Deciles</t>
        </is>
      </c>
      <c r="G691" s="6" t="inlineStr">
        <is>
          <t>tpu</t>
        </is>
      </c>
      <c r="H691" s="6" t="inlineStr">
        <is>
          <t>%</t>
        </is>
      </c>
      <c r="Q691" s="12">
        <f>BSHARE("transp_pub_share",DECILE_ARRAY,"Rural","p75")</f>
        <v/>
      </c>
    </row>
    <row r="692"/>
    <row r="693">
      <c r="A693" s="4" t="inlineStr">
        <is>
          <t>C.V.</t>
        </is>
      </c>
      <c r="B693" s="4" t="inlineStr">
        <is>
          <t>Consumption losses - direct effect</t>
        </is>
      </c>
      <c r="C693" s="5" t="n"/>
      <c r="D693" s="5" t="n"/>
      <c r="E693" s="5" t="n"/>
      <c r="F693" s="5" t="n"/>
      <c r="G693" s="5" t="n"/>
      <c r="H693" s="5" t="n"/>
      <c r="I693" s="5" t="n"/>
      <c r="J693" s="5" t="n"/>
      <c r="K693" s="5" t="n"/>
      <c r="L693" s="5" t="n"/>
      <c r="M693" s="5" t="n"/>
      <c r="N693" s="5" t="n"/>
    </row>
    <row r="694"/>
    <row r="695">
      <c r="C695" s="7" t="inlineStr">
        <is>
          <t>Direct Effect - Coal (% Total Consumption)</t>
        </is>
      </c>
      <c r="G695" s="6" t="inlineStr">
        <is>
          <t>coa</t>
        </is>
      </c>
      <c r="O695" s="8" t="inlineStr">
        <is>
          <t>Decile --&gt;</t>
        </is>
      </c>
      <c r="Q695" s="8" t="n">
        <v>1</v>
      </c>
      <c r="R695" s="8" t="n">
        <v>2</v>
      </c>
      <c r="S695" s="8" t="n">
        <v>3</v>
      </c>
      <c r="T695" s="8" t="n">
        <v>4</v>
      </c>
      <c r="U695" s="8" t="n">
        <v>5</v>
      </c>
      <c r="V695" s="8" t="n">
        <v>6</v>
      </c>
      <c r="W695" s="8" t="n">
        <v>7</v>
      </c>
      <c r="X695" s="8" t="n">
        <v>8</v>
      </c>
      <c r="Y695" s="8" t="n">
        <v>9</v>
      </c>
      <c r="Z695" s="8" t="n">
        <v>10</v>
      </c>
    </row>
    <row r="696">
      <c r="D696" s="6" t="inlineStr">
        <is>
          <t>mean</t>
        </is>
      </c>
      <c r="E696" s="6" t="inlineStr">
        <is>
          <t>Overall</t>
        </is>
      </c>
      <c r="F696" s="6" t="inlineStr">
        <is>
          <t>Basket</t>
        </is>
      </c>
      <c r="G696" s="6" t="inlineStr">
        <is>
          <t>coa</t>
        </is>
      </c>
      <c r="H696" s="6" t="inlineStr">
        <is>
          <t>%</t>
        </is>
      </c>
      <c r="P696" s="12">
        <f>DIRECT_EFFECT("coa","Coal","coa_share","coa_elasticity",0,"Overall","mean")</f>
        <v/>
      </c>
    </row>
    <row r="697">
      <c r="D697" s="6" t="inlineStr">
        <is>
          <t>mean</t>
        </is>
      </c>
      <c r="E697" s="6" t="inlineStr">
        <is>
          <t>Overall</t>
        </is>
      </c>
      <c r="F697" s="6" t="inlineStr">
        <is>
          <t>Deciles</t>
        </is>
      </c>
      <c r="G697" s="6" t="inlineStr">
        <is>
          <t>coa</t>
        </is>
      </c>
      <c r="H697" s="6" t="inlineStr">
        <is>
          <t>%</t>
        </is>
      </c>
      <c r="Q697" s="12">
        <f>DIRECT_EFFECT("coa","Coal","coa_share","coa_elasticity",DECILE_ARRAY,"Overall","mean")</f>
        <v/>
      </c>
    </row>
    <row r="698">
      <c r="D698" s="6" t="inlineStr">
        <is>
          <t>mean</t>
        </is>
      </c>
      <c r="E698" s="6" t="inlineStr">
        <is>
          <t>Urban</t>
        </is>
      </c>
      <c r="F698" s="6" t="inlineStr">
        <is>
          <t>Basket</t>
        </is>
      </c>
      <c r="G698" s="6" t="inlineStr">
        <is>
          <t>coa</t>
        </is>
      </c>
      <c r="H698" s="6" t="inlineStr">
        <is>
          <t>%</t>
        </is>
      </c>
      <c r="P698" s="12">
        <f>DIRECT_EFFECT("coa","Coal","coa_share","coa_elasticity",0,"Urban","mean")</f>
        <v/>
      </c>
    </row>
    <row r="699">
      <c r="D699" s="6" t="inlineStr">
        <is>
          <t>mean</t>
        </is>
      </c>
      <c r="E699" s="6" t="inlineStr">
        <is>
          <t>Urban</t>
        </is>
      </c>
      <c r="F699" s="6" t="inlineStr">
        <is>
          <t>Deciles</t>
        </is>
      </c>
      <c r="G699" s="6" t="inlineStr">
        <is>
          <t>coa</t>
        </is>
      </c>
      <c r="H699" s="6" t="inlineStr">
        <is>
          <t>%</t>
        </is>
      </c>
      <c r="Q699" s="12">
        <f>DIRECT_EFFECT("coa","Coal","coa_share","coa_elasticity",DECILE_ARRAY,"Urban","mean")</f>
        <v/>
      </c>
    </row>
    <row r="700">
      <c r="D700" s="6" t="inlineStr">
        <is>
          <t>mean</t>
        </is>
      </c>
      <c r="E700" s="6" t="inlineStr">
        <is>
          <t>Rural</t>
        </is>
      </c>
      <c r="F700" s="6" t="inlineStr">
        <is>
          <t>Basket</t>
        </is>
      </c>
      <c r="G700" s="6" t="inlineStr">
        <is>
          <t>coa</t>
        </is>
      </c>
      <c r="H700" s="6" t="inlineStr">
        <is>
          <t>%</t>
        </is>
      </c>
      <c r="P700" s="12">
        <f>DIRECT_EFFECT("coa","Coal","coa_share","coa_elasticity",0,"Rural","mean")</f>
        <v/>
      </c>
    </row>
    <row r="701">
      <c r="D701" s="6" t="inlineStr">
        <is>
          <t>mean</t>
        </is>
      </c>
      <c r="E701" s="6" t="inlineStr">
        <is>
          <t>Rural</t>
        </is>
      </c>
      <c r="F701" s="6" t="inlineStr">
        <is>
          <t>Deciles</t>
        </is>
      </c>
      <c r="G701" s="6" t="inlineStr">
        <is>
          <t>coa</t>
        </is>
      </c>
      <c r="H701" s="6" t="inlineStr">
        <is>
          <t>%</t>
        </is>
      </c>
      <c r="Q701" s="12">
        <f>DIRECT_EFFECT("coa","Coal","coa_share","coa_elasticity",DECILE_ARRAY,"Rural","mean")</f>
        <v/>
      </c>
    </row>
    <row r="702">
      <c r="D702" s="6" t="inlineStr">
        <is>
          <t>median</t>
        </is>
      </c>
      <c r="E702" s="6" t="inlineStr">
        <is>
          <t>Overall</t>
        </is>
      </c>
      <c r="F702" s="6" t="inlineStr">
        <is>
          <t>Basket</t>
        </is>
      </c>
      <c r="G702" s="6" t="inlineStr">
        <is>
          <t>coa</t>
        </is>
      </c>
      <c r="H702" s="6" t="inlineStr">
        <is>
          <t>%</t>
        </is>
      </c>
      <c r="P702" s="12">
        <f>DIRECT_EFFECT("coa","Coal","coa_share","coa_elasticity",0,"Overall","median")</f>
        <v/>
      </c>
    </row>
    <row r="703">
      <c r="D703" s="6" t="inlineStr">
        <is>
          <t>median</t>
        </is>
      </c>
      <c r="E703" s="6" t="inlineStr">
        <is>
          <t>Overall</t>
        </is>
      </c>
      <c r="F703" s="6" t="inlineStr">
        <is>
          <t>Deciles</t>
        </is>
      </c>
      <c r="G703" s="6" t="inlineStr">
        <is>
          <t>coa</t>
        </is>
      </c>
      <c r="H703" s="6" t="inlineStr">
        <is>
          <t>%</t>
        </is>
      </c>
      <c r="Q703" s="12">
        <f>DIRECT_EFFECT("coa","Coal","coa_share","coa_elasticity",DECILE_ARRAY,"Overall","median")</f>
        <v/>
      </c>
    </row>
    <row r="704">
      <c r="D704" s="6" t="inlineStr">
        <is>
          <t>median</t>
        </is>
      </c>
      <c r="E704" s="6" t="inlineStr">
        <is>
          <t>Urban</t>
        </is>
      </c>
      <c r="F704" s="6" t="inlineStr">
        <is>
          <t>Basket</t>
        </is>
      </c>
      <c r="G704" s="6" t="inlineStr">
        <is>
          <t>coa</t>
        </is>
      </c>
      <c r="H704" s="6" t="inlineStr">
        <is>
          <t>%</t>
        </is>
      </c>
      <c r="P704" s="12">
        <f>DIRECT_EFFECT("coa","Coal","coa_share","coa_elasticity",0,"Urban","median")</f>
        <v/>
      </c>
    </row>
    <row r="705">
      <c r="D705" s="6" t="inlineStr">
        <is>
          <t>median</t>
        </is>
      </c>
      <c r="E705" s="6" t="inlineStr">
        <is>
          <t>Urban</t>
        </is>
      </c>
      <c r="F705" s="6" t="inlineStr">
        <is>
          <t>Deciles</t>
        </is>
      </c>
      <c r="G705" s="6" t="inlineStr">
        <is>
          <t>coa</t>
        </is>
      </c>
      <c r="H705" s="6" t="inlineStr">
        <is>
          <t>%</t>
        </is>
      </c>
      <c r="Q705" s="12">
        <f>DIRECT_EFFECT("coa","Coal","coa_share","coa_elasticity",DECILE_ARRAY,"Urban","median")</f>
        <v/>
      </c>
    </row>
    <row r="706">
      <c r="D706" s="6" t="inlineStr">
        <is>
          <t>median</t>
        </is>
      </c>
      <c r="E706" s="6" t="inlineStr">
        <is>
          <t>Rural</t>
        </is>
      </c>
      <c r="F706" s="6" t="inlineStr">
        <is>
          <t>Basket</t>
        </is>
      </c>
      <c r="G706" s="6" t="inlineStr">
        <is>
          <t>coa</t>
        </is>
      </c>
      <c r="H706" s="6" t="inlineStr">
        <is>
          <t>%</t>
        </is>
      </c>
      <c r="P706" s="12">
        <f>DIRECT_EFFECT("coa","Coal","coa_share","coa_elasticity",0,"Rural","median")</f>
        <v/>
      </c>
    </row>
    <row r="707">
      <c r="D707" s="6" t="inlineStr">
        <is>
          <t>median</t>
        </is>
      </c>
      <c r="E707" s="6" t="inlineStr">
        <is>
          <t>Rural</t>
        </is>
      </c>
      <c r="F707" s="6" t="inlineStr">
        <is>
          <t>Deciles</t>
        </is>
      </c>
      <c r="G707" s="6" t="inlineStr">
        <is>
          <t>coa</t>
        </is>
      </c>
      <c r="H707" s="6" t="inlineStr">
        <is>
          <t>%</t>
        </is>
      </c>
      <c r="Q707" s="12">
        <f>DIRECT_EFFECT("coa","Coal","coa_share","coa_elasticity",DECILE_ARRAY,"Rural","median")</f>
        <v/>
      </c>
    </row>
    <row r="708">
      <c r="D708" s="6" t="inlineStr">
        <is>
          <t>p25</t>
        </is>
      </c>
      <c r="E708" s="6" t="inlineStr">
        <is>
          <t>Overall</t>
        </is>
      </c>
      <c r="F708" s="6" t="inlineStr">
        <is>
          <t>Basket</t>
        </is>
      </c>
      <c r="G708" s="6" t="inlineStr">
        <is>
          <t>coa</t>
        </is>
      </c>
      <c r="H708" s="6" t="inlineStr">
        <is>
          <t>%</t>
        </is>
      </c>
      <c r="P708" s="12">
        <f>DIRECT_EFFECT("coa","Coal","coa_share","coa_elasticity",0,"Overall","p25")</f>
        <v/>
      </c>
    </row>
    <row r="709">
      <c r="D709" s="6" t="inlineStr">
        <is>
          <t>p25</t>
        </is>
      </c>
      <c r="E709" s="6" t="inlineStr">
        <is>
          <t>Overall</t>
        </is>
      </c>
      <c r="F709" s="6" t="inlineStr">
        <is>
          <t>Deciles</t>
        </is>
      </c>
      <c r="G709" s="6" t="inlineStr">
        <is>
          <t>coa</t>
        </is>
      </c>
      <c r="H709" s="6" t="inlineStr">
        <is>
          <t>%</t>
        </is>
      </c>
      <c r="Q709" s="12">
        <f>DIRECT_EFFECT("coa","Coal","coa_share","coa_elasticity",DECILE_ARRAY,"Overall","p25")</f>
        <v/>
      </c>
    </row>
    <row r="710">
      <c r="D710" s="6" t="inlineStr">
        <is>
          <t>p25</t>
        </is>
      </c>
      <c r="E710" s="6" t="inlineStr">
        <is>
          <t>Urban</t>
        </is>
      </c>
      <c r="F710" s="6" t="inlineStr">
        <is>
          <t>Basket</t>
        </is>
      </c>
      <c r="G710" s="6" t="inlineStr">
        <is>
          <t>coa</t>
        </is>
      </c>
      <c r="H710" s="6" t="inlineStr">
        <is>
          <t>%</t>
        </is>
      </c>
      <c r="P710" s="12">
        <f>DIRECT_EFFECT("coa","Coal","coa_share","coa_elasticity",0,"Urban","p25")</f>
        <v/>
      </c>
    </row>
    <row r="711">
      <c r="D711" s="6" t="inlineStr">
        <is>
          <t>p25</t>
        </is>
      </c>
      <c r="E711" s="6" t="inlineStr">
        <is>
          <t>Urban</t>
        </is>
      </c>
      <c r="F711" s="6" t="inlineStr">
        <is>
          <t>Deciles</t>
        </is>
      </c>
      <c r="G711" s="6" t="inlineStr">
        <is>
          <t>coa</t>
        </is>
      </c>
      <c r="H711" s="6" t="inlineStr">
        <is>
          <t>%</t>
        </is>
      </c>
      <c r="Q711" s="12">
        <f>DIRECT_EFFECT("coa","Coal","coa_share","coa_elasticity",DECILE_ARRAY,"Urban","p25")</f>
        <v/>
      </c>
    </row>
    <row r="712">
      <c r="D712" s="6" t="inlineStr">
        <is>
          <t>p25</t>
        </is>
      </c>
      <c r="E712" s="6" t="inlineStr">
        <is>
          <t>Rural</t>
        </is>
      </c>
      <c r="F712" s="6" t="inlineStr">
        <is>
          <t>Basket</t>
        </is>
      </c>
      <c r="G712" s="6" t="inlineStr">
        <is>
          <t>coa</t>
        </is>
      </c>
      <c r="H712" s="6" t="inlineStr">
        <is>
          <t>%</t>
        </is>
      </c>
      <c r="P712" s="12">
        <f>DIRECT_EFFECT("coa","Coal","coa_share","coa_elasticity",0,"Rural","p25")</f>
        <v/>
      </c>
    </row>
    <row r="713">
      <c r="D713" s="6" t="inlineStr">
        <is>
          <t>p25</t>
        </is>
      </c>
      <c r="E713" s="6" t="inlineStr">
        <is>
          <t>Rural</t>
        </is>
      </c>
      <c r="F713" s="6" t="inlineStr">
        <is>
          <t>Deciles</t>
        </is>
      </c>
      <c r="G713" s="6" t="inlineStr">
        <is>
          <t>coa</t>
        </is>
      </c>
      <c r="H713" s="6" t="inlineStr">
        <is>
          <t>%</t>
        </is>
      </c>
      <c r="Q713" s="12">
        <f>DIRECT_EFFECT("coa","Coal","coa_share","coa_elasticity",DECILE_ARRAY,"Rural","p25")</f>
        <v/>
      </c>
    </row>
    <row r="714">
      <c r="D714" s="6" t="inlineStr">
        <is>
          <t>p75</t>
        </is>
      </c>
      <c r="E714" s="6" t="inlineStr">
        <is>
          <t>Overall</t>
        </is>
      </c>
      <c r="F714" s="6" t="inlineStr">
        <is>
          <t>Basket</t>
        </is>
      </c>
      <c r="G714" s="6" t="inlineStr">
        <is>
          <t>coa</t>
        </is>
      </c>
      <c r="H714" s="6" t="inlineStr">
        <is>
          <t>%</t>
        </is>
      </c>
      <c r="P714" s="12">
        <f>DIRECT_EFFECT("coa","Coal","coa_share","coa_elasticity",0,"Overall","p75")</f>
        <v/>
      </c>
    </row>
    <row r="715">
      <c r="D715" s="6" t="inlineStr">
        <is>
          <t>p75</t>
        </is>
      </c>
      <c r="E715" s="6" t="inlineStr">
        <is>
          <t>Overall</t>
        </is>
      </c>
      <c r="F715" s="6" t="inlineStr">
        <is>
          <t>Deciles</t>
        </is>
      </c>
      <c r="G715" s="6" t="inlineStr">
        <is>
          <t>coa</t>
        </is>
      </c>
      <c r="H715" s="6" t="inlineStr">
        <is>
          <t>%</t>
        </is>
      </c>
      <c r="Q715" s="12">
        <f>DIRECT_EFFECT("coa","Coal","coa_share","coa_elasticity",DECILE_ARRAY,"Overall","p75")</f>
        <v/>
      </c>
    </row>
    <row r="716">
      <c r="D716" s="6" t="inlineStr">
        <is>
          <t>p75</t>
        </is>
      </c>
      <c r="E716" s="6" t="inlineStr">
        <is>
          <t>Urban</t>
        </is>
      </c>
      <c r="F716" s="6" t="inlineStr">
        <is>
          <t>Basket</t>
        </is>
      </c>
      <c r="G716" s="6" t="inlineStr">
        <is>
          <t>coa</t>
        </is>
      </c>
      <c r="H716" s="6" t="inlineStr">
        <is>
          <t>%</t>
        </is>
      </c>
      <c r="P716" s="12">
        <f>DIRECT_EFFECT("coa","Coal","coa_share","coa_elasticity",0,"Urban","p75")</f>
        <v/>
      </c>
    </row>
    <row r="717">
      <c r="D717" s="6" t="inlineStr">
        <is>
          <t>p75</t>
        </is>
      </c>
      <c r="E717" s="6" t="inlineStr">
        <is>
          <t>Urban</t>
        </is>
      </c>
      <c r="F717" s="6" t="inlineStr">
        <is>
          <t>Deciles</t>
        </is>
      </c>
      <c r="G717" s="6" t="inlineStr">
        <is>
          <t>coa</t>
        </is>
      </c>
      <c r="H717" s="6" t="inlineStr">
        <is>
          <t>%</t>
        </is>
      </c>
      <c r="Q717" s="12">
        <f>DIRECT_EFFECT("coa","Coal","coa_share","coa_elasticity",DECILE_ARRAY,"Urban","p75")</f>
        <v/>
      </c>
    </row>
    <row r="718">
      <c r="D718" s="6" t="inlineStr">
        <is>
          <t>p75</t>
        </is>
      </c>
      <c r="E718" s="6" t="inlineStr">
        <is>
          <t>Rural</t>
        </is>
      </c>
      <c r="F718" s="6" t="inlineStr">
        <is>
          <t>Basket</t>
        </is>
      </c>
      <c r="G718" s="6" t="inlineStr">
        <is>
          <t>coa</t>
        </is>
      </c>
      <c r="H718" s="6" t="inlineStr">
        <is>
          <t>%</t>
        </is>
      </c>
      <c r="P718" s="12">
        <f>DIRECT_EFFECT("coa","Coal","coa_share","coa_elasticity",0,"Rural","p75")</f>
        <v/>
      </c>
    </row>
    <row r="719">
      <c r="D719" s="6" t="inlineStr">
        <is>
          <t>p75</t>
        </is>
      </c>
      <c r="E719" s="6" t="inlineStr">
        <is>
          <t>Rural</t>
        </is>
      </c>
      <c r="F719" s="6" t="inlineStr">
        <is>
          <t>Deciles</t>
        </is>
      </c>
      <c r="G719" s="6" t="inlineStr">
        <is>
          <t>coa</t>
        </is>
      </c>
      <c r="H719" s="6" t="inlineStr">
        <is>
          <t>%</t>
        </is>
      </c>
      <c r="Q719" s="12">
        <f>DIRECT_EFFECT("coa","Coal","coa_share","coa_elasticity",DECILE_ARRAY,"Rural","p75")</f>
        <v/>
      </c>
    </row>
    <row r="720"/>
    <row r="721">
      <c r="C721" s="7" t="inlineStr">
        <is>
          <t>Direct Effect - Electricity (% Total Consumption)</t>
        </is>
      </c>
      <c r="G721" s="6" t="inlineStr">
        <is>
          <t>ely</t>
        </is>
      </c>
      <c r="O721" s="8" t="inlineStr">
        <is>
          <t>Decile --&gt;</t>
        </is>
      </c>
      <c r="Q721" s="8" t="n">
        <v>1</v>
      </c>
      <c r="R721" s="8" t="n">
        <v>2</v>
      </c>
      <c r="S721" s="8" t="n">
        <v>3</v>
      </c>
      <c r="T721" s="8" t="n">
        <v>4</v>
      </c>
      <c r="U721" s="8" t="n">
        <v>5</v>
      </c>
      <c r="V721" s="8" t="n">
        <v>6</v>
      </c>
      <c r="W721" s="8" t="n">
        <v>7</v>
      </c>
      <c r="X721" s="8" t="n">
        <v>8</v>
      </c>
      <c r="Y721" s="8" t="n">
        <v>9</v>
      </c>
      <c r="Z721" s="8" t="n">
        <v>10</v>
      </c>
    </row>
    <row r="722">
      <c r="D722" s="6" t="inlineStr">
        <is>
          <t>mean</t>
        </is>
      </c>
      <c r="E722" s="6" t="inlineStr">
        <is>
          <t>Overall</t>
        </is>
      </c>
      <c r="F722" s="6" t="inlineStr">
        <is>
          <t>Basket</t>
        </is>
      </c>
      <c r="G722" s="6" t="inlineStr">
        <is>
          <t>ely</t>
        </is>
      </c>
      <c r="H722" s="6" t="inlineStr">
        <is>
          <t>%</t>
        </is>
      </c>
      <c r="P722" s="12">
        <f>DIRECT_EFFECT("ely","Electricity","ely_share","ely_elasticity",0,"Overall","mean")</f>
        <v/>
      </c>
    </row>
    <row r="723">
      <c r="D723" s="6" t="inlineStr">
        <is>
          <t>mean</t>
        </is>
      </c>
      <c r="E723" s="6" t="inlineStr">
        <is>
          <t>Overall</t>
        </is>
      </c>
      <c r="F723" s="6" t="inlineStr">
        <is>
          <t>Deciles</t>
        </is>
      </c>
      <c r="G723" s="6" t="inlineStr">
        <is>
          <t>ely</t>
        </is>
      </c>
      <c r="H723" s="6" t="inlineStr">
        <is>
          <t>%</t>
        </is>
      </c>
      <c r="Q723" s="12">
        <f>DIRECT_EFFECT("ely","Electricity","ely_share","ely_elasticity",DECILE_ARRAY,"Overall","mean")</f>
        <v/>
      </c>
    </row>
    <row r="724">
      <c r="D724" s="6" t="inlineStr">
        <is>
          <t>mean</t>
        </is>
      </c>
      <c r="E724" s="6" t="inlineStr">
        <is>
          <t>Urban</t>
        </is>
      </c>
      <c r="F724" s="6" t="inlineStr">
        <is>
          <t>Basket</t>
        </is>
      </c>
      <c r="G724" s="6" t="inlineStr">
        <is>
          <t>ely</t>
        </is>
      </c>
      <c r="H724" s="6" t="inlineStr">
        <is>
          <t>%</t>
        </is>
      </c>
      <c r="P724" s="12">
        <f>DIRECT_EFFECT("ely","Electricity","ely_share","ely_elasticity",0,"Urban","mean")</f>
        <v/>
      </c>
    </row>
    <row r="725">
      <c r="D725" s="6" t="inlineStr">
        <is>
          <t>mean</t>
        </is>
      </c>
      <c r="E725" s="6" t="inlineStr">
        <is>
          <t>Urban</t>
        </is>
      </c>
      <c r="F725" s="6" t="inlineStr">
        <is>
          <t>Deciles</t>
        </is>
      </c>
      <c r="G725" s="6" t="inlineStr">
        <is>
          <t>ely</t>
        </is>
      </c>
      <c r="H725" s="6" t="inlineStr">
        <is>
          <t>%</t>
        </is>
      </c>
      <c r="Q725" s="12">
        <f>DIRECT_EFFECT("ely","Electricity","ely_share","ely_elasticity",DECILE_ARRAY,"Urban","mean")</f>
        <v/>
      </c>
    </row>
    <row r="726">
      <c r="D726" s="6" t="inlineStr">
        <is>
          <t>mean</t>
        </is>
      </c>
      <c r="E726" s="6" t="inlineStr">
        <is>
          <t>Rural</t>
        </is>
      </c>
      <c r="F726" s="6" t="inlineStr">
        <is>
          <t>Basket</t>
        </is>
      </c>
      <c r="G726" s="6" t="inlineStr">
        <is>
          <t>ely</t>
        </is>
      </c>
      <c r="H726" s="6" t="inlineStr">
        <is>
          <t>%</t>
        </is>
      </c>
      <c r="P726" s="12">
        <f>DIRECT_EFFECT("ely","Electricity","ely_share","ely_elasticity",0,"Rural","mean")</f>
        <v/>
      </c>
    </row>
    <row r="727">
      <c r="D727" s="6" t="inlineStr">
        <is>
          <t>mean</t>
        </is>
      </c>
      <c r="E727" s="6" t="inlineStr">
        <is>
          <t>Rural</t>
        </is>
      </c>
      <c r="F727" s="6" t="inlineStr">
        <is>
          <t>Deciles</t>
        </is>
      </c>
      <c r="G727" s="6" t="inlineStr">
        <is>
          <t>ely</t>
        </is>
      </c>
      <c r="H727" s="6" t="inlineStr">
        <is>
          <t>%</t>
        </is>
      </c>
      <c r="Q727" s="12">
        <f>DIRECT_EFFECT("ely","Electricity","ely_share","ely_elasticity",DECILE_ARRAY,"Rural","mean")</f>
        <v/>
      </c>
    </row>
    <row r="728">
      <c r="D728" s="6" t="inlineStr">
        <is>
          <t>median</t>
        </is>
      </c>
      <c r="E728" s="6" t="inlineStr">
        <is>
          <t>Overall</t>
        </is>
      </c>
      <c r="F728" s="6" t="inlineStr">
        <is>
          <t>Basket</t>
        </is>
      </c>
      <c r="G728" s="6" t="inlineStr">
        <is>
          <t>ely</t>
        </is>
      </c>
      <c r="H728" s="6" t="inlineStr">
        <is>
          <t>%</t>
        </is>
      </c>
      <c r="P728" s="12">
        <f>DIRECT_EFFECT("ely","Electricity","ely_share","ely_elasticity",0,"Overall","median")</f>
        <v/>
      </c>
    </row>
    <row r="729">
      <c r="D729" s="6" t="inlineStr">
        <is>
          <t>median</t>
        </is>
      </c>
      <c r="E729" s="6" t="inlineStr">
        <is>
          <t>Overall</t>
        </is>
      </c>
      <c r="F729" s="6" t="inlineStr">
        <is>
          <t>Deciles</t>
        </is>
      </c>
      <c r="G729" s="6" t="inlineStr">
        <is>
          <t>ely</t>
        </is>
      </c>
      <c r="H729" s="6" t="inlineStr">
        <is>
          <t>%</t>
        </is>
      </c>
      <c r="Q729" s="12">
        <f>DIRECT_EFFECT("ely","Electricity","ely_share","ely_elasticity",DECILE_ARRAY,"Overall","median")</f>
        <v/>
      </c>
    </row>
    <row r="730">
      <c r="D730" s="6" t="inlineStr">
        <is>
          <t>median</t>
        </is>
      </c>
      <c r="E730" s="6" t="inlineStr">
        <is>
          <t>Urban</t>
        </is>
      </c>
      <c r="F730" s="6" t="inlineStr">
        <is>
          <t>Basket</t>
        </is>
      </c>
      <c r="G730" s="6" t="inlineStr">
        <is>
          <t>ely</t>
        </is>
      </c>
      <c r="H730" s="6" t="inlineStr">
        <is>
          <t>%</t>
        </is>
      </c>
      <c r="P730" s="12">
        <f>DIRECT_EFFECT("ely","Electricity","ely_share","ely_elasticity",0,"Urban","median")</f>
        <v/>
      </c>
    </row>
    <row r="731">
      <c r="D731" s="6" t="inlineStr">
        <is>
          <t>median</t>
        </is>
      </c>
      <c r="E731" s="6" t="inlineStr">
        <is>
          <t>Urban</t>
        </is>
      </c>
      <c r="F731" s="6" t="inlineStr">
        <is>
          <t>Deciles</t>
        </is>
      </c>
      <c r="G731" s="6" t="inlineStr">
        <is>
          <t>ely</t>
        </is>
      </c>
      <c r="H731" s="6" t="inlineStr">
        <is>
          <t>%</t>
        </is>
      </c>
      <c r="Q731" s="12">
        <f>DIRECT_EFFECT("ely","Electricity","ely_share","ely_elasticity",DECILE_ARRAY,"Urban","median")</f>
        <v/>
      </c>
    </row>
    <row r="732">
      <c r="D732" s="6" t="inlineStr">
        <is>
          <t>median</t>
        </is>
      </c>
      <c r="E732" s="6" t="inlineStr">
        <is>
          <t>Rural</t>
        </is>
      </c>
      <c r="F732" s="6" t="inlineStr">
        <is>
          <t>Basket</t>
        </is>
      </c>
      <c r="G732" s="6" t="inlineStr">
        <is>
          <t>ely</t>
        </is>
      </c>
      <c r="H732" s="6" t="inlineStr">
        <is>
          <t>%</t>
        </is>
      </c>
      <c r="P732" s="12">
        <f>DIRECT_EFFECT("ely","Electricity","ely_share","ely_elasticity",0,"Rural","median")</f>
        <v/>
      </c>
    </row>
    <row r="733">
      <c r="D733" s="6" t="inlineStr">
        <is>
          <t>median</t>
        </is>
      </c>
      <c r="E733" s="6" t="inlineStr">
        <is>
          <t>Rural</t>
        </is>
      </c>
      <c r="F733" s="6" t="inlineStr">
        <is>
          <t>Deciles</t>
        </is>
      </c>
      <c r="G733" s="6" t="inlineStr">
        <is>
          <t>ely</t>
        </is>
      </c>
      <c r="H733" s="6" t="inlineStr">
        <is>
          <t>%</t>
        </is>
      </c>
      <c r="Q733" s="12">
        <f>DIRECT_EFFECT("ely","Electricity","ely_share","ely_elasticity",DECILE_ARRAY,"Rural","median")</f>
        <v/>
      </c>
    </row>
    <row r="734">
      <c r="D734" s="6" t="inlineStr">
        <is>
          <t>p25</t>
        </is>
      </c>
      <c r="E734" s="6" t="inlineStr">
        <is>
          <t>Overall</t>
        </is>
      </c>
      <c r="F734" s="6" t="inlineStr">
        <is>
          <t>Basket</t>
        </is>
      </c>
      <c r="G734" s="6" t="inlineStr">
        <is>
          <t>ely</t>
        </is>
      </c>
      <c r="H734" s="6" t="inlineStr">
        <is>
          <t>%</t>
        </is>
      </c>
      <c r="P734" s="12">
        <f>DIRECT_EFFECT("ely","Electricity","ely_share","ely_elasticity",0,"Overall","p25")</f>
        <v/>
      </c>
    </row>
    <row r="735">
      <c r="D735" s="6" t="inlineStr">
        <is>
          <t>p25</t>
        </is>
      </c>
      <c r="E735" s="6" t="inlineStr">
        <is>
          <t>Overall</t>
        </is>
      </c>
      <c r="F735" s="6" t="inlineStr">
        <is>
          <t>Deciles</t>
        </is>
      </c>
      <c r="G735" s="6" t="inlineStr">
        <is>
          <t>ely</t>
        </is>
      </c>
      <c r="H735" s="6" t="inlineStr">
        <is>
          <t>%</t>
        </is>
      </c>
      <c r="Q735" s="12">
        <f>DIRECT_EFFECT("ely","Electricity","ely_share","ely_elasticity",DECILE_ARRAY,"Overall","p25")</f>
        <v/>
      </c>
    </row>
    <row r="736">
      <c r="D736" s="6" t="inlineStr">
        <is>
          <t>p25</t>
        </is>
      </c>
      <c r="E736" s="6" t="inlineStr">
        <is>
          <t>Urban</t>
        </is>
      </c>
      <c r="F736" s="6" t="inlineStr">
        <is>
          <t>Basket</t>
        </is>
      </c>
      <c r="G736" s="6" t="inlineStr">
        <is>
          <t>ely</t>
        </is>
      </c>
      <c r="H736" s="6" t="inlineStr">
        <is>
          <t>%</t>
        </is>
      </c>
      <c r="P736" s="12">
        <f>DIRECT_EFFECT("ely","Electricity","ely_share","ely_elasticity",0,"Urban","p25")</f>
        <v/>
      </c>
    </row>
    <row r="737">
      <c r="D737" s="6" t="inlineStr">
        <is>
          <t>p25</t>
        </is>
      </c>
      <c r="E737" s="6" t="inlineStr">
        <is>
          <t>Urban</t>
        </is>
      </c>
      <c r="F737" s="6" t="inlineStr">
        <is>
          <t>Deciles</t>
        </is>
      </c>
      <c r="G737" s="6" t="inlineStr">
        <is>
          <t>ely</t>
        </is>
      </c>
      <c r="H737" s="6" t="inlineStr">
        <is>
          <t>%</t>
        </is>
      </c>
      <c r="Q737" s="12">
        <f>DIRECT_EFFECT("ely","Electricity","ely_share","ely_elasticity",DECILE_ARRAY,"Urban","p25")</f>
        <v/>
      </c>
    </row>
    <row r="738">
      <c r="D738" s="6" t="inlineStr">
        <is>
          <t>p25</t>
        </is>
      </c>
      <c r="E738" s="6" t="inlineStr">
        <is>
          <t>Rural</t>
        </is>
      </c>
      <c r="F738" s="6" t="inlineStr">
        <is>
          <t>Basket</t>
        </is>
      </c>
      <c r="G738" s="6" t="inlineStr">
        <is>
          <t>ely</t>
        </is>
      </c>
      <c r="H738" s="6" t="inlineStr">
        <is>
          <t>%</t>
        </is>
      </c>
      <c r="P738" s="12">
        <f>DIRECT_EFFECT("ely","Electricity","ely_share","ely_elasticity",0,"Rural","p25")</f>
        <v/>
      </c>
    </row>
    <row r="739">
      <c r="D739" s="6" t="inlineStr">
        <is>
          <t>p25</t>
        </is>
      </c>
      <c r="E739" s="6" t="inlineStr">
        <is>
          <t>Rural</t>
        </is>
      </c>
      <c r="F739" s="6" t="inlineStr">
        <is>
          <t>Deciles</t>
        </is>
      </c>
      <c r="G739" s="6" t="inlineStr">
        <is>
          <t>ely</t>
        </is>
      </c>
      <c r="H739" s="6" t="inlineStr">
        <is>
          <t>%</t>
        </is>
      </c>
      <c r="Q739" s="12">
        <f>DIRECT_EFFECT("ely","Electricity","ely_share","ely_elasticity",DECILE_ARRAY,"Rural","p25")</f>
        <v/>
      </c>
    </row>
    <row r="740">
      <c r="D740" s="6" t="inlineStr">
        <is>
          <t>p75</t>
        </is>
      </c>
      <c r="E740" s="6" t="inlineStr">
        <is>
          <t>Overall</t>
        </is>
      </c>
      <c r="F740" s="6" t="inlineStr">
        <is>
          <t>Basket</t>
        </is>
      </c>
      <c r="G740" s="6" t="inlineStr">
        <is>
          <t>ely</t>
        </is>
      </c>
      <c r="H740" s="6" t="inlineStr">
        <is>
          <t>%</t>
        </is>
      </c>
      <c r="P740" s="12">
        <f>DIRECT_EFFECT("ely","Electricity","ely_share","ely_elasticity",0,"Overall","p75")</f>
        <v/>
      </c>
    </row>
    <row r="741">
      <c r="D741" s="6" t="inlineStr">
        <is>
          <t>p75</t>
        </is>
      </c>
      <c r="E741" s="6" t="inlineStr">
        <is>
          <t>Overall</t>
        </is>
      </c>
      <c r="F741" s="6" t="inlineStr">
        <is>
          <t>Deciles</t>
        </is>
      </c>
      <c r="G741" s="6" t="inlineStr">
        <is>
          <t>ely</t>
        </is>
      </c>
      <c r="H741" s="6" t="inlineStr">
        <is>
          <t>%</t>
        </is>
      </c>
      <c r="Q741" s="12">
        <f>DIRECT_EFFECT("ely","Electricity","ely_share","ely_elasticity",DECILE_ARRAY,"Overall","p75")</f>
        <v/>
      </c>
    </row>
    <row r="742">
      <c r="D742" s="6" t="inlineStr">
        <is>
          <t>p75</t>
        </is>
      </c>
      <c r="E742" s="6" t="inlineStr">
        <is>
          <t>Urban</t>
        </is>
      </c>
      <c r="F742" s="6" t="inlineStr">
        <is>
          <t>Basket</t>
        </is>
      </c>
      <c r="G742" s="6" t="inlineStr">
        <is>
          <t>ely</t>
        </is>
      </c>
      <c r="H742" s="6" t="inlineStr">
        <is>
          <t>%</t>
        </is>
      </c>
      <c r="P742" s="12">
        <f>DIRECT_EFFECT("ely","Electricity","ely_share","ely_elasticity",0,"Urban","p75")</f>
        <v/>
      </c>
    </row>
    <row r="743">
      <c r="D743" s="6" t="inlineStr">
        <is>
          <t>p75</t>
        </is>
      </c>
      <c r="E743" s="6" t="inlineStr">
        <is>
          <t>Urban</t>
        </is>
      </c>
      <c r="F743" s="6" t="inlineStr">
        <is>
          <t>Deciles</t>
        </is>
      </c>
      <c r="G743" s="6" t="inlineStr">
        <is>
          <t>ely</t>
        </is>
      </c>
      <c r="H743" s="6" t="inlineStr">
        <is>
          <t>%</t>
        </is>
      </c>
      <c r="Q743" s="12">
        <f>DIRECT_EFFECT("ely","Electricity","ely_share","ely_elasticity",DECILE_ARRAY,"Urban","p75")</f>
        <v/>
      </c>
    </row>
    <row r="744">
      <c r="D744" s="6" t="inlineStr">
        <is>
          <t>p75</t>
        </is>
      </c>
      <c r="E744" s="6" t="inlineStr">
        <is>
          <t>Rural</t>
        </is>
      </c>
      <c r="F744" s="6" t="inlineStr">
        <is>
          <t>Basket</t>
        </is>
      </c>
      <c r="G744" s="6" t="inlineStr">
        <is>
          <t>ely</t>
        </is>
      </c>
      <c r="H744" s="6" t="inlineStr">
        <is>
          <t>%</t>
        </is>
      </c>
      <c r="P744" s="12">
        <f>DIRECT_EFFECT("ely","Electricity","ely_share","ely_elasticity",0,"Rural","p75")</f>
        <v/>
      </c>
    </row>
    <row r="745">
      <c r="D745" s="6" t="inlineStr">
        <is>
          <t>p75</t>
        </is>
      </c>
      <c r="E745" s="6" t="inlineStr">
        <is>
          <t>Rural</t>
        </is>
      </c>
      <c r="F745" s="6" t="inlineStr">
        <is>
          <t>Deciles</t>
        </is>
      </c>
      <c r="G745" s="6" t="inlineStr">
        <is>
          <t>ely</t>
        </is>
      </c>
      <c r="H745" s="6" t="inlineStr">
        <is>
          <t>%</t>
        </is>
      </c>
      <c r="Q745" s="12">
        <f>DIRECT_EFFECT("ely","Electricity","ely_share","ely_elasticity",DECILE_ARRAY,"Rural","p75")</f>
        <v/>
      </c>
    </row>
    <row r="746"/>
    <row r="747">
      <c r="C747" s="7" t="inlineStr">
        <is>
          <t>Direct Effect - Natural Gas (% Total Consumption)</t>
        </is>
      </c>
      <c r="G747" s="6" t="inlineStr">
        <is>
          <t>nga</t>
        </is>
      </c>
      <c r="O747" s="8" t="inlineStr">
        <is>
          <t>Decile --&gt;</t>
        </is>
      </c>
      <c r="Q747" s="8" t="n">
        <v>1</v>
      </c>
      <c r="R747" s="8" t="n">
        <v>2</v>
      </c>
      <c r="S747" s="8" t="n">
        <v>3</v>
      </c>
      <c r="T747" s="8" t="n">
        <v>4</v>
      </c>
      <c r="U747" s="8" t="n">
        <v>5</v>
      </c>
      <c r="V747" s="8" t="n">
        <v>6</v>
      </c>
      <c r="W747" s="8" t="n">
        <v>7</v>
      </c>
      <c r="X747" s="8" t="n">
        <v>8</v>
      </c>
      <c r="Y747" s="8" t="n">
        <v>9</v>
      </c>
      <c r="Z747" s="8" t="n">
        <v>10</v>
      </c>
    </row>
    <row r="748">
      <c r="D748" s="6" t="inlineStr">
        <is>
          <t>mean</t>
        </is>
      </c>
      <c r="E748" s="6" t="inlineStr">
        <is>
          <t>Overall</t>
        </is>
      </c>
      <c r="F748" s="6" t="inlineStr">
        <is>
          <t>Basket</t>
        </is>
      </c>
      <c r="G748" s="6" t="inlineStr">
        <is>
          <t>nga</t>
        </is>
      </c>
      <c r="H748" s="6" t="inlineStr">
        <is>
          <t>%</t>
        </is>
      </c>
      <c r="P748" s="12">
        <f>DIRECT_EFFECT("nga","Natural Gas","nga_share","nga_elasticity",0,"Overall","mean")</f>
        <v/>
      </c>
    </row>
    <row r="749">
      <c r="D749" s="6" t="inlineStr">
        <is>
          <t>mean</t>
        </is>
      </c>
      <c r="E749" s="6" t="inlineStr">
        <is>
          <t>Overall</t>
        </is>
      </c>
      <c r="F749" s="6" t="inlineStr">
        <is>
          <t>Deciles</t>
        </is>
      </c>
      <c r="G749" s="6" t="inlineStr">
        <is>
          <t>nga</t>
        </is>
      </c>
      <c r="H749" s="6" t="inlineStr">
        <is>
          <t>%</t>
        </is>
      </c>
      <c r="Q749" s="12">
        <f>DIRECT_EFFECT("nga","Natural Gas","nga_share","nga_elasticity",DECILE_ARRAY,"Overall","mean")</f>
        <v/>
      </c>
    </row>
    <row r="750">
      <c r="D750" s="6" t="inlineStr">
        <is>
          <t>mean</t>
        </is>
      </c>
      <c r="E750" s="6" t="inlineStr">
        <is>
          <t>Urban</t>
        </is>
      </c>
      <c r="F750" s="6" t="inlineStr">
        <is>
          <t>Basket</t>
        </is>
      </c>
      <c r="G750" s="6" t="inlineStr">
        <is>
          <t>nga</t>
        </is>
      </c>
      <c r="H750" s="6" t="inlineStr">
        <is>
          <t>%</t>
        </is>
      </c>
      <c r="P750" s="12">
        <f>DIRECT_EFFECT("nga","Natural Gas","nga_share","nga_elasticity",0,"Urban","mean")</f>
        <v/>
      </c>
    </row>
    <row r="751">
      <c r="D751" s="6" t="inlineStr">
        <is>
          <t>mean</t>
        </is>
      </c>
      <c r="E751" s="6" t="inlineStr">
        <is>
          <t>Urban</t>
        </is>
      </c>
      <c r="F751" s="6" t="inlineStr">
        <is>
          <t>Deciles</t>
        </is>
      </c>
      <c r="G751" s="6" t="inlineStr">
        <is>
          <t>nga</t>
        </is>
      </c>
      <c r="H751" s="6" t="inlineStr">
        <is>
          <t>%</t>
        </is>
      </c>
      <c r="Q751" s="12">
        <f>DIRECT_EFFECT("nga","Natural Gas","nga_share","nga_elasticity",DECILE_ARRAY,"Urban","mean")</f>
        <v/>
      </c>
    </row>
    <row r="752">
      <c r="D752" s="6" t="inlineStr">
        <is>
          <t>mean</t>
        </is>
      </c>
      <c r="E752" s="6" t="inlineStr">
        <is>
          <t>Rural</t>
        </is>
      </c>
      <c r="F752" s="6" t="inlineStr">
        <is>
          <t>Basket</t>
        </is>
      </c>
      <c r="G752" s="6" t="inlineStr">
        <is>
          <t>nga</t>
        </is>
      </c>
      <c r="H752" s="6" t="inlineStr">
        <is>
          <t>%</t>
        </is>
      </c>
      <c r="P752" s="12">
        <f>DIRECT_EFFECT("nga","Natural Gas","nga_share","nga_elasticity",0,"Rural","mean")</f>
        <v/>
      </c>
    </row>
    <row r="753">
      <c r="D753" s="6" t="inlineStr">
        <is>
          <t>mean</t>
        </is>
      </c>
      <c r="E753" s="6" t="inlineStr">
        <is>
          <t>Rural</t>
        </is>
      </c>
      <c r="F753" s="6" t="inlineStr">
        <is>
          <t>Deciles</t>
        </is>
      </c>
      <c r="G753" s="6" t="inlineStr">
        <is>
          <t>nga</t>
        </is>
      </c>
      <c r="H753" s="6" t="inlineStr">
        <is>
          <t>%</t>
        </is>
      </c>
      <c r="Q753" s="12">
        <f>DIRECT_EFFECT("nga","Natural Gas","nga_share","nga_elasticity",DECILE_ARRAY,"Rural","mean")</f>
        <v/>
      </c>
    </row>
    <row r="754">
      <c r="D754" s="6" t="inlineStr">
        <is>
          <t>median</t>
        </is>
      </c>
      <c r="E754" s="6" t="inlineStr">
        <is>
          <t>Overall</t>
        </is>
      </c>
      <c r="F754" s="6" t="inlineStr">
        <is>
          <t>Basket</t>
        </is>
      </c>
      <c r="G754" s="6" t="inlineStr">
        <is>
          <t>nga</t>
        </is>
      </c>
      <c r="H754" s="6" t="inlineStr">
        <is>
          <t>%</t>
        </is>
      </c>
      <c r="P754" s="12">
        <f>DIRECT_EFFECT("nga","Natural Gas","nga_share","nga_elasticity",0,"Overall","median")</f>
        <v/>
      </c>
    </row>
    <row r="755">
      <c r="D755" s="6" t="inlineStr">
        <is>
          <t>median</t>
        </is>
      </c>
      <c r="E755" s="6" t="inlineStr">
        <is>
          <t>Overall</t>
        </is>
      </c>
      <c r="F755" s="6" t="inlineStr">
        <is>
          <t>Deciles</t>
        </is>
      </c>
      <c r="G755" s="6" t="inlineStr">
        <is>
          <t>nga</t>
        </is>
      </c>
      <c r="H755" s="6" t="inlineStr">
        <is>
          <t>%</t>
        </is>
      </c>
      <c r="Q755" s="12">
        <f>DIRECT_EFFECT("nga","Natural Gas","nga_share","nga_elasticity",DECILE_ARRAY,"Overall","median")</f>
        <v/>
      </c>
    </row>
    <row r="756">
      <c r="D756" s="6" t="inlineStr">
        <is>
          <t>median</t>
        </is>
      </c>
      <c r="E756" s="6" t="inlineStr">
        <is>
          <t>Urban</t>
        </is>
      </c>
      <c r="F756" s="6" t="inlineStr">
        <is>
          <t>Basket</t>
        </is>
      </c>
      <c r="G756" s="6" t="inlineStr">
        <is>
          <t>nga</t>
        </is>
      </c>
      <c r="H756" s="6" t="inlineStr">
        <is>
          <t>%</t>
        </is>
      </c>
      <c r="P756" s="12">
        <f>DIRECT_EFFECT("nga","Natural Gas","nga_share","nga_elasticity",0,"Urban","median")</f>
        <v/>
      </c>
    </row>
    <row r="757">
      <c r="D757" s="6" t="inlineStr">
        <is>
          <t>median</t>
        </is>
      </c>
      <c r="E757" s="6" t="inlineStr">
        <is>
          <t>Urban</t>
        </is>
      </c>
      <c r="F757" s="6" t="inlineStr">
        <is>
          <t>Deciles</t>
        </is>
      </c>
      <c r="G757" s="6" t="inlineStr">
        <is>
          <t>nga</t>
        </is>
      </c>
      <c r="H757" s="6" t="inlineStr">
        <is>
          <t>%</t>
        </is>
      </c>
      <c r="Q757" s="12">
        <f>DIRECT_EFFECT("nga","Natural Gas","nga_share","nga_elasticity",DECILE_ARRAY,"Urban","median")</f>
        <v/>
      </c>
    </row>
    <row r="758">
      <c r="D758" s="6" t="inlineStr">
        <is>
          <t>median</t>
        </is>
      </c>
      <c r="E758" s="6" t="inlineStr">
        <is>
          <t>Rural</t>
        </is>
      </c>
      <c r="F758" s="6" t="inlineStr">
        <is>
          <t>Basket</t>
        </is>
      </c>
      <c r="G758" s="6" t="inlineStr">
        <is>
          <t>nga</t>
        </is>
      </c>
      <c r="H758" s="6" t="inlineStr">
        <is>
          <t>%</t>
        </is>
      </c>
      <c r="P758" s="12">
        <f>DIRECT_EFFECT("nga","Natural Gas","nga_share","nga_elasticity",0,"Rural","median")</f>
        <v/>
      </c>
    </row>
    <row r="759">
      <c r="D759" s="6" t="inlineStr">
        <is>
          <t>median</t>
        </is>
      </c>
      <c r="E759" s="6" t="inlineStr">
        <is>
          <t>Rural</t>
        </is>
      </c>
      <c r="F759" s="6" t="inlineStr">
        <is>
          <t>Deciles</t>
        </is>
      </c>
      <c r="G759" s="6" t="inlineStr">
        <is>
          <t>nga</t>
        </is>
      </c>
      <c r="H759" s="6" t="inlineStr">
        <is>
          <t>%</t>
        </is>
      </c>
      <c r="Q759" s="12">
        <f>DIRECT_EFFECT("nga","Natural Gas","nga_share","nga_elasticity",DECILE_ARRAY,"Rural","median")</f>
        <v/>
      </c>
    </row>
    <row r="760">
      <c r="D760" s="6" t="inlineStr">
        <is>
          <t>p25</t>
        </is>
      </c>
      <c r="E760" s="6" t="inlineStr">
        <is>
          <t>Overall</t>
        </is>
      </c>
      <c r="F760" s="6" t="inlineStr">
        <is>
          <t>Basket</t>
        </is>
      </c>
      <c r="G760" s="6" t="inlineStr">
        <is>
          <t>nga</t>
        </is>
      </c>
      <c r="H760" s="6" t="inlineStr">
        <is>
          <t>%</t>
        </is>
      </c>
      <c r="P760" s="12">
        <f>DIRECT_EFFECT("nga","Natural Gas","nga_share","nga_elasticity",0,"Overall","p25")</f>
        <v/>
      </c>
    </row>
    <row r="761">
      <c r="D761" s="6" t="inlineStr">
        <is>
          <t>p25</t>
        </is>
      </c>
      <c r="E761" s="6" t="inlineStr">
        <is>
          <t>Overall</t>
        </is>
      </c>
      <c r="F761" s="6" t="inlineStr">
        <is>
          <t>Deciles</t>
        </is>
      </c>
      <c r="G761" s="6" t="inlineStr">
        <is>
          <t>nga</t>
        </is>
      </c>
      <c r="H761" s="6" t="inlineStr">
        <is>
          <t>%</t>
        </is>
      </c>
      <c r="Q761" s="12">
        <f>DIRECT_EFFECT("nga","Natural Gas","nga_share","nga_elasticity",DECILE_ARRAY,"Overall","p25")</f>
        <v/>
      </c>
    </row>
    <row r="762">
      <c r="D762" s="6" t="inlineStr">
        <is>
          <t>p25</t>
        </is>
      </c>
      <c r="E762" s="6" t="inlineStr">
        <is>
          <t>Urban</t>
        </is>
      </c>
      <c r="F762" s="6" t="inlineStr">
        <is>
          <t>Basket</t>
        </is>
      </c>
      <c r="G762" s="6" t="inlineStr">
        <is>
          <t>nga</t>
        </is>
      </c>
      <c r="H762" s="6" t="inlineStr">
        <is>
          <t>%</t>
        </is>
      </c>
      <c r="P762" s="12">
        <f>DIRECT_EFFECT("nga","Natural Gas","nga_share","nga_elasticity",0,"Urban","p25")</f>
        <v/>
      </c>
    </row>
    <row r="763">
      <c r="D763" s="6" t="inlineStr">
        <is>
          <t>p25</t>
        </is>
      </c>
      <c r="E763" s="6" t="inlineStr">
        <is>
          <t>Urban</t>
        </is>
      </c>
      <c r="F763" s="6" t="inlineStr">
        <is>
          <t>Deciles</t>
        </is>
      </c>
      <c r="G763" s="6" t="inlineStr">
        <is>
          <t>nga</t>
        </is>
      </c>
      <c r="H763" s="6" t="inlineStr">
        <is>
          <t>%</t>
        </is>
      </c>
      <c r="Q763" s="12">
        <f>DIRECT_EFFECT("nga","Natural Gas","nga_share","nga_elasticity",DECILE_ARRAY,"Urban","p25")</f>
        <v/>
      </c>
    </row>
    <row r="764">
      <c r="D764" s="6" t="inlineStr">
        <is>
          <t>p25</t>
        </is>
      </c>
      <c r="E764" s="6" t="inlineStr">
        <is>
          <t>Rural</t>
        </is>
      </c>
      <c r="F764" s="6" t="inlineStr">
        <is>
          <t>Basket</t>
        </is>
      </c>
      <c r="G764" s="6" t="inlineStr">
        <is>
          <t>nga</t>
        </is>
      </c>
      <c r="H764" s="6" t="inlineStr">
        <is>
          <t>%</t>
        </is>
      </c>
      <c r="P764" s="12">
        <f>DIRECT_EFFECT("nga","Natural Gas","nga_share","nga_elasticity",0,"Rural","p25")</f>
        <v/>
      </c>
    </row>
    <row r="765">
      <c r="D765" s="6" t="inlineStr">
        <is>
          <t>p25</t>
        </is>
      </c>
      <c r="E765" s="6" t="inlineStr">
        <is>
          <t>Rural</t>
        </is>
      </c>
      <c r="F765" s="6" t="inlineStr">
        <is>
          <t>Deciles</t>
        </is>
      </c>
      <c r="G765" s="6" t="inlineStr">
        <is>
          <t>nga</t>
        </is>
      </c>
      <c r="H765" s="6" t="inlineStr">
        <is>
          <t>%</t>
        </is>
      </c>
      <c r="Q765" s="12">
        <f>DIRECT_EFFECT("nga","Natural Gas","nga_share","nga_elasticity",DECILE_ARRAY,"Rural","p25")</f>
        <v/>
      </c>
    </row>
    <row r="766">
      <c r="D766" s="6" t="inlineStr">
        <is>
          <t>p75</t>
        </is>
      </c>
      <c r="E766" s="6" t="inlineStr">
        <is>
          <t>Overall</t>
        </is>
      </c>
      <c r="F766" s="6" t="inlineStr">
        <is>
          <t>Basket</t>
        </is>
      </c>
      <c r="G766" s="6" t="inlineStr">
        <is>
          <t>nga</t>
        </is>
      </c>
      <c r="H766" s="6" t="inlineStr">
        <is>
          <t>%</t>
        </is>
      </c>
      <c r="P766" s="12">
        <f>DIRECT_EFFECT("nga","Natural Gas","nga_share","nga_elasticity",0,"Overall","p75")</f>
        <v/>
      </c>
    </row>
    <row r="767">
      <c r="D767" s="6" t="inlineStr">
        <is>
          <t>p75</t>
        </is>
      </c>
      <c r="E767" s="6" t="inlineStr">
        <is>
          <t>Overall</t>
        </is>
      </c>
      <c r="F767" s="6" t="inlineStr">
        <is>
          <t>Deciles</t>
        </is>
      </c>
      <c r="G767" s="6" t="inlineStr">
        <is>
          <t>nga</t>
        </is>
      </c>
      <c r="H767" s="6" t="inlineStr">
        <is>
          <t>%</t>
        </is>
      </c>
      <c r="Q767" s="12">
        <f>DIRECT_EFFECT("nga","Natural Gas","nga_share","nga_elasticity",DECILE_ARRAY,"Overall","p75")</f>
        <v/>
      </c>
    </row>
    <row r="768">
      <c r="D768" s="6" t="inlineStr">
        <is>
          <t>p75</t>
        </is>
      </c>
      <c r="E768" s="6" t="inlineStr">
        <is>
          <t>Urban</t>
        </is>
      </c>
      <c r="F768" s="6" t="inlineStr">
        <is>
          <t>Basket</t>
        </is>
      </c>
      <c r="G768" s="6" t="inlineStr">
        <is>
          <t>nga</t>
        </is>
      </c>
      <c r="H768" s="6" t="inlineStr">
        <is>
          <t>%</t>
        </is>
      </c>
      <c r="P768" s="12">
        <f>DIRECT_EFFECT("nga","Natural Gas","nga_share","nga_elasticity",0,"Urban","p75")</f>
        <v/>
      </c>
    </row>
    <row r="769">
      <c r="D769" s="6" t="inlineStr">
        <is>
          <t>p75</t>
        </is>
      </c>
      <c r="E769" s="6" t="inlineStr">
        <is>
          <t>Urban</t>
        </is>
      </c>
      <c r="F769" s="6" t="inlineStr">
        <is>
          <t>Deciles</t>
        </is>
      </c>
      <c r="G769" s="6" t="inlineStr">
        <is>
          <t>nga</t>
        </is>
      </c>
      <c r="H769" s="6" t="inlineStr">
        <is>
          <t>%</t>
        </is>
      </c>
      <c r="Q769" s="12">
        <f>DIRECT_EFFECT("nga","Natural Gas","nga_share","nga_elasticity",DECILE_ARRAY,"Urban","p75")</f>
        <v/>
      </c>
    </row>
    <row r="770">
      <c r="D770" s="6" t="inlineStr">
        <is>
          <t>p75</t>
        </is>
      </c>
      <c r="E770" s="6" t="inlineStr">
        <is>
          <t>Rural</t>
        </is>
      </c>
      <c r="F770" s="6" t="inlineStr">
        <is>
          <t>Basket</t>
        </is>
      </c>
      <c r="G770" s="6" t="inlineStr">
        <is>
          <t>nga</t>
        </is>
      </c>
      <c r="H770" s="6" t="inlineStr">
        <is>
          <t>%</t>
        </is>
      </c>
      <c r="P770" s="12">
        <f>DIRECT_EFFECT("nga","Natural Gas","nga_share","nga_elasticity",0,"Rural","p75")</f>
        <v/>
      </c>
    </row>
    <row r="771">
      <c r="D771" s="6" t="inlineStr">
        <is>
          <t>p75</t>
        </is>
      </c>
      <c r="E771" s="6" t="inlineStr">
        <is>
          <t>Rural</t>
        </is>
      </c>
      <c r="F771" s="6" t="inlineStr">
        <is>
          <t>Deciles</t>
        </is>
      </c>
      <c r="G771" s="6" t="inlineStr">
        <is>
          <t>nga</t>
        </is>
      </c>
      <c r="H771" s="6" t="inlineStr">
        <is>
          <t>%</t>
        </is>
      </c>
      <c r="Q771" s="12">
        <f>DIRECT_EFFECT("nga","Natural Gas","nga_share","nga_elasticity",DECILE_ARRAY,"Rural","p75")</f>
        <v/>
      </c>
    </row>
    <row r="772"/>
    <row r="773">
      <c r="C773" s="7" t="inlineStr">
        <is>
          <t>Direct Effect - Non-Road Oil (% Total Consumption)</t>
        </is>
      </c>
      <c r="G773" s="6" t="inlineStr">
        <is>
          <t>oil</t>
        </is>
      </c>
      <c r="O773" s="8" t="inlineStr">
        <is>
          <t>Decile --&gt;</t>
        </is>
      </c>
      <c r="Q773" s="8" t="n">
        <v>1</v>
      </c>
      <c r="R773" s="8" t="n">
        <v>2</v>
      </c>
      <c r="S773" s="8" t="n">
        <v>3</v>
      </c>
      <c r="T773" s="8" t="n">
        <v>4</v>
      </c>
      <c r="U773" s="8" t="n">
        <v>5</v>
      </c>
      <c r="V773" s="8" t="n">
        <v>6</v>
      </c>
      <c r="W773" s="8" t="n">
        <v>7</v>
      </c>
      <c r="X773" s="8" t="n">
        <v>8</v>
      </c>
      <c r="Y773" s="8" t="n">
        <v>9</v>
      </c>
      <c r="Z773" s="8" t="n">
        <v>10</v>
      </c>
    </row>
    <row r="774">
      <c r="D774" s="6" t="inlineStr">
        <is>
          <t>mean</t>
        </is>
      </c>
      <c r="E774" s="6" t="inlineStr">
        <is>
          <t>Overall</t>
        </is>
      </c>
      <c r="F774" s="6" t="inlineStr">
        <is>
          <t>Basket</t>
        </is>
      </c>
      <c r="G774" s="6" t="inlineStr">
        <is>
          <t>oil</t>
        </is>
      </c>
      <c r="H774" s="6" t="inlineStr">
        <is>
          <t>%</t>
        </is>
      </c>
      <c r="P774" s="12">
        <f>DIRECT_EFFECT("oil","Non-Road Oil","oil_share","oil_elasticity",0,"Overall","mean")</f>
        <v/>
      </c>
    </row>
    <row r="775">
      <c r="D775" s="6" t="inlineStr">
        <is>
          <t>mean</t>
        </is>
      </c>
      <c r="E775" s="6" t="inlineStr">
        <is>
          <t>Overall</t>
        </is>
      </c>
      <c r="F775" s="6" t="inlineStr">
        <is>
          <t>Deciles</t>
        </is>
      </c>
      <c r="G775" s="6" t="inlineStr">
        <is>
          <t>oil</t>
        </is>
      </c>
      <c r="H775" s="6" t="inlineStr">
        <is>
          <t>%</t>
        </is>
      </c>
      <c r="Q775" s="12">
        <f>DIRECT_EFFECT("oil","Non-Road Oil","oil_share","oil_elasticity",DECILE_ARRAY,"Overall","mean")</f>
        <v/>
      </c>
    </row>
    <row r="776">
      <c r="D776" s="6" t="inlineStr">
        <is>
          <t>mean</t>
        </is>
      </c>
      <c r="E776" s="6" t="inlineStr">
        <is>
          <t>Urban</t>
        </is>
      </c>
      <c r="F776" s="6" t="inlineStr">
        <is>
          <t>Basket</t>
        </is>
      </c>
      <c r="G776" s="6" t="inlineStr">
        <is>
          <t>oil</t>
        </is>
      </c>
      <c r="H776" s="6" t="inlineStr">
        <is>
          <t>%</t>
        </is>
      </c>
      <c r="P776" s="12">
        <f>DIRECT_EFFECT("oil","Non-Road Oil","oil_share","oil_elasticity",0,"Urban","mean")</f>
        <v/>
      </c>
    </row>
    <row r="777">
      <c r="D777" s="6" t="inlineStr">
        <is>
          <t>mean</t>
        </is>
      </c>
      <c r="E777" s="6" t="inlineStr">
        <is>
          <t>Urban</t>
        </is>
      </c>
      <c r="F777" s="6" t="inlineStr">
        <is>
          <t>Deciles</t>
        </is>
      </c>
      <c r="G777" s="6" t="inlineStr">
        <is>
          <t>oil</t>
        </is>
      </c>
      <c r="H777" s="6" t="inlineStr">
        <is>
          <t>%</t>
        </is>
      </c>
      <c r="Q777" s="12">
        <f>DIRECT_EFFECT("oil","Non-Road Oil","oil_share","oil_elasticity",DECILE_ARRAY,"Urban","mean")</f>
        <v/>
      </c>
    </row>
    <row r="778">
      <c r="D778" s="6" t="inlineStr">
        <is>
          <t>mean</t>
        </is>
      </c>
      <c r="E778" s="6" t="inlineStr">
        <is>
          <t>Rural</t>
        </is>
      </c>
      <c r="F778" s="6" t="inlineStr">
        <is>
          <t>Basket</t>
        </is>
      </c>
      <c r="G778" s="6" t="inlineStr">
        <is>
          <t>oil</t>
        </is>
      </c>
      <c r="H778" s="6" t="inlineStr">
        <is>
          <t>%</t>
        </is>
      </c>
      <c r="P778" s="12">
        <f>DIRECT_EFFECT("oil","Non-Road Oil","oil_share","oil_elasticity",0,"Rural","mean")</f>
        <v/>
      </c>
    </row>
    <row r="779">
      <c r="D779" s="6" t="inlineStr">
        <is>
          <t>mean</t>
        </is>
      </c>
      <c r="E779" s="6" t="inlineStr">
        <is>
          <t>Rural</t>
        </is>
      </c>
      <c r="F779" s="6" t="inlineStr">
        <is>
          <t>Deciles</t>
        </is>
      </c>
      <c r="G779" s="6" t="inlineStr">
        <is>
          <t>oil</t>
        </is>
      </c>
      <c r="H779" s="6" t="inlineStr">
        <is>
          <t>%</t>
        </is>
      </c>
      <c r="Q779" s="12">
        <f>DIRECT_EFFECT("oil","Non-Road Oil","oil_share","oil_elasticity",DECILE_ARRAY,"Rural","mean")</f>
        <v/>
      </c>
    </row>
    <row r="780">
      <c r="D780" s="6" t="inlineStr">
        <is>
          <t>median</t>
        </is>
      </c>
      <c r="E780" s="6" t="inlineStr">
        <is>
          <t>Overall</t>
        </is>
      </c>
      <c r="F780" s="6" t="inlineStr">
        <is>
          <t>Basket</t>
        </is>
      </c>
      <c r="G780" s="6" t="inlineStr">
        <is>
          <t>oil</t>
        </is>
      </c>
      <c r="H780" s="6" t="inlineStr">
        <is>
          <t>%</t>
        </is>
      </c>
      <c r="P780" s="12">
        <f>DIRECT_EFFECT("oil","Non-Road Oil","oil_share","oil_elasticity",0,"Overall","median")</f>
        <v/>
      </c>
    </row>
    <row r="781">
      <c r="D781" s="6" t="inlineStr">
        <is>
          <t>median</t>
        </is>
      </c>
      <c r="E781" s="6" t="inlineStr">
        <is>
          <t>Overall</t>
        </is>
      </c>
      <c r="F781" s="6" t="inlineStr">
        <is>
          <t>Deciles</t>
        </is>
      </c>
      <c r="G781" s="6" t="inlineStr">
        <is>
          <t>oil</t>
        </is>
      </c>
      <c r="H781" s="6" t="inlineStr">
        <is>
          <t>%</t>
        </is>
      </c>
      <c r="Q781" s="12">
        <f>DIRECT_EFFECT("oil","Non-Road Oil","oil_share","oil_elasticity",DECILE_ARRAY,"Overall","median")</f>
        <v/>
      </c>
    </row>
    <row r="782">
      <c r="D782" s="6" t="inlineStr">
        <is>
          <t>median</t>
        </is>
      </c>
      <c r="E782" s="6" t="inlineStr">
        <is>
          <t>Urban</t>
        </is>
      </c>
      <c r="F782" s="6" t="inlineStr">
        <is>
          <t>Basket</t>
        </is>
      </c>
      <c r="G782" s="6" t="inlineStr">
        <is>
          <t>oil</t>
        </is>
      </c>
      <c r="H782" s="6" t="inlineStr">
        <is>
          <t>%</t>
        </is>
      </c>
      <c r="P782" s="12">
        <f>DIRECT_EFFECT("oil","Non-Road Oil","oil_share","oil_elasticity",0,"Urban","median")</f>
        <v/>
      </c>
    </row>
    <row r="783">
      <c r="D783" s="6" t="inlineStr">
        <is>
          <t>median</t>
        </is>
      </c>
      <c r="E783" s="6" t="inlineStr">
        <is>
          <t>Urban</t>
        </is>
      </c>
      <c r="F783" s="6" t="inlineStr">
        <is>
          <t>Deciles</t>
        </is>
      </c>
      <c r="G783" s="6" t="inlineStr">
        <is>
          <t>oil</t>
        </is>
      </c>
      <c r="H783" s="6" t="inlineStr">
        <is>
          <t>%</t>
        </is>
      </c>
      <c r="Q783" s="12">
        <f>DIRECT_EFFECT("oil","Non-Road Oil","oil_share","oil_elasticity",DECILE_ARRAY,"Urban","median")</f>
        <v/>
      </c>
    </row>
    <row r="784">
      <c r="D784" s="6" t="inlineStr">
        <is>
          <t>median</t>
        </is>
      </c>
      <c r="E784" s="6" t="inlineStr">
        <is>
          <t>Rural</t>
        </is>
      </c>
      <c r="F784" s="6" t="inlineStr">
        <is>
          <t>Basket</t>
        </is>
      </c>
      <c r="G784" s="6" t="inlineStr">
        <is>
          <t>oil</t>
        </is>
      </c>
      <c r="H784" s="6" t="inlineStr">
        <is>
          <t>%</t>
        </is>
      </c>
      <c r="P784" s="12">
        <f>DIRECT_EFFECT("oil","Non-Road Oil","oil_share","oil_elasticity",0,"Rural","median")</f>
        <v/>
      </c>
    </row>
    <row r="785">
      <c r="D785" s="6" t="inlineStr">
        <is>
          <t>median</t>
        </is>
      </c>
      <c r="E785" s="6" t="inlineStr">
        <is>
          <t>Rural</t>
        </is>
      </c>
      <c r="F785" s="6" t="inlineStr">
        <is>
          <t>Deciles</t>
        </is>
      </c>
      <c r="G785" s="6" t="inlineStr">
        <is>
          <t>oil</t>
        </is>
      </c>
      <c r="H785" s="6" t="inlineStr">
        <is>
          <t>%</t>
        </is>
      </c>
      <c r="Q785" s="12">
        <f>DIRECT_EFFECT("oil","Non-Road Oil","oil_share","oil_elasticity",DECILE_ARRAY,"Rural","median")</f>
        <v/>
      </c>
    </row>
    <row r="786">
      <c r="D786" s="6" t="inlineStr">
        <is>
          <t>p25</t>
        </is>
      </c>
      <c r="E786" s="6" t="inlineStr">
        <is>
          <t>Overall</t>
        </is>
      </c>
      <c r="F786" s="6" t="inlineStr">
        <is>
          <t>Basket</t>
        </is>
      </c>
      <c r="G786" s="6" t="inlineStr">
        <is>
          <t>oil</t>
        </is>
      </c>
      <c r="H786" s="6" t="inlineStr">
        <is>
          <t>%</t>
        </is>
      </c>
      <c r="P786" s="12">
        <f>DIRECT_EFFECT("oil","Non-Road Oil","oil_share","oil_elasticity",0,"Overall","p25")</f>
        <v/>
      </c>
    </row>
    <row r="787">
      <c r="D787" s="6" t="inlineStr">
        <is>
          <t>p25</t>
        </is>
      </c>
      <c r="E787" s="6" t="inlineStr">
        <is>
          <t>Overall</t>
        </is>
      </c>
      <c r="F787" s="6" t="inlineStr">
        <is>
          <t>Deciles</t>
        </is>
      </c>
      <c r="G787" s="6" t="inlineStr">
        <is>
          <t>oil</t>
        </is>
      </c>
      <c r="H787" s="6" t="inlineStr">
        <is>
          <t>%</t>
        </is>
      </c>
      <c r="Q787" s="12">
        <f>DIRECT_EFFECT("oil","Non-Road Oil","oil_share","oil_elasticity",DECILE_ARRAY,"Overall","p25")</f>
        <v/>
      </c>
    </row>
    <row r="788">
      <c r="D788" s="6" t="inlineStr">
        <is>
          <t>p25</t>
        </is>
      </c>
      <c r="E788" s="6" t="inlineStr">
        <is>
          <t>Urban</t>
        </is>
      </c>
      <c r="F788" s="6" t="inlineStr">
        <is>
          <t>Basket</t>
        </is>
      </c>
      <c r="G788" s="6" t="inlineStr">
        <is>
          <t>oil</t>
        </is>
      </c>
      <c r="H788" s="6" t="inlineStr">
        <is>
          <t>%</t>
        </is>
      </c>
      <c r="P788" s="12">
        <f>DIRECT_EFFECT("oil","Non-Road Oil","oil_share","oil_elasticity",0,"Urban","p25")</f>
        <v/>
      </c>
    </row>
    <row r="789">
      <c r="D789" s="6" t="inlineStr">
        <is>
          <t>p25</t>
        </is>
      </c>
      <c r="E789" s="6" t="inlineStr">
        <is>
          <t>Urban</t>
        </is>
      </c>
      <c r="F789" s="6" t="inlineStr">
        <is>
          <t>Deciles</t>
        </is>
      </c>
      <c r="G789" s="6" t="inlineStr">
        <is>
          <t>oil</t>
        </is>
      </c>
      <c r="H789" s="6" t="inlineStr">
        <is>
          <t>%</t>
        </is>
      </c>
      <c r="Q789" s="12">
        <f>DIRECT_EFFECT("oil","Non-Road Oil","oil_share","oil_elasticity",DECILE_ARRAY,"Urban","p25")</f>
        <v/>
      </c>
    </row>
    <row r="790">
      <c r="D790" s="6" t="inlineStr">
        <is>
          <t>p25</t>
        </is>
      </c>
      <c r="E790" s="6" t="inlineStr">
        <is>
          <t>Rural</t>
        </is>
      </c>
      <c r="F790" s="6" t="inlineStr">
        <is>
          <t>Basket</t>
        </is>
      </c>
      <c r="G790" s="6" t="inlineStr">
        <is>
          <t>oil</t>
        </is>
      </c>
      <c r="H790" s="6" t="inlineStr">
        <is>
          <t>%</t>
        </is>
      </c>
      <c r="P790" s="12">
        <f>DIRECT_EFFECT("oil","Non-Road Oil","oil_share","oil_elasticity",0,"Rural","p25")</f>
        <v/>
      </c>
    </row>
    <row r="791">
      <c r="D791" s="6" t="inlineStr">
        <is>
          <t>p25</t>
        </is>
      </c>
      <c r="E791" s="6" t="inlineStr">
        <is>
          <t>Rural</t>
        </is>
      </c>
      <c r="F791" s="6" t="inlineStr">
        <is>
          <t>Deciles</t>
        </is>
      </c>
      <c r="G791" s="6" t="inlineStr">
        <is>
          <t>oil</t>
        </is>
      </c>
      <c r="H791" s="6" t="inlineStr">
        <is>
          <t>%</t>
        </is>
      </c>
      <c r="Q791" s="12">
        <f>DIRECT_EFFECT("oil","Non-Road Oil","oil_share","oil_elasticity",DECILE_ARRAY,"Rural","p25")</f>
        <v/>
      </c>
    </row>
    <row r="792">
      <c r="D792" s="6" t="inlineStr">
        <is>
          <t>p75</t>
        </is>
      </c>
      <c r="E792" s="6" t="inlineStr">
        <is>
          <t>Overall</t>
        </is>
      </c>
      <c r="F792" s="6" t="inlineStr">
        <is>
          <t>Basket</t>
        </is>
      </c>
      <c r="G792" s="6" t="inlineStr">
        <is>
          <t>oil</t>
        </is>
      </c>
      <c r="H792" s="6" t="inlineStr">
        <is>
          <t>%</t>
        </is>
      </c>
      <c r="P792" s="12">
        <f>DIRECT_EFFECT("oil","Non-Road Oil","oil_share","oil_elasticity",0,"Overall","p75")</f>
        <v/>
      </c>
    </row>
    <row r="793">
      <c r="D793" s="6" t="inlineStr">
        <is>
          <t>p75</t>
        </is>
      </c>
      <c r="E793" s="6" t="inlineStr">
        <is>
          <t>Overall</t>
        </is>
      </c>
      <c r="F793" s="6" t="inlineStr">
        <is>
          <t>Deciles</t>
        </is>
      </c>
      <c r="G793" s="6" t="inlineStr">
        <is>
          <t>oil</t>
        </is>
      </c>
      <c r="H793" s="6" t="inlineStr">
        <is>
          <t>%</t>
        </is>
      </c>
      <c r="Q793" s="12">
        <f>DIRECT_EFFECT("oil","Non-Road Oil","oil_share","oil_elasticity",DECILE_ARRAY,"Overall","p75")</f>
        <v/>
      </c>
    </row>
    <row r="794">
      <c r="D794" s="6" t="inlineStr">
        <is>
          <t>p75</t>
        </is>
      </c>
      <c r="E794" s="6" t="inlineStr">
        <is>
          <t>Urban</t>
        </is>
      </c>
      <c r="F794" s="6" t="inlineStr">
        <is>
          <t>Basket</t>
        </is>
      </c>
      <c r="G794" s="6" t="inlineStr">
        <is>
          <t>oil</t>
        </is>
      </c>
      <c r="H794" s="6" t="inlineStr">
        <is>
          <t>%</t>
        </is>
      </c>
      <c r="P794" s="12">
        <f>DIRECT_EFFECT("oil","Non-Road Oil","oil_share","oil_elasticity",0,"Urban","p75")</f>
        <v/>
      </c>
    </row>
    <row r="795">
      <c r="D795" s="6" t="inlineStr">
        <is>
          <t>p75</t>
        </is>
      </c>
      <c r="E795" s="6" t="inlineStr">
        <is>
          <t>Urban</t>
        </is>
      </c>
      <c r="F795" s="6" t="inlineStr">
        <is>
          <t>Deciles</t>
        </is>
      </c>
      <c r="G795" s="6" t="inlineStr">
        <is>
          <t>oil</t>
        </is>
      </c>
      <c r="H795" s="6" t="inlineStr">
        <is>
          <t>%</t>
        </is>
      </c>
      <c r="Q795" s="12">
        <f>DIRECT_EFFECT("oil","Non-Road Oil","oil_share","oil_elasticity",DECILE_ARRAY,"Urban","p75")</f>
        <v/>
      </c>
    </row>
    <row r="796">
      <c r="D796" s="6" t="inlineStr">
        <is>
          <t>p75</t>
        </is>
      </c>
      <c r="E796" s="6" t="inlineStr">
        <is>
          <t>Rural</t>
        </is>
      </c>
      <c r="F796" s="6" t="inlineStr">
        <is>
          <t>Basket</t>
        </is>
      </c>
      <c r="G796" s="6" t="inlineStr">
        <is>
          <t>oil</t>
        </is>
      </c>
      <c r="H796" s="6" t="inlineStr">
        <is>
          <t>%</t>
        </is>
      </c>
      <c r="P796" s="12">
        <f>DIRECT_EFFECT("oil","Non-Road Oil","oil_share","oil_elasticity",0,"Rural","p75")</f>
        <v/>
      </c>
    </row>
    <row r="797">
      <c r="D797" s="6" t="inlineStr">
        <is>
          <t>p75</t>
        </is>
      </c>
      <c r="E797" s="6" t="inlineStr">
        <is>
          <t>Rural</t>
        </is>
      </c>
      <c r="F797" s="6" t="inlineStr">
        <is>
          <t>Deciles</t>
        </is>
      </c>
      <c r="G797" s="6" t="inlineStr">
        <is>
          <t>oil</t>
        </is>
      </c>
      <c r="H797" s="6" t="inlineStr">
        <is>
          <t>%</t>
        </is>
      </c>
      <c r="Q797" s="12">
        <f>DIRECT_EFFECT("oil","Non-Road Oil","oil_share","oil_elasticity",DECILE_ARRAY,"Rural","p75")</f>
        <v/>
      </c>
    </row>
    <row r="798"/>
    <row r="799">
      <c r="C799" s="7" t="inlineStr">
        <is>
          <t>Direct Effect - Gasoline (% Total Consumption)</t>
        </is>
      </c>
      <c r="G799" s="6" t="inlineStr">
        <is>
          <t>gso</t>
        </is>
      </c>
      <c r="O799" s="8" t="inlineStr">
        <is>
          <t>Decile --&gt;</t>
        </is>
      </c>
      <c r="Q799" s="8" t="n">
        <v>1</v>
      </c>
      <c r="R799" s="8" t="n">
        <v>2</v>
      </c>
      <c r="S799" s="8" t="n">
        <v>3</v>
      </c>
      <c r="T799" s="8" t="n">
        <v>4</v>
      </c>
      <c r="U799" s="8" t="n">
        <v>5</v>
      </c>
      <c r="V799" s="8" t="n">
        <v>6</v>
      </c>
      <c r="W799" s="8" t="n">
        <v>7</v>
      </c>
      <c r="X799" s="8" t="n">
        <v>8</v>
      </c>
      <c r="Y799" s="8" t="n">
        <v>9</v>
      </c>
      <c r="Z799" s="8" t="n">
        <v>10</v>
      </c>
    </row>
    <row r="800">
      <c r="D800" s="6" t="inlineStr">
        <is>
          <t>mean</t>
        </is>
      </c>
      <c r="E800" s="6" t="inlineStr">
        <is>
          <t>Overall</t>
        </is>
      </c>
      <c r="F800" s="6" t="inlineStr">
        <is>
          <t>Basket</t>
        </is>
      </c>
      <c r="G800" s="6" t="inlineStr">
        <is>
          <t>gso</t>
        </is>
      </c>
      <c r="H800" s="6" t="inlineStr">
        <is>
          <t>%</t>
        </is>
      </c>
      <c r="P800" s="12">
        <f>DIRECT_EFFECT("gso","Gasoline","gso_share","gso_elasticity",0,"Overall","mean")</f>
        <v/>
      </c>
    </row>
    <row r="801">
      <c r="D801" s="6" t="inlineStr">
        <is>
          <t>mean</t>
        </is>
      </c>
      <c r="E801" s="6" t="inlineStr">
        <is>
          <t>Overall</t>
        </is>
      </c>
      <c r="F801" s="6" t="inlineStr">
        <is>
          <t>Deciles</t>
        </is>
      </c>
      <c r="G801" s="6" t="inlineStr">
        <is>
          <t>gso</t>
        </is>
      </c>
      <c r="H801" s="6" t="inlineStr">
        <is>
          <t>%</t>
        </is>
      </c>
      <c r="Q801" s="12">
        <f>DIRECT_EFFECT("gso","Gasoline","gso_share","gso_elasticity",DECILE_ARRAY,"Overall","mean")</f>
        <v/>
      </c>
    </row>
    <row r="802">
      <c r="D802" s="6" t="inlineStr">
        <is>
          <t>mean</t>
        </is>
      </c>
      <c r="E802" s="6" t="inlineStr">
        <is>
          <t>Urban</t>
        </is>
      </c>
      <c r="F802" s="6" t="inlineStr">
        <is>
          <t>Basket</t>
        </is>
      </c>
      <c r="G802" s="6" t="inlineStr">
        <is>
          <t>gso</t>
        </is>
      </c>
      <c r="H802" s="6" t="inlineStr">
        <is>
          <t>%</t>
        </is>
      </c>
      <c r="P802" s="12">
        <f>DIRECT_EFFECT("gso","Gasoline","gso_share","gso_elasticity",0,"Urban","mean")</f>
        <v/>
      </c>
    </row>
    <row r="803">
      <c r="D803" s="6" t="inlineStr">
        <is>
          <t>mean</t>
        </is>
      </c>
      <c r="E803" s="6" t="inlineStr">
        <is>
          <t>Urban</t>
        </is>
      </c>
      <c r="F803" s="6" t="inlineStr">
        <is>
          <t>Deciles</t>
        </is>
      </c>
      <c r="G803" s="6" t="inlineStr">
        <is>
          <t>gso</t>
        </is>
      </c>
      <c r="H803" s="6" t="inlineStr">
        <is>
          <t>%</t>
        </is>
      </c>
      <c r="Q803" s="12">
        <f>DIRECT_EFFECT("gso","Gasoline","gso_share","gso_elasticity",DECILE_ARRAY,"Urban","mean")</f>
        <v/>
      </c>
    </row>
    <row r="804">
      <c r="D804" s="6" t="inlineStr">
        <is>
          <t>mean</t>
        </is>
      </c>
      <c r="E804" s="6" t="inlineStr">
        <is>
          <t>Rural</t>
        </is>
      </c>
      <c r="F804" s="6" t="inlineStr">
        <is>
          <t>Basket</t>
        </is>
      </c>
      <c r="G804" s="6" t="inlineStr">
        <is>
          <t>gso</t>
        </is>
      </c>
      <c r="H804" s="6" t="inlineStr">
        <is>
          <t>%</t>
        </is>
      </c>
      <c r="P804" s="12">
        <f>DIRECT_EFFECT("gso","Gasoline","gso_share","gso_elasticity",0,"Rural","mean")</f>
        <v/>
      </c>
    </row>
    <row r="805">
      <c r="D805" s="6" t="inlineStr">
        <is>
          <t>mean</t>
        </is>
      </c>
      <c r="E805" s="6" t="inlineStr">
        <is>
          <t>Rural</t>
        </is>
      </c>
      <c r="F805" s="6" t="inlineStr">
        <is>
          <t>Deciles</t>
        </is>
      </c>
      <c r="G805" s="6" t="inlineStr">
        <is>
          <t>gso</t>
        </is>
      </c>
      <c r="H805" s="6" t="inlineStr">
        <is>
          <t>%</t>
        </is>
      </c>
      <c r="Q805" s="12">
        <f>DIRECT_EFFECT("gso","Gasoline","gso_share","gso_elasticity",DECILE_ARRAY,"Rural","mean")</f>
        <v/>
      </c>
    </row>
    <row r="806">
      <c r="D806" s="6" t="inlineStr">
        <is>
          <t>median</t>
        </is>
      </c>
      <c r="E806" s="6" t="inlineStr">
        <is>
          <t>Overall</t>
        </is>
      </c>
      <c r="F806" s="6" t="inlineStr">
        <is>
          <t>Basket</t>
        </is>
      </c>
      <c r="G806" s="6" t="inlineStr">
        <is>
          <t>gso</t>
        </is>
      </c>
      <c r="H806" s="6" t="inlineStr">
        <is>
          <t>%</t>
        </is>
      </c>
      <c r="P806" s="12">
        <f>DIRECT_EFFECT("gso","Gasoline","gso_share","gso_elasticity",0,"Overall","median")</f>
        <v/>
      </c>
    </row>
    <row r="807">
      <c r="D807" s="6" t="inlineStr">
        <is>
          <t>median</t>
        </is>
      </c>
      <c r="E807" s="6" t="inlineStr">
        <is>
          <t>Overall</t>
        </is>
      </c>
      <c r="F807" s="6" t="inlineStr">
        <is>
          <t>Deciles</t>
        </is>
      </c>
      <c r="G807" s="6" t="inlineStr">
        <is>
          <t>gso</t>
        </is>
      </c>
      <c r="H807" s="6" t="inlineStr">
        <is>
          <t>%</t>
        </is>
      </c>
      <c r="Q807" s="12">
        <f>DIRECT_EFFECT("gso","Gasoline","gso_share","gso_elasticity",DECILE_ARRAY,"Overall","median")</f>
        <v/>
      </c>
    </row>
    <row r="808">
      <c r="D808" s="6" t="inlineStr">
        <is>
          <t>median</t>
        </is>
      </c>
      <c r="E808" s="6" t="inlineStr">
        <is>
          <t>Urban</t>
        </is>
      </c>
      <c r="F808" s="6" t="inlineStr">
        <is>
          <t>Basket</t>
        </is>
      </c>
      <c r="G808" s="6" t="inlineStr">
        <is>
          <t>gso</t>
        </is>
      </c>
      <c r="H808" s="6" t="inlineStr">
        <is>
          <t>%</t>
        </is>
      </c>
      <c r="P808" s="12">
        <f>DIRECT_EFFECT("gso","Gasoline","gso_share","gso_elasticity",0,"Urban","median")</f>
        <v/>
      </c>
    </row>
    <row r="809">
      <c r="D809" s="6" t="inlineStr">
        <is>
          <t>median</t>
        </is>
      </c>
      <c r="E809" s="6" t="inlineStr">
        <is>
          <t>Urban</t>
        </is>
      </c>
      <c r="F809" s="6" t="inlineStr">
        <is>
          <t>Deciles</t>
        </is>
      </c>
      <c r="G809" s="6" t="inlineStr">
        <is>
          <t>gso</t>
        </is>
      </c>
      <c r="H809" s="6" t="inlineStr">
        <is>
          <t>%</t>
        </is>
      </c>
      <c r="Q809" s="12">
        <f>DIRECT_EFFECT("gso","Gasoline","gso_share","gso_elasticity",DECILE_ARRAY,"Urban","median")</f>
        <v/>
      </c>
    </row>
    <row r="810">
      <c r="D810" s="6" t="inlineStr">
        <is>
          <t>median</t>
        </is>
      </c>
      <c r="E810" s="6" t="inlineStr">
        <is>
          <t>Rural</t>
        </is>
      </c>
      <c r="F810" s="6" t="inlineStr">
        <is>
          <t>Basket</t>
        </is>
      </c>
      <c r="G810" s="6" t="inlineStr">
        <is>
          <t>gso</t>
        </is>
      </c>
      <c r="H810" s="6" t="inlineStr">
        <is>
          <t>%</t>
        </is>
      </c>
      <c r="P810" s="12">
        <f>DIRECT_EFFECT("gso","Gasoline","gso_share","gso_elasticity",0,"Rural","median")</f>
        <v/>
      </c>
    </row>
    <row r="811">
      <c r="D811" s="6" t="inlineStr">
        <is>
          <t>median</t>
        </is>
      </c>
      <c r="E811" s="6" t="inlineStr">
        <is>
          <t>Rural</t>
        </is>
      </c>
      <c r="F811" s="6" t="inlineStr">
        <is>
          <t>Deciles</t>
        </is>
      </c>
      <c r="G811" s="6" t="inlineStr">
        <is>
          <t>gso</t>
        </is>
      </c>
      <c r="H811" s="6" t="inlineStr">
        <is>
          <t>%</t>
        </is>
      </c>
      <c r="Q811" s="12">
        <f>DIRECT_EFFECT("gso","Gasoline","gso_share","gso_elasticity",DECILE_ARRAY,"Rural","median")</f>
        <v/>
      </c>
    </row>
    <row r="812">
      <c r="D812" s="6" t="inlineStr">
        <is>
          <t>p25</t>
        </is>
      </c>
      <c r="E812" s="6" t="inlineStr">
        <is>
          <t>Overall</t>
        </is>
      </c>
      <c r="F812" s="6" t="inlineStr">
        <is>
          <t>Basket</t>
        </is>
      </c>
      <c r="G812" s="6" t="inlineStr">
        <is>
          <t>gso</t>
        </is>
      </c>
      <c r="H812" s="6" t="inlineStr">
        <is>
          <t>%</t>
        </is>
      </c>
      <c r="P812" s="12">
        <f>DIRECT_EFFECT("gso","Gasoline","gso_share","gso_elasticity",0,"Overall","p25")</f>
        <v/>
      </c>
    </row>
    <row r="813">
      <c r="D813" s="6" t="inlineStr">
        <is>
          <t>p25</t>
        </is>
      </c>
      <c r="E813" s="6" t="inlineStr">
        <is>
          <t>Overall</t>
        </is>
      </c>
      <c r="F813" s="6" t="inlineStr">
        <is>
          <t>Deciles</t>
        </is>
      </c>
      <c r="G813" s="6" t="inlineStr">
        <is>
          <t>gso</t>
        </is>
      </c>
      <c r="H813" s="6" t="inlineStr">
        <is>
          <t>%</t>
        </is>
      </c>
      <c r="Q813" s="12">
        <f>DIRECT_EFFECT("gso","Gasoline","gso_share","gso_elasticity",DECILE_ARRAY,"Overall","p25")</f>
        <v/>
      </c>
    </row>
    <row r="814">
      <c r="D814" s="6" t="inlineStr">
        <is>
          <t>p25</t>
        </is>
      </c>
      <c r="E814" s="6" t="inlineStr">
        <is>
          <t>Urban</t>
        </is>
      </c>
      <c r="F814" s="6" t="inlineStr">
        <is>
          <t>Basket</t>
        </is>
      </c>
      <c r="G814" s="6" t="inlineStr">
        <is>
          <t>gso</t>
        </is>
      </c>
      <c r="H814" s="6" t="inlineStr">
        <is>
          <t>%</t>
        </is>
      </c>
      <c r="P814" s="12">
        <f>DIRECT_EFFECT("gso","Gasoline","gso_share","gso_elasticity",0,"Urban","p25")</f>
        <v/>
      </c>
    </row>
    <row r="815">
      <c r="D815" s="6" t="inlineStr">
        <is>
          <t>p25</t>
        </is>
      </c>
      <c r="E815" s="6" t="inlineStr">
        <is>
          <t>Urban</t>
        </is>
      </c>
      <c r="F815" s="6" t="inlineStr">
        <is>
          <t>Deciles</t>
        </is>
      </c>
      <c r="G815" s="6" t="inlineStr">
        <is>
          <t>gso</t>
        </is>
      </c>
      <c r="H815" s="6" t="inlineStr">
        <is>
          <t>%</t>
        </is>
      </c>
      <c r="Q815" s="12">
        <f>DIRECT_EFFECT("gso","Gasoline","gso_share","gso_elasticity",DECILE_ARRAY,"Urban","p25")</f>
        <v/>
      </c>
    </row>
    <row r="816">
      <c r="D816" s="6" t="inlineStr">
        <is>
          <t>p25</t>
        </is>
      </c>
      <c r="E816" s="6" t="inlineStr">
        <is>
          <t>Rural</t>
        </is>
      </c>
      <c r="F816" s="6" t="inlineStr">
        <is>
          <t>Basket</t>
        </is>
      </c>
      <c r="G816" s="6" t="inlineStr">
        <is>
          <t>gso</t>
        </is>
      </c>
      <c r="H816" s="6" t="inlineStr">
        <is>
          <t>%</t>
        </is>
      </c>
      <c r="P816" s="12">
        <f>DIRECT_EFFECT("gso","Gasoline","gso_share","gso_elasticity",0,"Rural","p25")</f>
        <v/>
      </c>
    </row>
    <row r="817">
      <c r="D817" s="6" t="inlineStr">
        <is>
          <t>p25</t>
        </is>
      </c>
      <c r="E817" s="6" t="inlineStr">
        <is>
          <t>Rural</t>
        </is>
      </c>
      <c r="F817" s="6" t="inlineStr">
        <is>
          <t>Deciles</t>
        </is>
      </c>
      <c r="G817" s="6" t="inlineStr">
        <is>
          <t>gso</t>
        </is>
      </c>
      <c r="H817" s="6" t="inlineStr">
        <is>
          <t>%</t>
        </is>
      </c>
      <c r="Q817" s="12">
        <f>DIRECT_EFFECT("gso","Gasoline","gso_share","gso_elasticity",DECILE_ARRAY,"Rural","p25")</f>
        <v/>
      </c>
    </row>
    <row r="818">
      <c r="D818" s="6" t="inlineStr">
        <is>
          <t>p75</t>
        </is>
      </c>
      <c r="E818" s="6" t="inlineStr">
        <is>
          <t>Overall</t>
        </is>
      </c>
      <c r="F818" s="6" t="inlineStr">
        <is>
          <t>Basket</t>
        </is>
      </c>
      <c r="G818" s="6" t="inlineStr">
        <is>
          <t>gso</t>
        </is>
      </c>
      <c r="H818" s="6" t="inlineStr">
        <is>
          <t>%</t>
        </is>
      </c>
      <c r="P818" s="12">
        <f>DIRECT_EFFECT("gso","Gasoline","gso_share","gso_elasticity",0,"Overall","p75")</f>
        <v/>
      </c>
    </row>
    <row r="819">
      <c r="D819" s="6" t="inlineStr">
        <is>
          <t>p75</t>
        </is>
      </c>
      <c r="E819" s="6" t="inlineStr">
        <is>
          <t>Overall</t>
        </is>
      </c>
      <c r="F819" s="6" t="inlineStr">
        <is>
          <t>Deciles</t>
        </is>
      </c>
      <c r="G819" s="6" t="inlineStr">
        <is>
          <t>gso</t>
        </is>
      </c>
      <c r="H819" s="6" t="inlineStr">
        <is>
          <t>%</t>
        </is>
      </c>
      <c r="Q819" s="12">
        <f>DIRECT_EFFECT("gso","Gasoline","gso_share","gso_elasticity",DECILE_ARRAY,"Overall","p75")</f>
        <v/>
      </c>
    </row>
    <row r="820">
      <c r="D820" s="6" t="inlineStr">
        <is>
          <t>p75</t>
        </is>
      </c>
      <c r="E820" s="6" t="inlineStr">
        <is>
          <t>Urban</t>
        </is>
      </c>
      <c r="F820" s="6" t="inlineStr">
        <is>
          <t>Basket</t>
        </is>
      </c>
      <c r="G820" s="6" t="inlineStr">
        <is>
          <t>gso</t>
        </is>
      </c>
      <c r="H820" s="6" t="inlineStr">
        <is>
          <t>%</t>
        </is>
      </c>
      <c r="P820" s="12">
        <f>DIRECT_EFFECT("gso","Gasoline","gso_share","gso_elasticity",0,"Urban","p75")</f>
        <v/>
      </c>
    </row>
    <row r="821">
      <c r="D821" s="6" t="inlineStr">
        <is>
          <t>p75</t>
        </is>
      </c>
      <c r="E821" s="6" t="inlineStr">
        <is>
          <t>Urban</t>
        </is>
      </c>
      <c r="F821" s="6" t="inlineStr">
        <is>
          <t>Deciles</t>
        </is>
      </c>
      <c r="G821" s="6" t="inlineStr">
        <is>
          <t>gso</t>
        </is>
      </c>
      <c r="H821" s="6" t="inlineStr">
        <is>
          <t>%</t>
        </is>
      </c>
      <c r="Q821" s="12">
        <f>DIRECT_EFFECT("gso","Gasoline","gso_share","gso_elasticity",DECILE_ARRAY,"Urban","p75")</f>
        <v/>
      </c>
    </row>
    <row r="822">
      <c r="D822" s="6" t="inlineStr">
        <is>
          <t>p75</t>
        </is>
      </c>
      <c r="E822" s="6" t="inlineStr">
        <is>
          <t>Rural</t>
        </is>
      </c>
      <c r="F822" s="6" t="inlineStr">
        <is>
          <t>Basket</t>
        </is>
      </c>
      <c r="G822" s="6" t="inlineStr">
        <is>
          <t>gso</t>
        </is>
      </c>
      <c r="H822" s="6" t="inlineStr">
        <is>
          <t>%</t>
        </is>
      </c>
      <c r="P822" s="12">
        <f>DIRECT_EFFECT("gso","Gasoline","gso_share","gso_elasticity",0,"Rural","p75")</f>
        <v/>
      </c>
    </row>
    <row r="823">
      <c r="D823" s="6" t="inlineStr">
        <is>
          <t>p75</t>
        </is>
      </c>
      <c r="E823" s="6" t="inlineStr">
        <is>
          <t>Rural</t>
        </is>
      </c>
      <c r="F823" s="6" t="inlineStr">
        <is>
          <t>Deciles</t>
        </is>
      </c>
      <c r="G823" s="6" t="inlineStr">
        <is>
          <t>gso</t>
        </is>
      </c>
      <c r="H823" s="6" t="inlineStr">
        <is>
          <t>%</t>
        </is>
      </c>
      <c r="Q823" s="12">
        <f>DIRECT_EFFECT("gso","Gasoline","gso_share","gso_elasticity",DECILE_ARRAY,"Rural","p75")</f>
        <v/>
      </c>
    </row>
    <row r="824"/>
    <row r="825">
      <c r="C825" s="7" t="inlineStr">
        <is>
          <t>Direct Effect - Diesel (% Total Consumption)</t>
        </is>
      </c>
      <c r="G825" s="6" t="inlineStr">
        <is>
          <t>die</t>
        </is>
      </c>
      <c r="O825" s="8" t="inlineStr">
        <is>
          <t>Decile --&gt;</t>
        </is>
      </c>
      <c r="Q825" s="8" t="n">
        <v>1</v>
      </c>
      <c r="R825" s="8" t="n">
        <v>2</v>
      </c>
      <c r="S825" s="8" t="n">
        <v>3</v>
      </c>
      <c r="T825" s="8" t="n">
        <v>4</v>
      </c>
      <c r="U825" s="8" t="n">
        <v>5</v>
      </c>
      <c r="V825" s="8" t="n">
        <v>6</v>
      </c>
      <c r="W825" s="8" t="n">
        <v>7</v>
      </c>
      <c r="X825" s="8" t="n">
        <v>8</v>
      </c>
      <c r="Y825" s="8" t="n">
        <v>9</v>
      </c>
      <c r="Z825" s="8" t="n">
        <v>10</v>
      </c>
    </row>
    <row r="826">
      <c r="D826" s="6" t="inlineStr">
        <is>
          <t>mean</t>
        </is>
      </c>
      <c r="E826" s="6" t="inlineStr">
        <is>
          <t>Overall</t>
        </is>
      </c>
      <c r="F826" s="6" t="inlineStr">
        <is>
          <t>Basket</t>
        </is>
      </c>
      <c r="G826" s="6" t="inlineStr">
        <is>
          <t>die</t>
        </is>
      </c>
      <c r="H826" s="6" t="inlineStr">
        <is>
          <t>%</t>
        </is>
      </c>
      <c r="P826" s="12">
        <f>DIRECT_EFFECT("die","Diesel","die_share","die_elasticity",0,"Overall","mean")</f>
        <v/>
      </c>
    </row>
    <row r="827">
      <c r="D827" s="6" t="inlineStr">
        <is>
          <t>mean</t>
        </is>
      </c>
      <c r="E827" s="6" t="inlineStr">
        <is>
          <t>Overall</t>
        </is>
      </c>
      <c r="F827" s="6" t="inlineStr">
        <is>
          <t>Deciles</t>
        </is>
      </c>
      <c r="G827" s="6" t="inlineStr">
        <is>
          <t>die</t>
        </is>
      </c>
      <c r="H827" s="6" t="inlineStr">
        <is>
          <t>%</t>
        </is>
      </c>
      <c r="Q827" s="12">
        <f>DIRECT_EFFECT("die","Diesel","die_share","die_elasticity",DECILE_ARRAY,"Overall","mean")</f>
        <v/>
      </c>
    </row>
    <row r="828">
      <c r="D828" s="6" t="inlineStr">
        <is>
          <t>mean</t>
        </is>
      </c>
      <c r="E828" s="6" t="inlineStr">
        <is>
          <t>Urban</t>
        </is>
      </c>
      <c r="F828" s="6" t="inlineStr">
        <is>
          <t>Basket</t>
        </is>
      </c>
      <c r="G828" s="6" t="inlineStr">
        <is>
          <t>die</t>
        </is>
      </c>
      <c r="H828" s="6" t="inlineStr">
        <is>
          <t>%</t>
        </is>
      </c>
      <c r="P828" s="12">
        <f>DIRECT_EFFECT("die","Diesel","die_share","die_elasticity",0,"Urban","mean")</f>
        <v/>
      </c>
    </row>
    <row r="829">
      <c r="D829" s="6" t="inlineStr">
        <is>
          <t>mean</t>
        </is>
      </c>
      <c r="E829" s="6" t="inlineStr">
        <is>
          <t>Urban</t>
        </is>
      </c>
      <c r="F829" s="6" t="inlineStr">
        <is>
          <t>Deciles</t>
        </is>
      </c>
      <c r="G829" s="6" t="inlineStr">
        <is>
          <t>die</t>
        </is>
      </c>
      <c r="H829" s="6" t="inlineStr">
        <is>
          <t>%</t>
        </is>
      </c>
      <c r="Q829" s="12">
        <f>DIRECT_EFFECT("die","Diesel","die_share","die_elasticity",DECILE_ARRAY,"Urban","mean")</f>
        <v/>
      </c>
    </row>
    <row r="830">
      <c r="D830" s="6" t="inlineStr">
        <is>
          <t>mean</t>
        </is>
      </c>
      <c r="E830" s="6" t="inlineStr">
        <is>
          <t>Rural</t>
        </is>
      </c>
      <c r="F830" s="6" t="inlineStr">
        <is>
          <t>Basket</t>
        </is>
      </c>
      <c r="G830" s="6" t="inlineStr">
        <is>
          <t>die</t>
        </is>
      </c>
      <c r="H830" s="6" t="inlineStr">
        <is>
          <t>%</t>
        </is>
      </c>
      <c r="P830" s="12">
        <f>DIRECT_EFFECT("die","Diesel","die_share","die_elasticity",0,"Rural","mean")</f>
        <v/>
      </c>
    </row>
    <row r="831">
      <c r="D831" s="6" t="inlineStr">
        <is>
          <t>mean</t>
        </is>
      </c>
      <c r="E831" s="6" t="inlineStr">
        <is>
          <t>Rural</t>
        </is>
      </c>
      <c r="F831" s="6" t="inlineStr">
        <is>
          <t>Deciles</t>
        </is>
      </c>
      <c r="G831" s="6" t="inlineStr">
        <is>
          <t>die</t>
        </is>
      </c>
      <c r="H831" s="6" t="inlineStr">
        <is>
          <t>%</t>
        </is>
      </c>
      <c r="Q831" s="12">
        <f>DIRECT_EFFECT("die","Diesel","die_share","die_elasticity",DECILE_ARRAY,"Rural","mean")</f>
        <v/>
      </c>
    </row>
    <row r="832">
      <c r="D832" s="6" t="inlineStr">
        <is>
          <t>median</t>
        </is>
      </c>
      <c r="E832" s="6" t="inlineStr">
        <is>
          <t>Overall</t>
        </is>
      </c>
      <c r="F832" s="6" t="inlineStr">
        <is>
          <t>Basket</t>
        </is>
      </c>
      <c r="G832" s="6" t="inlineStr">
        <is>
          <t>die</t>
        </is>
      </c>
      <c r="H832" s="6" t="inlineStr">
        <is>
          <t>%</t>
        </is>
      </c>
      <c r="P832" s="12">
        <f>DIRECT_EFFECT("die","Diesel","die_share","die_elasticity",0,"Overall","median")</f>
        <v/>
      </c>
    </row>
    <row r="833">
      <c r="D833" s="6" t="inlineStr">
        <is>
          <t>median</t>
        </is>
      </c>
      <c r="E833" s="6" t="inlineStr">
        <is>
          <t>Overall</t>
        </is>
      </c>
      <c r="F833" s="6" t="inlineStr">
        <is>
          <t>Deciles</t>
        </is>
      </c>
      <c r="G833" s="6" t="inlineStr">
        <is>
          <t>die</t>
        </is>
      </c>
      <c r="H833" s="6" t="inlineStr">
        <is>
          <t>%</t>
        </is>
      </c>
      <c r="Q833" s="12">
        <f>DIRECT_EFFECT("die","Diesel","die_share","die_elasticity",DECILE_ARRAY,"Overall","median")</f>
        <v/>
      </c>
    </row>
    <row r="834">
      <c r="D834" s="6" t="inlineStr">
        <is>
          <t>median</t>
        </is>
      </c>
      <c r="E834" s="6" t="inlineStr">
        <is>
          <t>Urban</t>
        </is>
      </c>
      <c r="F834" s="6" t="inlineStr">
        <is>
          <t>Basket</t>
        </is>
      </c>
      <c r="G834" s="6" t="inlineStr">
        <is>
          <t>die</t>
        </is>
      </c>
      <c r="H834" s="6" t="inlineStr">
        <is>
          <t>%</t>
        </is>
      </c>
      <c r="P834" s="12">
        <f>DIRECT_EFFECT("die","Diesel","die_share","die_elasticity",0,"Urban","median")</f>
        <v/>
      </c>
    </row>
    <row r="835">
      <c r="D835" s="6" t="inlineStr">
        <is>
          <t>median</t>
        </is>
      </c>
      <c r="E835" s="6" t="inlineStr">
        <is>
          <t>Urban</t>
        </is>
      </c>
      <c r="F835" s="6" t="inlineStr">
        <is>
          <t>Deciles</t>
        </is>
      </c>
      <c r="G835" s="6" t="inlineStr">
        <is>
          <t>die</t>
        </is>
      </c>
      <c r="H835" s="6" t="inlineStr">
        <is>
          <t>%</t>
        </is>
      </c>
      <c r="Q835" s="12">
        <f>DIRECT_EFFECT("die","Diesel","die_share","die_elasticity",DECILE_ARRAY,"Urban","median")</f>
        <v/>
      </c>
    </row>
    <row r="836">
      <c r="D836" s="6" t="inlineStr">
        <is>
          <t>median</t>
        </is>
      </c>
      <c r="E836" s="6" t="inlineStr">
        <is>
          <t>Rural</t>
        </is>
      </c>
      <c r="F836" s="6" t="inlineStr">
        <is>
          <t>Basket</t>
        </is>
      </c>
      <c r="G836" s="6" t="inlineStr">
        <is>
          <t>die</t>
        </is>
      </c>
      <c r="H836" s="6" t="inlineStr">
        <is>
          <t>%</t>
        </is>
      </c>
      <c r="P836" s="12">
        <f>DIRECT_EFFECT("die","Diesel","die_share","die_elasticity",0,"Rural","median")</f>
        <v/>
      </c>
    </row>
    <row r="837">
      <c r="D837" s="6" t="inlineStr">
        <is>
          <t>median</t>
        </is>
      </c>
      <c r="E837" s="6" t="inlineStr">
        <is>
          <t>Rural</t>
        </is>
      </c>
      <c r="F837" s="6" t="inlineStr">
        <is>
          <t>Deciles</t>
        </is>
      </c>
      <c r="G837" s="6" t="inlineStr">
        <is>
          <t>die</t>
        </is>
      </c>
      <c r="H837" s="6" t="inlineStr">
        <is>
          <t>%</t>
        </is>
      </c>
      <c r="Q837" s="12">
        <f>DIRECT_EFFECT("die","Diesel","die_share","die_elasticity",DECILE_ARRAY,"Rural","median")</f>
        <v/>
      </c>
    </row>
    <row r="838">
      <c r="D838" s="6" t="inlineStr">
        <is>
          <t>p25</t>
        </is>
      </c>
      <c r="E838" s="6" t="inlineStr">
        <is>
          <t>Overall</t>
        </is>
      </c>
      <c r="F838" s="6" t="inlineStr">
        <is>
          <t>Basket</t>
        </is>
      </c>
      <c r="G838" s="6" t="inlineStr">
        <is>
          <t>die</t>
        </is>
      </c>
      <c r="H838" s="6" t="inlineStr">
        <is>
          <t>%</t>
        </is>
      </c>
      <c r="P838" s="12">
        <f>DIRECT_EFFECT("die","Diesel","die_share","die_elasticity",0,"Overall","p25")</f>
        <v/>
      </c>
    </row>
    <row r="839">
      <c r="D839" s="6" t="inlineStr">
        <is>
          <t>p25</t>
        </is>
      </c>
      <c r="E839" s="6" t="inlineStr">
        <is>
          <t>Overall</t>
        </is>
      </c>
      <c r="F839" s="6" t="inlineStr">
        <is>
          <t>Deciles</t>
        </is>
      </c>
      <c r="G839" s="6" t="inlineStr">
        <is>
          <t>die</t>
        </is>
      </c>
      <c r="H839" s="6" t="inlineStr">
        <is>
          <t>%</t>
        </is>
      </c>
      <c r="Q839" s="12">
        <f>DIRECT_EFFECT("die","Diesel","die_share","die_elasticity",DECILE_ARRAY,"Overall","p25")</f>
        <v/>
      </c>
    </row>
    <row r="840">
      <c r="D840" s="6" t="inlineStr">
        <is>
          <t>p25</t>
        </is>
      </c>
      <c r="E840" s="6" t="inlineStr">
        <is>
          <t>Urban</t>
        </is>
      </c>
      <c r="F840" s="6" t="inlineStr">
        <is>
          <t>Basket</t>
        </is>
      </c>
      <c r="G840" s="6" t="inlineStr">
        <is>
          <t>die</t>
        </is>
      </c>
      <c r="H840" s="6" t="inlineStr">
        <is>
          <t>%</t>
        </is>
      </c>
      <c r="P840" s="12">
        <f>DIRECT_EFFECT("die","Diesel","die_share","die_elasticity",0,"Urban","p25")</f>
        <v/>
      </c>
    </row>
    <row r="841">
      <c r="D841" s="6" t="inlineStr">
        <is>
          <t>p25</t>
        </is>
      </c>
      <c r="E841" s="6" t="inlineStr">
        <is>
          <t>Urban</t>
        </is>
      </c>
      <c r="F841" s="6" t="inlineStr">
        <is>
          <t>Deciles</t>
        </is>
      </c>
      <c r="G841" s="6" t="inlineStr">
        <is>
          <t>die</t>
        </is>
      </c>
      <c r="H841" s="6" t="inlineStr">
        <is>
          <t>%</t>
        </is>
      </c>
      <c r="Q841" s="12">
        <f>DIRECT_EFFECT("die","Diesel","die_share","die_elasticity",DECILE_ARRAY,"Urban","p25")</f>
        <v/>
      </c>
    </row>
    <row r="842">
      <c r="D842" s="6" t="inlineStr">
        <is>
          <t>p25</t>
        </is>
      </c>
      <c r="E842" s="6" t="inlineStr">
        <is>
          <t>Rural</t>
        </is>
      </c>
      <c r="F842" s="6" t="inlineStr">
        <is>
          <t>Basket</t>
        </is>
      </c>
      <c r="G842" s="6" t="inlineStr">
        <is>
          <t>die</t>
        </is>
      </c>
      <c r="H842" s="6" t="inlineStr">
        <is>
          <t>%</t>
        </is>
      </c>
      <c r="P842" s="12">
        <f>DIRECT_EFFECT("die","Diesel","die_share","die_elasticity",0,"Rural","p25")</f>
        <v/>
      </c>
    </row>
    <row r="843">
      <c r="D843" s="6" t="inlineStr">
        <is>
          <t>p25</t>
        </is>
      </c>
      <c r="E843" s="6" t="inlineStr">
        <is>
          <t>Rural</t>
        </is>
      </c>
      <c r="F843" s="6" t="inlineStr">
        <is>
          <t>Deciles</t>
        </is>
      </c>
      <c r="G843" s="6" t="inlineStr">
        <is>
          <t>die</t>
        </is>
      </c>
      <c r="H843" s="6" t="inlineStr">
        <is>
          <t>%</t>
        </is>
      </c>
      <c r="Q843" s="12">
        <f>DIRECT_EFFECT("die","Diesel","die_share","die_elasticity",DECILE_ARRAY,"Rural","p25")</f>
        <v/>
      </c>
    </row>
    <row r="844">
      <c r="D844" s="6" t="inlineStr">
        <is>
          <t>p75</t>
        </is>
      </c>
      <c r="E844" s="6" t="inlineStr">
        <is>
          <t>Overall</t>
        </is>
      </c>
      <c r="F844" s="6" t="inlineStr">
        <is>
          <t>Basket</t>
        </is>
      </c>
      <c r="G844" s="6" t="inlineStr">
        <is>
          <t>die</t>
        </is>
      </c>
      <c r="H844" s="6" t="inlineStr">
        <is>
          <t>%</t>
        </is>
      </c>
      <c r="P844" s="12">
        <f>DIRECT_EFFECT("die","Diesel","die_share","die_elasticity",0,"Overall","p75")</f>
        <v/>
      </c>
    </row>
    <row r="845">
      <c r="D845" s="6" t="inlineStr">
        <is>
          <t>p75</t>
        </is>
      </c>
      <c r="E845" s="6" t="inlineStr">
        <is>
          <t>Overall</t>
        </is>
      </c>
      <c r="F845" s="6" t="inlineStr">
        <is>
          <t>Deciles</t>
        </is>
      </c>
      <c r="G845" s="6" t="inlineStr">
        <is>
          <t>die</t>
        </is>
      </c>
      <c r="H845" s="6" t="inlineStr">
        <is>
          <t>%</t>
        </is>
      </c>
      <c r="Q845" s="12">
        <f>DIRECT_EFFECT("die","Diesel","die_share","die_elasticity",DECILE_ARRAY,"Overall","p75")</f>
        <v/>
      </c>
    </row>
    <row r="846">
      <c r="D846" s="6" t="inlineStr">
        <is>
          <t>p75</t>
        </is>
      </c>
      <c r="E846" s="6" t="inlineStr">
        <is>
          <t>Urban</t>
        </is>
      </c>
      <c r="F846" s="6" t="inlineStr">
        <is>
          <t>Basket</t>
        </is>
      </c>
      <c r="G846" s="6" t="inlineStr">
        <is>
          <t>die</t>
        </is>
      </c>
      <c r="H846" s="6" t="inlineStr">
        <is>
          <t>%</t>
        </is>
      </c>
      <c r="P846" s="12">
        <f>DIRECT_EFFECT("die","Diesel","die_share","die_elasticity",0,"Urban","p75")</f>
        <v/>
      </c>
    </row>
    <row r="847">
      <c r="D847" s="6" t="inlineStr">
        <is>
          <t>p75</t>
        </is>
      </c>
      <c r="E847" s="6" t="inlineStr">
        <is>
          <t>Urban</t>
        </is>
      </c>
      <c r="F847" s="6" t="inlineStr">
        <is>
          <t>Deciles</t>
        </is>
      </c>
      <c r="G847" s="6" t="inlineStr">
        <is>
          <t>die</t>
        </is>
      </c>
      <c r="H847" s="6" t="inlineStr">
        <is>
          <t>%</t>
        </is>
      </c>
      <c r="Q847" s="12">
        <f>DIRECT_EFFECT("die","Diesel","die_share","die_elasticity",DECILE_ARRAY,"Urban","p75")</f>
        <v/>
      </c>
    </row>
    <row r="848">
      <c r="D848" s="6" t="inlineStr">
        <is>
          <t>p75</t>
        </is>
      </c>
      <c r="E848" s="6" t="inlineStr">
        <is>
          <t>Rural</t>
        </is>
      </c>
      <c r="F848" s="6" t="inlineStr">
        <is>
          <t>Basket</t>
        </is>
      </c>
      <c r="G848" s="6" t="inlineStr">
        <is>
          <t>die</t>
        </is>
      </c>
      <c r="H848" s="6" t="inlineStr">
        <is>
          <t>%</t>
        </is>
      </c>
      <c r="P848" s="12">
        <f>DIRECT_EFFECT("die","Diesel","die_share","die_elasticity",0,"Rural","p75")</f>
        <v/>
      </c>
    </row>
    <row r="849">
      <c r="D849" s="6" t="inlineStr">
        <is>
          <t>p75</t>
        </is>
      </c>
      <c r="E849" s="6" t="inlineStr">
        <is>
          <t>Rural</t>
        </is>
      </c>
      <c r="F849" s="6" t="inlineStr">
        <is>
          <t>Deciles</t>
        </is>
      </c>
      <c r="G849" s="6" t="inlineStr">
        <is>
          <t>die</t>
        </is>
      </c>
      <c r="H849" s="6" t="inlineStr">
        <is>
          <t>%</t>
        </is>
      </c>
      <c r="Q849" s="12">
        <f>DIRECT_EFFECT("die","Diesel","die_share","die_elasticity",DECILE_ARRAY,"Rural","p75")</f>
        <v/>
      </c>
    </row>
    <row r="850"/>
    <row r="851">
      <c r="C851" s="7" t="inlineStr">
        <is>
          <t>Direct Effect - Kerosene (% Total Consumption)</t>
        </is>
      </c>
      <c r="G851" s="6" t="inlineStr">
        <is>
          <t>ker</t>
        </is>
      </c>
      <c r="O851" s="8" t="inlineStr">
        <is>
          <t>Decile --&gt;</t>
        </is>
      </c>
      <c r="Q851" s="8" t="n">
        <v>1</v>
      </c>
      <c r="R851" s="8" t="n">
        <v>2</v>
      </c>
      <c r="S851" s="8" t="n">
        <v>3</v>
      </c>
      <c r="T851" s="8" t="n">
        <v>4</v>
      </c>
      <c r="U851" s="8" t="n">
        <v>5</v>
      </c>
      <c r="V851" s="8" t="n">
        <v>6</v>
      </c>
      <c r="W851" s="8" t="n">
        <v>7</v>
      </c>
      <c r="X851" s="8" t="n">
        <v>8</v>
      </c>
      <c r="Y851" s="8" t="n">
        <v>9</v>
      </c>
      <c r="Z851" s="8" t="n">
        <v>10</v>
      </c>
    </row>
    <row r="852">
      <c r="D852" s="6" t="inlineStr">
        <is>
          <t>mean</t>
        </is>
      </c>
      <c r="E852" s="6" t="inlineStr">
        <is>
          <t>Overall</t>
        </is>
      </c>
      <c r="F852" s="6" t="inlineStr">
        <is>
          <t>Basket</t>
        </is>
      </c>
      <c r="G852" s="6" t="inlineStr">
        <is>
          <t>ker</t>
        </is>
      </c>
      <c r="H852" s="6" t="inlineStr">
        <is>
          <t>%</t>
        </is>
      </c>
      <c r="P852" s="12">
        <f>DIRECT_EFFECT("ker","Kerosene","ker_share","ker_elasticity",0,"Overall","mean")</f>
        <v/>
      </c>
    </row>
    <row r="853">
      <c r="D853" s="6" t="inlineStr">
        <is>
          <t>mean</t>
        </is>
      </c>
      <c r="E853" s="6" t="inlineStr">
        <is>
          <t>Overall</t>
        </is>
      </c>
      <c r="F853" s="6" t="inlineStr">
        <is>
          <t>Deciles</t>
        </is>
      </c>
      <c r="G853" s="6" t="inlineStr">
        <is>
          <t>ker</t>
        </is>
      </c>
      <c r="H853" s="6" t="inlineStr">
        <is>
          <t>%</t>
        </is>
      </c>
      <c r="Q853" s="12">
        <f>DIRECT_EFFECT("ker","Kerosene","ker_share","ker_elasticity",DECILE_ARRAY,"Overall","mean")</f>
        <v/>
      </c>
    </row>
    <row r="854">
      <c r="D854" s="6" t="inlineStr">
        <is>
          <t>mean</t>
        </is>
      </c>
      <c r="E854" s="6" t="inlineStr">
        <is>
          <t>Urban</t>
        </is>
      </c>
      <c r="F854" s="6" t="inlineStr">
        <is>
          <t>Basket</t>
        </is>
      </c>
      <c r="G854" s="6" t="inlineStr">
        <is>
          <t>ker</t>
        </is>
      </c>
      <c r="H854" s="6" t="inlineStr">
        <is>
          <t>%</t>
        </is>
      </c>
      <c r="P854" s="12">
        <f>DIRECT_EFFECT("ker","Kerosene","ker_share","ker_elasticity",0,"Urban","mean")</f>
        <v/>
      </c>
    </row>
    <row r="855">
      <c r="D855" s="6" t="inlineStr">
        <is>
          <t>mean</t>
        </is>
      </c>
      <c r="E855" s="6" t="inlineStr">
        <is>
          <t>Urban</t>
        </is>
      </c>
      <c r="F855" s="6" t="inlineStr">
        <is>
          <t>Deciles</t>
        </is>
      </c>
      <c r="G855" s="6" t="inlineStr">
        <is>
          <t>ker</t>
        </is>
      </c>
      <c r="H855" s="6" t="inlineStr">
        <is>
          <t>%</t>
        </is>
      </c>
      <c r="Q855" s="12">
        <f>DIRECT_EFFECT("ker","Kerosene","ker_share","ker_elasticity",DECILE_ARRAY,"Urban","mean")</f>
        <v/>
      </c>
    </row>
    <row r="856">
      <c r="D856" s="6" t="inlineStr">
        <is>
          <t>mean</t>
        </is>
      </c>
      <c r="E856" s="6" t="inlineStr">
        <is>
          <t>Rural</t>
        </is>
      </c>
      <c r="F856" s="6" t="inlineStr">
        <is>
          <t>Basket</t>
        </is>
      </c>
      <c r="G856" s="6" t="inlineStr">
        <is>
          <t>ker</t>
        </is>
      </c>
      <c r="H856" s="6" t="inlineStr">
        <is>
          <t>%</t>
        </is>
      </c>
      <c r="P856" s="12">
        <f>DIRECT_EFFECT("ker","Kerosene","ker_share","ker_elasticity",0,"Rural","mean")</f>
        <v/>
      </c>
    </row>
    <row r="857">
      <c r="D857" s="6" t="inlineStr">
        <is>
          <t>mean</t>
        </is>
      </c>
      <c r="E857" s="6" t="inlineStr">
        <is>
          <t>Rural</t>
        </is>
      </c>
      <c r="F857" s="6" t="inlineStr">
        <is>
          <t>Deciles</t>
        </is>
      </c>
      <c r="G857" s="6" t="inlineStr">
        <is>
          <t>ker</t>
        </is>
      </c>
      <c r="H857" s="6" t="inlineStr">
        <is>
          <t>%</t>
        </is>
      </c>
      <c r="Q857" s="12">
        <f>DIRECT_EFFECT("ker","Kerosene","ker_share","ker_elasticity",DECILE_ARRAY,"Rural","mean")</f>
        <v/>
      </c>
    </row>
    <row r="858">
      <c r="D858" s="6" t="inlineStr">
        <is>
          <t>median</t>
        </is>
      </c>
      <c r="E858" s="6" t="inlineStr">
        <is>
          <t>Overall</t>
        </is>
      </c>
      <c r="F858" s="6" t="inlineStr">
        <is>
          <t>Basket</t>
        </is>
      </c>
      <c r="G858" s="6" t="inlineStr">
        <is>
          <t>ker</t>
        </is>
      </c>
      <c r="H858" s="6" t="inlineStr">
        <is>
          <t>%</t>
        </is>
      </c>
      <c r="P858" s="12">
        <f>DIRECT_EFFECT("ker","Kerosene","ker_share","ker_elasticity",0,"Overall","median")</f>
        <v/>
      </c>
    </row>
    <row r="859">
      <c r="D859" s="6" t="inlineStr">
        <is>
          <t>median</t>
        </is>
      </c>
      <c r="E859" s="6" t="inlineStr">
        <is>
          <t>Overall</t>
        </is>
      </c>
      <c r="F859" s="6" t="inlineStr">
        <is>
          <t>Deciles</t>
        </is>
      </c>
      <c r="G859" s="6" t="inlineStr">
        <is>
          <t>ker</t>
        </is>
      </c>
      <c r="H859" s="6" t="inlineStr">
        <is>
          <t>%</t>
        </is>
      </c>
      <c r="Q859" s="12">
        <f>DIRECT_EFFECT("ker","Kerosene","ker_share","ker_elasticity",DECILE_ARRAY,"Overall","median")</f>
        <v/>
      </c>
    </row>
    <row r="860">
      <c r="D860" s="6" t="inlineStr">
        <is>
          <t>median</t>
        </is>
      </c>
      <c r="E860" s="6" t="inlineStr">
        <is>
          <t>Urban</t>
        </is>
      </c>
      <c r="F860" s="6" t="inlineStr">
        <is>
          <t>Basket</t>
        </is>
      </c>
      <c r="G860" s="6" t="inlineStr">
        <is>
          <t>ker</t>
        </is>
      </c>
      <c r="H860" s="6" t="inlineStr">
        <is>
          <t>%</t>
        </is>
      </c>
      <c r="P860" s="12">
        <f>DIRECT_EFFECT("ker","Kerosene","ker_share","ker_elasticity",0,"Urban","median")</f>
        <v/>
      </c>
    </row>
    <row r="861">
      <c r="D861" s="6" t="inlineStr">
        <is>
          <t>median</t>
        </is>
      </c>
      <c r="E861" s="6" t="inlineStr">
        <is>
          <t>Urban</t>
        </is>
      </c>
      <c r="F861" s="6" t="inlineStr">
        <is>
          <t>Deciles</t>
        </is>
      </c>
      <c r="G861" s="6" t="inlineStr">
        <is>
          <t>ker</t>
        </is>
      </c>
      <c r="H861" s="6" t="inlineStr">
        <is>
          <t>%</t>
        </is>
      </c>
      <c r="Q861" s="12">
        <f>DIRECT_EFFECT("ker","Kerosene","ker_share","ker_elasticity",DECILE_ARRAY,"Urban","median")</f>
        <v/>
      </c>
    </row>
    <row r="862">
      <c r="D862" s="6" t="inlineStr">
        <is>
          <t>median</t>
        </is>
      </c>
      <c r="E862" s="6" t="inlineStr">
        <is>
          <t>Rural</t>
        </is>
      </c>
      <c r="F862" s="6" t="inlineStr">
        <is>
          <t>Basket</t>
        </is>
      </c>
      <c r="G862" s="6" t="inlineStr">
        <is>
          <t>ker</t>
        </is>
      </c>
      <c r="H862" s="6" t="inlineStr">
        <is>
          <t>%</t>
        </is>
      </c>
      <c r="P862" s="12">
        <f>DIRECT_EFFECT("ker","Kerosene","ker_share","ker_elasticity",0,"Rural","median")</f>
        <v/>
      </c>
    </row>
    <row r="863">
      <c r="D863" s="6" t="inlineStr">
        <is>
          <t>median</t>
        </is>
      </c>
      <c r="E863" s="6" t="inlineStr">
        <is>
          <t>Rural</t>
        </is>
      </c>
      <c r="F863" s="6" t="inlineStr">
        <is>
          <t>Deciles</t>
        </is>
      </c>
      <c r="G863" s="6" t="inlineStr">
        <is>
          <t>ker</t>
        </is>
      </c>
      <c r="H863" s="6" t="inlineStr">
        <is>
          <t>%</t>
        </is>
      </c>
      <c r="Q863" s="12">
        <f>DIRECT_EFFECT("ker","Kerosene","ker_share","ker_elasticity",DECILE_ARRAY,"Rural","median")</f>
        <v/>
      </c>
    </row>
    <row r="864">
      <c r="D864" s="6" t="inlineStr">
        <is>
          <t>p25</t>
        </is>
      </c>
      <c r="E864" s="6" t="inlineStr">
        <is>
          <t>Overall</t>
        </is>
      </c>
      <c r="F864" s="6" t="inlineStr">
        <is>
          <t>Basket</t>
        </is>
      </c>
      <c r="G864" s="6" t="inlineStr">
        <is>
          <t>ker</t>
        </is>
      </c>
      <c r="H864" s="6" t="inlineStr">
        <is>
          <t>%</t>
        </is>
      </c>
      <c r="P864" s="12">
        <f>DIRECT_EFFECT("ker","Kerosene","ker_share","ker_elasticity",0,"Overall","p25")</f>
        <v/>
      </c>
    </row>
    <row r="865">
      <c r="D865" s="6" t="inlineStr">
        <is>
          <t>p25</t>
        </is>
      </c>
      <c r="E865" s="6" t="inlineStr">
        <is>
          <t>Overall</t>
        </is>
      </c>
      <c r="F865" s="6" t="inlineStr">
        <is>
          <t>Deciles</t>
        </is>
      </c>
      <c r="G865" s="6" t="inlineStr">
        <is>
          <t>ker</t>
        </is>
      </c>
      <c r="H865" s="6" t="inlineStr">
        <is>
          <t>%</t>
        </is>
      </c>
      <c r="Q865" s="12">
        <f>DIRECT_EFFECT("ker","Kerosene","ker_share","ker_elasticity",DECILE_ARRAY,"Overall","p25")</f>
        <v/>
      </c>
    </row>
    <row r="866">
      <c r="D866" s="6" t="inlineStr">
        <is>
          <t>p25</t>
        </is>
      </c>
      <c r="E866" s="6" t="inlineStr">
        <is>
          <t>Urban</t>
        </is>
      </c>
      <c r="F866" s="6" t="inlineStr">
        <is>
          <t>Basket</t>
        </is>
      </c>
      <c r="G866" s="6" t="inlineStr">
        <is>
          <t>ker</t>
        </is>
      </c>
      <c r="H866" s="6" t="inlineStr">
        <is>
          <t>%</t>
        </is>
      </c>
      <c r="P866" s="12">
        <f>DIRECT_EFFECT("ker","Kerosene","ker_share","ker_elasticity",0,"Urban","p25")</f>
        <v/>
      </c>
    </row>
    <row r="867">
      <c r="D867" s="6" t="inlineStr">
        <is>
          <t>p25</t>
        </is>
      </c>
      <c r="E867" s="6" t="inlineStr">
        <is>
          <t>Urban</t>
        </is>
      </c>
      <c r="F867" s="6" t="inlineStr">
        <is>
          <t>Deciles</t>
        </is>
      </c>
      <c r="G867" s="6" t="inlineStr">
        <is>
          <t>ker</t>
        </is>
      </c>
      <c r="H867" s="6" t="inlineStr">
        <is>
          <t>%</t>
        </is>
      </c>
      <c r="Q867" s="12">
        <f>DIRECT_EFFECT("ker","Kerosene","ker_share","ker_elasticity",DECILE_ARRAY,"Urban","p25")</f>
        <v/>
      </c>
    </row>
    <row r="868">
      <c r="D868" s="6" t="inlineStr">
        <is>
          <t>p25</t>
        </is>
      </c>
      <c r="E868" s="6" t="inlineStr">
        <is>
          <t>Rural</t>
        </is>
      </c>
      <c r="F868" s="6" t="inlineStr">
        <is>
          <t>Basket</t>
        </is>
      </c>
      <c r="G868" s="6" t="inlineStr">
        <is>
          <t>ker</t>
        </is>
      </c>
      <c r="H868" s="6" t="inlineStr">
        <is>
          <t>%</t>
        </is>
      </c>
      <c r="P868" s="12">
        <f>DIRECT_EFFECT("ker","Kerosene","ker_share","ker_elasticity",0,"Rural","p25")</f>
        <v/>
      </c>
    </row>
    <row r="869">
      <c r="D869" s="6" t="inlineStr">
        <is>
          <t>p25</t>
        </is>
      </c>
      <c r="E869" s="6" t="inlineStr">
        <is>
          <t>Rural</t>
        </is>
      </c>
      <c r="F869" s="6" t="inlineStr">
        <is>
          <t>Deciles</t>
        </is>
      </c>
      <c r="G869" s="6" t="inlineStr">
        <is>
          <t>ker</t>
        </is>
      </c>
      <c r="H869" s="6" t="inlineStr">
        <is>
          <t>%</t>
        </is>
      </c>
      <c r="Q869" s="12">
        <f>DIRECT_EFFECT("ker","Kerosene","ker_share","ker_elasticity",DECILE_ARRAY,"Rural","p25")</f>
        <v/>
      </c>
    </row>
    <row r="870">
      <c r="D870" s="6" t="inlineStr">
        <is>
          <t>p75</t>
        </is>
      </c>
      <c r="E870" s="6" t="inlineStr">
        <is>
          <t>Overall</t>
        </is>
      </c>
      <c r="F870" s="6" t="inlineStr">
        <is>
          <t>Basket</t>
        </is>
      </c>
      <c r="G870" s="6" t="inlineStr">
        <is>
          <t>ker</t>
        </is>
      </c>
      <c r="H870" s="6" t="inlineStr">
        <is>
          <t>%</t>
        </is>
      </c>
      <c r="P870" s="12">
        <f>DIRECT_EFFECT("ker","Kerosene","ker_share","ker_elasticity",0,"Overall","p75")</f>
        <v/>
      </c>
    </row>
    <row r="871">
      <c r="D871" s="6" t="inlineStr">
        <is>
          <t>p75</t>
        </is>
      </c>
      <c r="E871" s="6" t="inlineStr">
        <is>
          <t>Overall</t>
        </is>
      </c>
      <c r="F871" s="6" t="inlineStr">
        <is>
          <t>Deciles</t>
        </is>
      </c>
      <c r="G871" s="6" t="inlineStr">
        <is>
          <t>ker</t>
        </is>
      </c>
      <c r="H871" s="6" t="inlineStr">
        <is>
          <t>%</t>
        </is>
      </c>
      <c r="Q871" s="12">
        <f>DIRECT_EFFECT("ker","Kerosene","ker_share","ker_elasticity",DECILE_ARRAY,"Overall","p75")</f>
        <v/>
      </c>
    </row>
    <row r="872">
      <c r="D872" s="6" t="inlineStr">
        <is>
          <t>p75</t>
        </is>
      </c>
      <c r="E872" s="6" t="inlineStr">
        <is>
          <t>Urban</t>
        </is>
      </c>
      <c r="F872" s="6" t="inlineStr">
        <is>
          <t>Basket</t>
        </is>
      </c>
      <c r="G872" s="6" t="inlineStr">
        <is>
          <t>ker</t>
        </is>
      </c>
      <c r="H872" s="6" t="inlineStr">
        <is>
          <t>%</t>
        </is>
      </c>
      <c r="P872" s="12">
        <f>DIRECT_EFFECT("ker","Kerosene","ker_share","ker_elasticity",0,"Urban","p75")</f>
        <v/>
      </c>
    </row>
    <row r="873">
      <c r="D873" s="6" t="inlineStr">
        <is>
          <t>p75</t>
        </is>
      </c>
      <c r="E873" s="6" t="inlineStr">
        <is>
          <t>Urban</t>
        </is>
      </c>
      <c r="F873" s="6" t="inlineStr">
        <is>
          <t>Deciles</t>
        </is>
      </c>
      <c r="G873" s="6" t="inlineStr">
        <is>
          <t>ker</t>
        </is>
      </c>
      <c r="H873" s="6" t="inlineStr">
        <is>
          <t>%</t>
        </is>
      </c>
      <c r="Q873" s="12">
        <f>DIRECT_EFFECT("ker","Kerosene","ker_share","ker_elasticity",DECILE_ARRAY,"Urban","p75")</f>
        <v/>
      </c>
    </row>
    <row r="874">
      <c r="D874" s="6" t="inlineStr">
        <is>
          <t>p75</t>
        </is>
      </c>
      <c r="E874" s="6" t="inlineStr">
        <is>
          <t>Rural</t>
        </is>
      </c>
      <c r="F874" s="6" t="inlineStr">
        <is>
          <t>Basket</t>
        </is>
      </c>
      <c r="G874" s="6" t="inlineStr">
        <is>
          <t>ker</t>
        </is>
      </c>
      <c r="H874" s="6" t="inlineStr">
        <is>
          <t>%</t>
        </is>
      </c>
      <c r="P874" s="12">
        <f>DIRECT_EFFECT("ker","Kerosene","ker_share","ker_elasticity",0,"Rural","p75")</f>
        <v/>
      </c>
    </row>
    <row r="875">
      <c r="D875" s="6" t="inlineStr">
        <is>
          <t>p75</t>
        </is>
      </c>
      <c r="E875" s="6" t="inlineStr">
        <is>
          <t>Rural</t>
        </is>
      </c>
      <c r="F875" s="6" t="inlineStr">
        <is>
          <t>Deciles</t>
        </is>
      </c>
      <c r="G875" s="6" t="inlineStr">
        <is>
          <t>ker</t>
        </is>
      </c>
      <c r="H875" s="6" t="inlineStr">
        <is>
          <t>%</t>
        </is>
      </c>
      <c r="Q875" s="12">
        <f>DIRECT_EFFECT("ker","Kerosene","ker_share","ker_elasticity",DECILE_ARRAY,"Rural","p75")</f>
        <v/>
      </c>
    </row>
    <row r="876"/>
    <row r="877">
      <c r="C877" s="7" t="inlineStr">
        <is>
          <t>Direct Effect - LPG (% Total Consumption)</t>
        </is>
      </c>
      <c r="G877" s="6" t="inlineStr">
        <is>
          <t>lpg</t>
        </is>
      </c>
      <c r="O877" s="8" t="inlineStr">
        <is>
          <t>Decile --&gt;</t>
        </is>
      </c>
      <c r="Q877" s="8" t="n">
        <v>1</v>
      </c>
      <c r="R877" s="8" t="n">
        <v>2</v>
      </c>
      <c r="S877" s="8" t="n">
        <v>3</v>
      </c>
      <c r="T877" s="8" t="n">
        <v>4</v>
      </c>
      <c r="U877" s="8" t="n">
        <v>5</v>
      </c>
      <c r="V877" s="8" t="n">
        <v>6</v>
      </c>
      <c r="W877" s="8" t="n">
        <v>7</v>
      </c>
      <c r="X877" s="8" t="n">
        <v>8</v>
      </c>
      <c r="Y877" s="8" t="n">
        <v>9</v>
      </c>
      <c r="Z877" s="8" t="n">
        <v>10</v>
      </c>
    </row>
    <row r="878">
      <c r="D878" s="6" t="inlineStr">
        <is>
          <t>mean</t>
        </is>
      </c>
      <c r="E878" s="6" t="inlineStr">
        <is>
          <t>Overall</t>
        </is>
      </c>
      <c r="F878" s="6" t="inlineStr">
        <is>
          <t>Basket</t>
        </is>
      </c>
      <c r="G878" s="6" t="inlineStr">
        <is>
          <t>lpg</t>
        </is>
      </c>
      <c r="H878" s="6" t="inlineStr">
        <is>
          <t>%</t>
        </is>
      </c>
      <c r="P878" s="12">
        <f>DIRECT_EFFECT("lpg","LPG","lpg_share","lpg_elasticity",0,"Overall","mean")</f>
        <v/>
      </c>
    </row>
    <row r="879">
      <c r="D879" s="6" t="inlineStr">
        <is>
          <t>mean</t>
        </is>
      </c>
      <c r="E879" s="6" t="inlineStr">
        <is>
          <t>Overall</t>
        </is>
      </c>
      <c r="F879" s="6" t="inlineStr">
        <is>
          <t>Deciles</t>
        </is>
      </c>
      <c r="G879" s="6" t="inlineStr">
        <is>
          <t>lpg</t>
        </is>
      </c>
      <c r="H879" s="6" t="inlineStr">
        <is>
          <t>%</t>
        </is>
      </c>
      <c r="Q879" s="12">
        <f>DIRECT_EFFECT("lpg","LPG","lpg_share","lpg_elasticity",DECILE_ARRAY,"Overall","mean")</f>
        <v/>
      </c>
    </row>
    <row r="880">
      <c r="D880" s="6" t="inlineStr">
        <is>
          <t>mean</t>
        </is>
      </c>
      <c r="E880" s="6" t="inlineStr">
        <is>
          <t>Urban</t>
        </is>
      </c>
      <c r="F880" s="6" t="inlineStr">
        <is>
          <t>Basket</t>
        </is>
      </c>
      <c r="G880" s="6" t="inlineStr">
        <is>
          <t>lpg</t>
        </is>
      </c>
      <c r="H880" s="6" t="inlineStr">
        <is>
          <t>%</t>
        </is>
      </c>
      <c r="P880" s="12">
        <f>DIRECT_EFFECT("lpg","LPG","lpg_share","lpg_elasticity",0,"Urban","mean")</f>
        <v/>
      </c>
    </row>
    <row r="881">
      <c r="D881" s="6" t="inlineStr">
        <is>
          <t>mean</t>
        </is>
      </c>
      <c r="E881" s="6" t="inlineStr">
        <is>
          <t>Urban</t>
        </is>
      </c>
      <c r="F881" s="6" t="inlineStr">
        <is>
          <t>Deciles</t>
        </is>
      </c>
      <c r="G881" s="6" t="inlineStr">
        <is>
          <t>lpg</t>
        </is>
      </c>
      <c r="H881" s="6" t="inlineStr">
        <is>
          <t>%</t>
        </is>
      </c>
      <c r="Q881" s="12">
        <f>DIRECT_EFFECT("lpg","LPG","lpg_share","lpg_elasticity",DECILE_ARRAY,"Urban","mean")</f>
        <v/>
      </c>
    </row>
    <row r="882">
      <c r="D882" s="6" t="inlineStr">
        <is>
          <t>mean</t>
        </is>
      </c>
      <c r="E882" s="6" t="inlineStr">
        <is>
          <t>Rural</t>
        </is>
      </c>
      <c r="F882" s="6" t="inlineStr">
        <is>
          <t>Basket</t>
        </is>
      </c>
      <c r="G882" s="6" t="inlineStr">
        <is>
          <t>lpg</t>
        </is>
      </c>
      <c r="H882" s="6" t="inlineStr">
        <is>
          <t>%</t>
        </is>
      </c>
      <c r="P882" s="12">
        <f>DIRECT_EFFECT("lpg","LPG","lpg_share","lpg_elasticity",0,"Rural","mean")</f>
        <v/>
      </c>
    </row>
    <row r="883">
      <c r="D883" s="6" t="inlineStr">
        <is>
          <t>mean</t>
        </is>
      </c>
      <c r="E883" s="6" t="inlineStr">
        <is>
          <t>Rural</t>
        </is>
      </c>
      <c r="F883" s="6" t="inlineStr">
        <is>
          <t>Deciles</t>
        </is>
      </c>
      <c r="G883" s="6" t="inlineStr">
        <is>
          <t>lpg</t>
        </is>
      </c>
      <c r="H883" s="6" t="inlineStr">
        <is>
          <t>%</t>
        </is>
      </c>
      <c r="Q883" s="12">
        <f>DIRECT_EFFECT("lpg","LPG","lpg_share","lpg_elasticity",DECILE_ARRAY,"Rural","mean")</f>
        <v/>
      </c>
    </row>
    <row r="884">
      <c r="D884" s="6" t="inlineStr">
        <is>
          <t>median</t>
        </is>
      </c>
      <c r="E884" s="6" t="inlineStr">
        <is>
          <t>Overall</t>
        </is>
      </c>
      <c r="F884" s="6" t="inlineStr">
        <is>
          <t>Basket</t>
        </is>
      </c>
      <c r="G884" s="6" t="inlineStr">
        <is>
          <t>lpg</t>
        </is>
      </c>
      <c r="H884" s="6" t="inlineStr">
        <is>
          <t>%</t>
        </is>
      </c>
      <c r="P884" s="12">
        <f>DIRECT_EFFECT("lpg","LPG","lpg_share","lpg_elasticity",0,"Overall","median")</f>
        <v/>
      </c>
    </row>
    <row r="885">
      <c r="D885" s="6" t="inlineStr">
        <is>
          <t>median</t>
        </is>
      </c>
      <c r="E885" s="6" t="inlineStr">
        <is>
          <t>Overall</t>
        </is>
      </c>
      <c r="F885" s="6" t="inlineStr">
        <is>
          <t>Deciles</t>
        </is>
      </c>
      <c r="G885" s="6" t="inlineStr">
        <is>
          <t>lpg</t>
        </is>
      </c>
      <c r="H885" s="6" t="inlineStr">
        <is>
          <t>%</t>
        </is>
      </c>
      <c r="Q885" s="12">
        <f>DIRECT_EFFECT("lpg","LPG","lpg_share","lpg_elasticity",DECILE_ARRAY,"Overall","median")</f>
        <v/>
      </c>
    </row>
    <row r="886">
      <c r="D886" s="6" t="inlineStr">
        <is>
          <t>median</t>
        </is>
      </c>
      <c r="E886" s="6" t="inlineStr">
        <is>
          <t>Urban</t>
        </is>
      </c>
      <c r="F886" s="6" t="inlineStr">
        <is>
          <t>Basket</t>
        </is>
      </c>
      <c r="G886" s="6" t="inlineStr">
        <is>
          <t>lpg</t>
        </is>
      </c>
      <c r="H886" s="6" t="inlineStr">
        <is>
          <t>%</t>
        </is>
      </c>
      <c r="P886" s="12">
        <f>DIRECT_EFFECT("lpg","LPG","lpg_share","lpg_elasticity",0,"Urban","median")</f>
        <v/>
      </c>
    </row>
    <row r="887">
      <c r="D887" s="6" t="inlineStr">
        <is>
          <t>median</t>
        </is>
      </c>
      <c r="E887" s="6" t="inlineStr">
        <is>
          <t>Urban</t>
        </is>
      </c>
      <c r="F887" s="6" t="inlineStr">
        <is>
          <t>Deciles</t>
        </is>
      </c>
      <c r="G887" s="6" t="inlineStr">
        <is>
          <t>lpg</t>
        </is>
      </c>
      <c r="H887" s="6" t="inlineStr">
        <is>
          <t>%</t>
        </is>
      </c>
      <c r="Q887" s="12">
        <f>DIRECT_EFFECT("lpg","LPG","lpg_share","lpg_elasticity",DECILE_ARRAY,"Urban","median")</f>
        <v/>
      </c>
    </row>
    <row r="888">
      <c r="D888" s="6" t="inlineStr">
        <is>
          <t>median</t>
        </is>
      </c>
      <c r="E888" s="6" t="inlineStr">
        <is>
          <t>Rural</t>
        </is>
      </c>
      <c r="F888" s="6" t="inlineStr">
        <is>
          <t>Basket</t>
        </is>
      </c>
      <c r="G888" s="6" t="inlineStr">
        <is>
          <t>lpg</t>
        </is>
      </c>
      <c r="H888" s="6" t="inlineStr">
        <is>
          <t>%</t>
        </is>
      </c>
      <c r="P888" s="12">
        <f>DIRECT_EFFECT("lpg","LPG","lpg_share","lpg_elasticity",0,"Rural","median")</f>
        <v/>
      </c>
    </row>
    <row r="889">
      <c r="D889" s="6" t="inlineStr">
        <is>
          <t>median</t>
        </is>
      </c>
      <c r="E889" s="6" t="inlineStr">
        <is>
          <t>Rural</t>
        </is>
      </c>
      <c r="F889" s="6" t="inlineStr">
        <is>
          <t>Deciles</t>
        </is>
      </c>
      <c r="G889" s="6" t="inlineStr">
        <is>
          <t>lpg</t>
        </is>
      </c>
      <c r="H889" s="6" t="inlineStr">
        <is>
          <t>%</t>
        </is>
      </c>
      <c r="Q889" s="12">
        <f>DIRECT_EFFECT("lpg","LPG","lpg_share","lpg_elasticity",DECILE_ARRAY,"Rural","median")</f>
        <v/>
      </c>
    </row>
    <row r="890">
      <c r="D890" s="6" t="inlineStr">
        <is>
          <t>p25</t>
        </is>
      </c>
      <c r="E890" s="6" t="inlineStr">
        <is>
          <t>Overall</t>
        </is>
      </c>
      <c r="F890" s="6" t="inlineStr">
        <is>
          <t>Basket</t>
        </is>
      </c>
      <c r="G890" s="6" t="inlineStr">
        <is>
          <t>lpg</t>
        </is>
      </c>
      <c r="H890" s="6" t="inlineStr">
        <is>
          <t>%</t>
        </is>
      </c>
      <c r="P890" s="12">
        <f>DIRECT_EFFECT("lpg","LPG","lpg_share","lpg_elasticity",0,"Overall","p25")</f>
        <v/>
      </c>
    </row>
    <row r="891">
      <c r="D891" s="6" t="inlineStr">
        <is>
          <t>p25</t>
        </is>
      </c>
      <c r="E891" s="6" t="inlineStr">
        <is>
          <t>Overall</t>
        </is>
      </c>
      <c r="F891" s="6" t="inlineStr">
        <is>
          <t>Deciles</t>
        </is>
      </c>
      <c r="G891" s="6" t="inlineStr">
        <is>
          <t>lpg</t>
        </is>
      </c>
      <c r="H891" s="6" t="inlineStr">
        <is>
          <t>%</t>
        </is>
      </c>
      <c r="Q891" s="12">
        <f>DIRECT_EFFECT("lpg","LPG","lpg_share","lpg_elasticity",DECILE_ARRAY,"Overall","p25")</f>
        <v/>
      </c>
    </row>
    <row r="892">
      <c r="D892" s="6" t="inlineStr">
        <is>
          <t>p25</t>
        </is>
      </c>
      <c r="E892" s="6" t="inlineStr">
        <is>
          <t>Urban</t>
        </is>
      </c>
      <c r="F892" s="6" t="inlineStr">
        <is>
          <t>Basket</t>
        </is>
      </c>
      <c r="G892" s="6" t="inlineStr">
        <is>
          <t>lpg</t>
        </is>
      </c>
      <c r="H892" s="6" t="inlineStr">
        <is>
          <t>%</t>
        </is>
      </c>
      <c r="P892" s="12">
        <f>DIRECT_EFFECT("lpg","LPG","lpg_share","lpg_elasticity",0,"Urban","p25")</f>
        <v/>
      </c>
    </row>
    <row r="893">
      <c r="D893" s="6" t="inlineStr">
        <is>
          <t>p25</t>
        </is>
      </c>
      <c r="E893" s="6" t="inlineStr">
        <is>
          <t>Urban</t>
        </is>
      </c>
      <c r="F893" s="6" t="inlineStr">
        <is>
          <t>Deciles</t>
        </is>
      </c>
      <c r="G893" s="6" t="inlineStr">
        <is>
          <t>lpg</t>
        </is>
      </c>
      <c r="H893" s="6" t="inlineStr">
        <is>
          <t>%</t>
        </is>
      </c>
      <c r="Q893" s="12">
        <f>DIRECT_EFFECT("lpg","LPG","lpg_share","lpg_elasticity",DECILE_ARRAY,"Urban","p25")</f>
        <v/>
      </c>
    </row>
    <row r="894">
      <c r="D894" s="6" t="inlineStr">
        <is>
          <t>p25</t>
        </is>
      </c>
      <c r="E894" s="6" t="inlineStr">
        <is>
          <t>Rural</t>
        </is>
      </c>
      <c r="F894" s="6" t="inlineStr">
        <is>
          <t>Basket</t>
        </is>
      </c>
      <c r="G894" s="6" t="inlineStr">
        <is>
          <t>lpg</t>
        </is>
      </c>
      <c r="H894" s="6" t="inlineStr">
        <is>
          <t>%</t>
        </is>
      </c>
      <c r="P894" s="12">
        <f>DIRECT_EFFECT("lpg","LPG","lpg_share","lpg_elasticity",0,"Rural","p25")</f>
        <v/>
      </c>
    </row>
    <row r="895">
      <c r="D895" s="6" t="inlineStr">
        <is>
          <t>p25</t>
        </is>
      </c>
      <c r="E895" s="6" t="inlineStr">
        <is>
          <t>Rural</t>
        </is>
      </c>
      <c r="F895" s="6" t="inlineStr">
        <is>
          <t>Deciles</t>
        </is>
      </c>
      <c r="G895" s="6" t="inlineStr">
        <is>
          <t>lpg</t>
        </is>
      </c>
      <c r="H895" s="6" t="inlineStr">
        <is>
          <t>%</t>
        </is>
      </c>
      <c r="Q895" s="12">
        <f>DIRECT_EFFECT("lpg","LPG","lpg_share","lpg_elasticity",DECILE_ARRAY,"Rural","p25")</f>
        <v/>
      </c>
    </row>
    <row r="896">
      <c r="D896" s="6" t="inlineStr">
        <is>
          <t>p75</t>
        </is>
      </c>
      <c r="E896" s="6" t="inlineStr">
        <is>
          <t>Overall</t>
        </is>
      </c>
      <c r="F896" s="6" t="inlineStr">
        <is>
          <t>Basket</t>
        </is>
      </c>
      <c r="G896" s="6" t="inlineStr">
        <is>
          <t>lpg</t>
        </is>
      </c>
      <c r="H896" s="6" t="inlineStr">
        <is>
          <t>%</t>
        </is>
      </c>
      <c r="P896" s="12">
        <f>DIRECT_EFFECT("lpg","LPG","lpg_share","lpg_elasticity",0,"Overall","p75")</f>
        <v/>
      </c>
    </row>
    <row r="897">
      <c r="D897" s="6" t="inlineStr">
        <is>
          <t>p75</t>
        </is>
      </c>
      <c r="E897" s="6" t="inlineStr">
        <is>
          <t>Overall</t>
        </is>
      </c>
      <c r="F897" s="6" t="inlineStr">
        <is>
          <t>Deciles</t>
        </is>
      </c>
      <c r="G897" s="6" t="inlineStr">
        <is>
          <t>lpg</t>
        </is>
      </c>
      <c r="H897" s="6" t="inlineStr">
        <is>
          <t>%</t>
        </is>
      </c>
      <c r="Q897" s="12">
        <f>DIRECT_EFFECT("lpg","LPG","lpg_share","lpg_elasticity",DECILE_ARRAY,"Overall","p75")</f>
        <v/>
      </c>
    </row>
    <row r="898">
      <c r="D898" s="6" t="inlineStr">
        <is>
          <t>p75</t>
        </is>
      </c>
      <c r="E898" s="6" t="inlineStr">
        <is>
          <t>Urban</t>
        </is>
      </c>
      <c r="F898" s="6" t="inlineStr">
        <is>
          <t>Basket</t>
        </is>
      </c>
      <c r="G898" s="6" t="inlineStr">
        <is>
          <t>lpg</t>
        </is>
      </c>
      <c r="H898" s="6" t="inlineStr">
        <is>
          <t>%</t>
        </is>
      </c>
      <c r="P898" s="12">
        <f>DIRECT_EFFECT("lpg","LPG","lpg_share","lpg_elasticity",0,"Urban","p75")</f>
        <v/>
      </c>
    </row>
    <row r="899">
      <c r="D899" s="6" t="inlineStr">
        <is>
          <t>p75</t>
        </is>
      </c>
      <c r="E899" s="6" t="inlineStr">
        <is>
          <t>Urban</t>
        </is>
      </c>
      <c r="F899" s="6" t="inlineStr">
        <is>
          <t>Deciles</t>
        </is>
      </c>
      <c r="G899" s="6" t="inlineStr">
        <is>
          <t>lpg</t>
        </is>
      </c>
      <c r="H899" s="6" t="inlineStr">
        <is>
          <t>%</t>
        </is>
      </c>
      <c r="Q899" s="12">
        <f>DIRECT_EFFECT("lpg","LPG","lpg_share","lpg_elasticity",DECILE_ARRAY,"Urban","p75")</f>
        <v/>
      </c>
    </row>
    <row r="900">
      <c r="D900" s="6" t="inlineStr">
        <is>
          <t>p75</t>
        </is>
      </c>
      <c r="E900" s="6" t="inlineStr">
        <is>
          <t>Rural</t>
        </is>
      </c>
      <c r="F900" s="6" t="inlineStr">
        <is>
          <t>Basket</t>
        </is>
      </c>
      <c r="G900" s="6" t="inlineStr">
        <is>
          <t>lpg</t>
        </is>
      </c>
      <c r="H900" s="6" t="inlineStr">
        <is>
          <t>%</t>
        </is>
      </c>
      <c r="P900" s="12">
        <f>DIRECT_EFFECT("lpg","LPG","lpg_share","lpg_elasticity",0,"Rural","p75")</f>
        <v/>
      </c>
    </row>
    <row r="901">
      <c r="D901" s="6" t="inlineStr">
        <is>
          <t>p75</t>
        </is>
      </c>
      <c r="E901" s="6" t="inlineStr">
        <is>
          <t>Rural</t>
        </is>
      </c>
      <c r="F901" s="6" t="inlineStr">
        <is>
          <t>Deciles</t>
        </is>
      </c>
      <c r="G901" s="6" t="inlineStr">
        <is>
          <t>lpg</t>
        </is>
      </c>
      <c r="H901" s="6" t="inlineStr">
        <is>
          <t>%</t>
        </is>
      </c>
      <c r="Q901" s="12">
        <f>DIRECT_EFFECT("lpg","LPG","lpg_share","lpg_elasticity",DECILE_ARRAY,"Rural","p75")</f>
        <v/>
      </c>
    </row>
    <row r="902"/>
    <row r="903">
      <c r="C903" s="7" t="inlineStr">
        <is>
          <t>Total Direct Effect (% Total Consumption)</t>
        </is>
      </c>
      <c r="G903" s="6" t="inlineStr">
        <is>
          <t>tot</t>
        </is>
      </c>
      <c r="O903" s="8" t="inlineStr">
        <is>
          <t>Decile --&gt;</t>
        </is>
      </c>
      <c r="Q903" s="8" t="n">
        <v>1</v>
      </c>
      <c r="R903" s="8" t="n">
        <v>2</v>
      </c>
      <c r="S903" s="8" t="n">
        <v>3</v>
      </c>
      <c r="T903" s="8" t="n">
        <v>4</v>
      </c>
      <c r="U903" s="8" t="n">
        <v>5</v>
      </c>
      <c r="V903" s="8" t="n">
        <v>6</v>
      </c>
      <c r="W903" s="8" t="n">
        <v>7</v>
      </c>
      <c r="X903" s="8" t="n">
        <v>8</v>
      </c>
      <c r="Y903" s="8" t="n">
        <v>9</v>
      </c>
      <c r="Z903" s="8" t="n">
        <v>10</v>
      </c>
    </row>
    <row r="904">
      <c r="D904" s="6" t="inlineStr">
        <is>
          <t>mean</t>
        </is>
      </c>
      <c r="E904" s="6" t="inlineStr">
        <is>
          <t>Overall</t>
        </is>
      </c>
      <c r="F904" s="6" t="inlineStr">
        <is>
          <t>Basket</t>
        </is>
      </c>
      <c r="G904" s="6" t="inlineStr">
        <is>
          <t>tot</t>
        </is>
      </c>
      <c r="H904" s="6" t="inlineStr">
        <is>
          <t>%</t>
        </is>
      </c>
      <c r="P904" s="12">
        <f>TOTAL_DIRECT_EFFECT(0,"Overall","mean")</f>
        <v/>
      </c>
    </row>
    <row r="905">
      <c r="D905" s="6" t="inlineStr">
        <is>
          <t>mean</t>
        </is>
      </c>
      <c r="E905" s="6" t="inlineStr">
        <is>
          <t>Overall</t>
        </is>
      </c>
      <c r="F905" s="6" t="inlineStr">
        <is>
          <t>Deciles</t>
        </is>
      </c>
      <c r="G905" s="6" t="inlineStr">
        <is>
          <t>tot</t>
        </is>
      </c>
      <c r="H905" s="6" t="inlineStr">
        <is>
          <t>%</t>
        </is>
      </c>
      <c r="Q905" s="12">
        <f>TOTAL_DIRECT_EFFECT(DECILE_ARRAY,"Overall","mean")</f>
        <v/>
      </c>
    </row>
    <row r="906">
      <c r="D906" s="6" t="inlineStr">
        <is>
          <t>mean</t>
        </is>
      </c>
      <c r="E906" s="6" t="inlineStr">
        <is>
          <t>Urban</t>
        </is>
      </c>
      <c r="F906" s="6" t="inlineStr">
        <is>
          <t>Basket</t>
        </is>
      </c>
      <c r="G906" s="6" t="inlineStr">
        <is>
          <t>tot</t>
        </is>
      </c>
      <c r="H906" s="6" t="inlineStr">
        <is>
          <t>%</t>
        </is>
      </c>
      <c r="P906" s="12">
        <f>TOTAL_DIRECT_EFFECT(0,"Urban","mean")</f>
        <v/>
      </c>
    </row>
    <row r="907">
      <c r="D907" s="6" t="inlineStr">
        <is>
          <t>mean</t>
        </is>
      </c>
      <c r="E907" s="6" t="inlineStr">
        <is>
          <t>Urban</t>
        </is>
      </c>
      <c r="F907" s="6" t="inlineStr">
        <is>
          <t>Deciles</t>
        </is>
      </c>
      <c r="G907" s="6" t="inlineStr">
        <is>
          <t>tot</t>
        </is>
      </c>
      <c r="H907" s="6" t="inlineStr">
        <is>
          <t>%</t>
        </is>
      </c>
      <c r="Q907" s="12">
        <f>TOTAL_DIRECT_EFFECT(DECILE_ARRAY,"Urban","mean")</f>
        <v/>
      </c>
    </row>
    <row r="908">
      <c r="D908" s="6" t="inlineStr">
        <is>
          <t>mean</t>
        </is>
      </c>
      <c r="E908" s="6" t="inlineStr">
        <is>
          <t>Rural</t>
        </is>
      </c>
      <c r="F908" s="6" t="inlineStr">
        <is>
          <t>Basket</t>
        </is>
      </c>
      <c r="G908" s="6" t="inlineStr">
        <is>
          <t>tot</t>
        </is>
      </c>
      <c r="H908" s="6" t="inlineStr">
        <is>
          <t>%</t>
        </is>
      </c>
      <c r="P908" s="12">
        <f>TOTAL_DIRECT_EFFECT(0,"Rural","mean")</f>
        <v/>
      </c>
    </row>
    <row r="909">
      <c r="D909" s="6" t="inlineStr">
        <is>
          <t>mean</t>
        </is>
      </c>
      <c r="E909" s="6" t="inlineStr">
        <is>
          <t>Rural</t>
        </is>
      </c>
      <c r="F909" s="6" t="inlineStr">
        <is>
          <t>Deciles</t>
        </is>
      </c>
      <c r="G909" s="6" t="inlineStr">
        <is>
          <t>tot</t>
        </is>
      </c>
      <c r="H909" s="6" t="inlineStr">
        <is>
          <t>%</t>
        </is>
      </c>
      <c r="Q909" s="12">
        <f>TOTAL_DIRECT_EFFECT(DECILE_ARRAY,"Rural","mean")</f>
        <v/>
      </c>
    </row>
    <row r="910">
      <c r="D910" s="6" t="inlineStr">
        <is>
          <t>median</t>
        </is>
      </c>
      <c r="E910" s="6" t="inlineStr">
        <is>
          <t>Overall</t>
        </is>
      </c>
      <c r="F910" s="6" t="inlineStr">
        <is>
          <t>Basket</t>
        </is>
      </c>
      <c r="G910" s="6" t="inlineStr">
        <is>
          <t>tot</t>
        </is>
      </c>
      <c r="H910" s="6" t="inlineStr">
        <is>
          <t>%</t>
        </is>
      </c>
      <c r="P910" s="12">
        <f>TOTAL_DIRECT_EFFECT(0,"Overall","median")</f>
        <v/>
      </c>
    </row>
    <row r="911">
      <c r="D911" s="6" t="inlineStr">
        <is>
          <t>median</t>
        </is>
      </c>
      <c r="E911" s="6" t="inlineStr">
        <is>
          <t>Overall</t>
        </is>
      </c>
      <c r="F911" s="6" t="inlineStr">
        <is>
          <t>Deciles</t>
        </is>
      </c>
      <c r="G911" s="6" t="inlineStr">
        <is>
          <t>tot</t>
        </is>
      </c>
      <c r="H911" s="6" t="inlineStr">
        <is>
          <t>%</t>
        </is>
      </c>
      <c r="Q911" s="12">
        <f>TOTAL_DIRECT_EFFECT(DECILE_ARRAY,"Overall","median")</f>
        <v/>
      </c>
    </row>
    <row r="912">
      <c r="D912" s="6" t="inlineStr">
        <is>
          <t>median</t>
        </is>
      </c>
      <c r="E912" s="6" t="inlineStr">
        <is>
          <t>Urban</t>
        </is>
      </c>
      <c r="F912" s="6" t="inlineStr">
        <is>
          <t>Basket</t>
        </is>
      </c>
      <c r="G912" s="6" t="inlineStr">
        <is>
          <t>tot</t>
        </is>
      </c>
      <c r="H912" s="6" t="inlineStr">
        <is>
          <t>%</t>
        </is>
      </c>
      <c r="P912" s="12">
        <f>TOTAL_DIRECT_EFFECT(0,"Urban","median")</f>
        <v/>
      </c>
    </row>
    <row r="913">
      <c r="D913" s="6" t="inlineStr">
        <is>
          <t>median</t>
        </is>
      </c>
      <c r="E913" s="6" t="inlineStr">
        <is>
          <t>Urban</t>
        </is>
      </c>
      <c r="F913" s="6" t="inlineStr">
        <is>
          <t>Deciles</t>
        </is>
      </c>
      <c r="G913" s="6" t="inlineStr">
        <is>
          <t>tot</t>
        </is>
      </c>
      <c r="H913" s="6" t="inlineStr">
        <is>
          <t>%</t>
        </is>
      </c>
      <c r="Q913" s="12">
        <f>TOTAL_DIRECT_EFFECT(DECILE_ARRAY,"Urban","median")</f>
        <v/>
      </c>
    </row>
    <row r="914">
      <c r="D914" s="6" t="inlineStr">
        <is>
          <t>median</t>
        </is>
      </c>
      <c r="E914" s="6" t="inlineStr">
        <is>
          <t>Rural</t>
        </is>
      </c>
      <c r="F914" s="6" t="inlineStr">
        <is>
          <t>Basket</t>
        </is>
      </c>
      <c r="G914" s="6" t="inlineStr">
        <is>
          <t>tot</t>
        </is>
      </c>
      <c r="H914" s="6" t="inlineStr">
        <is>
          <t>%</t>
        </is>
      </c>
      <c r="P914" s="12">
        <f>TOTAL_DIRECT_EFFECT(0,"Rural","median")</f>
        <v/>
      </c>
    </row>
    <row r="915">
      <c r="D915" s="6" t="inlineStr">
        <is>
          <t>median</t>
        </is>
      </c>
      <c r="E915" s="6" t="inlineStr">
        <is>
          <t>Rural</t>
        </is>
      </c>
      <c r="F915" s="6" t="inlineStr">
        <is>
          <t>Deciles</t>
        </is>
      </c>
      <c r="G915" s="6" t="inlineStr">
        <is>
          <t>tot</t>
        </is>
      </c>
      <c r="H915" s="6" t="inlineStr">
        <is>
          <t>%</t>
        </is>
      </c>
      <c r="Q915" s="12">
        <f>TOTAL_DIRECT_EFFECT(DECILE_ARRAY,"Rural","median")</f>
        <v/>
      </c>
    </row>
    <row r="916">
      <c r="D916" s="6" t="inlineStr">
        <is>
          <t>p25</t>
        </is>
      </c>
      <c r="E916" s="6" t="inlineStr">
        <is>
          <t>Overall</t>
        </is>
      </c>
      <c r="F916" s="6" t="inlineStr">
        <is>
          <t>Basket</t>
        </is>
      </c>
      <c r="G916" s="6" t="inlineStr">
        <is>
          <t>tot</t>
        </is>
      </c>
      <c r="H916" s="6" t="inlineStr">
        <is>
          <t>%</t>
        </is>
      </c>
      <c r="P916" s="12">
        <f>TOTAL_DIRECT_EFFECT(0,"Overall","p25")</f>
        <v/>
      </c>
    </row>
    <row r="917">
      <c r="D917" s="6" t="inlineStr">
        <is>
          <t>p25</t>
        </is>
      </c>
      <c r="E917" s="6" t="inlineStr">
        <is>
          <t>Overall</t>
        </is>
      </c>
      <c r="F917" s="6" t="inlineStr">
        <is>
          <t>Deciles</t>
        </is>
      </c>
      <c r="G917" s="6" t="inlineStr">
        <is>
          <t>tot</t>
        </is>
      </c>
      <c r="H917" s="6" t="inlineStr">
        <is>
          <t>%</t>
        </is>
      </c>
      <c r="Q917" s="12">
        <f>TOTAL_DIRECT_EFFECT(DECILE_ARRAY,"Overall","p25")</f>
        <v/>
      </c>
    </row>
    <row r="918">
      <c r="D918" s="6" t="inlineStr">
        <is>
          <t>p25</t>
        </is>
      </c>
      <c r="E918" s="6" t="inlineStr">
        <is>
          <t>Urban</t>
        </is>
      </c>
      <c r="F918" s="6" t="inlineStr">
        <is>
          <t>Basket</t>
        </is>
      </c>
      <c r="G918" s="6" t="inlineStr">
        <is>
          <t>tot</t>
        </is>
      </c>
      <c r="H918" s="6" t="inlineStr">
        <is>
          <t>%</t>
        </is>
      </c>
      <c r="P918" s="12">
        <f>TOTAL_DIRECT_EFFECT(0,"Urban","p25")</f>
        <v/>
      </c>
    </row>
    <row r="919">
      <c r="D919" s="6" t="inlineStr">
        <is>
          <t>p25</t>
        </is>
      </c>
      <c r="E919" s="6" t="inlineStr">
        <is>
          <t>Urban</t>
        </is>
      </c>
      <c r="F919" s="6" t="inlineStr">
        <is>
          <t>Deciles</t>
        </is>
      </c>
      <c r="G919" s="6" t="inlineStr">
        <is>
          <t>tot</t>
        </is>
      </c>
      <c r="H919" s="6" t="inlineStr">
        <is>
          <t>%</t>
        </is>
      </c>
      <c r="Q919" s="12">
        <f>TOTAL_DIRECT_EFFECT(DECILE_ARRAY,"Urban","p25")</f>
        <v/>
      </c>
    </row>
    <row r="920">
      <c r="D920" s="6" t="inlineStr">
        <is>
          <t>p25</t>
        </is>
      </c>
      <c r="E920" s="6" t="inlineStr">
        <is>
          <t>Rural</t>
        </is>
      </c>
      <c r="F920" s="6" t="inlineStr">
        <is>
          <t>Basket</t>
        </is>
      </c>
      <c r="G920" s="6" t="inlineStr">
        <is>
          <t>tot</t>
        </is>
      </c>
      <c r="H920" s="6" t="inlineStr">
        <is>
          <t>%</t>
        </is>
      </c>
      <c r="P920" s="12">
        <f>TOTAL_DIRECT_EFFECT(0,"Rural","p25")</f>
        <v/>
      </c>
    </row>
    <row r="921">
      <c r="D921" s="6" t="inlineStr">
        <is>
          <t>p25</t>
        </is>
      </c>
      <c r="E921" s="6" t="inlineStr">
        <is>
          <t>Rural</t>
        </is>
      </c>
      <c r="F921" s="6" t="inlineStr">
        <is>
          <t>Deciles</t>
        </is>
      </c>
      <c r="G921" s="6" t="inlineStr">
        <is>
          <t>tot</t>
        </is>
      </c>
      <c r="H921" s="6" t="inlineStr">
        <is>
          <t>%</t>
        </is>
      </c>
      <c r="Q921" s="12">
        <f>TOTAL_DIRECT_EFFECT(DECILE_ARRAY,"Rural","p25")</f>
        <v/>
      </c>
    </row>
    <row r="922">
      <c r="D922" s="6" t="inlineStr">
        <is>
          <t>p75</t>
        </is>
      </c>
      <c r="E922" s="6" t="inlineStr">
        <is>
          <t>Overall</t>
        </is>
      </c>
      <c r="F922" s="6" t="inlineStr">
        <is>
          <t>Basket</t>
        </is>
      </c>
      <c r="G922" s="6" t="inlineStr">
        <is>
          <t>tot</t>
        </is>
      </c>
      <c r="H922" s="6" t="inlineStr">
        <is>
          <t>%</t>
        </is>
      </c>
      <c r="P922" s="12">
        <f>TOTAL_DIRECT_EFFECT(0,"Overall","p75")</f>
        <v/>
      </c>
    </row>
    <row r="923">
      <c r="D923" s="6" t="inlineStr">
        <is>
          <t>p75</t>
        </is>
      </c>
      <c r="E923" s="6" t="inlineStr">
        <is>
          <t>Overall</t>
        </is>
      </c>
      <c r="F923" s="6" t="inlineStr">
        <is>
          <t>Deciles</t>
        </is>
      </c>
      <c r="G923" s="6" t="inlineStr">
        <is>
          <t>tot</t>
        </is>
      </c>
      <c r="H923" s="6" t="inlineStr">
        <is>
          <t>%</t>
        </is>
      </c>
      <c r="Q923" s="12">
        <f>TOTAL_DIRECT_EFFECT(DECILE_ARRAY,"Overall","p75")</f>
        <v/>
      </c>
    </row>
    <row r="924">
      <c r="D924" s="6" t="inlineStr">
        <is>
          <t>p75</t>
        </is>
      </c>
      <c r="E924" s="6" t="inlineStr">
        <is>
          <t>Urban</t>
        </is>
      </c>
      <c r="F924" s="6" t="inlineStr">
        <is>
          <t>Basket</t>
        </is>
      </c>
      <c r="G924" s="6" t="inlineStr">
        <is>
          <t>tot</t>
        </is>
      </c>
      <c r="H924" s="6" t="inlineStr">
        <is>
          <t>%</t>
        </is>
      </c>
      <c r="P924" s="12">
        <f>TOTAL_DIRECT_EFFECT(0,"Urban","p75")</f>
        <v/>
      </c>
    </row>
    <row r="925">
      <c r="D925" s="6" t="inlineStr">
        <is>
          <t>p75</t>
        </is>
      </c>
      <c r="E925" s="6" t="inlineStr">
        <is>
          <t>Urban</t>
        </is>
      </c>
      <c r="F925" s="6" t="inlineStr">
        <is>
          <t>Deciles</t>
        </is>
      </c>
      <c r="G925" s="6" t="inlineStr">
        <is>
          <t>tot</t>
        </is>
      </c>
      <c r="H925" s="6" t="inlineStr">
        <is>
          <t>%</t>
        </is>
      </c>
      <c r="Q925" s="12">
        <f>TOTAL_DIRECT_EFFECT(DECILE_ARRAY,"Urban","p75")</f>
        <v/>
      </c>
    </row>
    <row r="926">
      <c r="D926" s="6" t="inlineStr">
        <is>
          <t>p75</t>
        </is>
      </c>
      <c r="E926" s="6" t="inlineStr">
        <is>
          <t>Rural</t>
        </is>
      </c>
      <c r="F926" s="6" t="inlineStr">
        <is>
          <t>Basket</t>
        </is>
      </c>
      <c r="G926" s="6" t="inlineStr">
        <is>
          <t>tot</t>
        </is>
      </c>
      <c r="H926" s="6" t="inlineStr">
        <is>
          <t>%</t>
        </is>
      </c>
      <c r="P926" s="12">
        <f>TOTAL_DIRECT_EFFECT(0,"Rural","p75")</f>
        <v/>
      </c>
    </row>
    <row r="927">
      <c r="D927" s="6" t="inlineStr">
        <is>
          <t>p75</t>
        </is>
      </c>
      <c r="E927" s="6" t="inlineStr">
        <is>
          <t>Rural</t>
        </is>
      </c>
      <c r="F927" s="6" t="inlineStr">
        <is>
          <t>Deciles</t>
        </is>
      </c>
      <c r="G927" s="6" t="inlineStr">
        <is>
          <t>tot</t>
        </is>
      </c>
      <c r="H927" s="6" t="inlineStr">
        <is>
          <t>%</t>
        </is>
      </c>
      <c r="Q927" s="12">
        <f>TOTAL_DIRECT_EFFECT(DECILE_ARRAY,"Rural","p75")</f>
        <v/>
      </c>
    </row>
    <row r="928"/>
    <row r="929">
      <c r="A929" s="4" t="inlineStr">
        <is>
          <t>C.VI.</t>
        </is>
      </c>
      <c r="B929" s="4" t="inlineStr">
        <is>
          <t>Consumption losses - indirect effect</t>
        </is>
      </c>
      <c r="C929" s="5" t="n"/>
      <c r="D929" s="5" t="n"/>
      <c r="E929" s="5" t="n"/>
      <c r="F929" s="5" t="n"/>
      <c r="G929" s="5" t="n"/>
      <c r="H929" s="5" t="n"/>
      <c r="I929" s="5" t="n"/>
      <c r="J929" s="5" t="n"/>
      <c r="K929" s="5" t="n"/>
      <c r="L929" s="5" t="n"/>
      <c r="M929" s="5" t="n"/>
      <c r="N929" s="5" t="n"/>
    </row>
    <row r="930"/>
    <row r="931">
      <c r="C931" s="7" t="inlineStr">
        <is>
          <t>Appliances Indirect Effect (% Total Consumption)</t>
        </is>
      </c>
      <c r="G931" s="6" t="inlineStr">
        <is>
          <t>app</t>
        </is>
      </c>
      <c r="O931" s="8" t="inlineStr">
        <is>
          <t>Decile --&gt;</t>
        </is>
      </c>
      <c r="Q931" s="8" t="n">
        <v>1</v>
      </c>
      <c r="R931" s="8" t="n">
        <v>2</v>
      </c>
      <c r="S931" s="8" t="n">
        <v>3</v>
      </c>
      <c r="T931" s="8" t="n">
        <v>4</v>
      </c>
      <c r="U931" s="8" t="n">
        <v>5</v>
      </c>
      <c r="V931" s="8" t="n">
        <v>6</v>
      </c>
      <c r="W931" s="8" t="n">
        <v>7</v>
      </c>
      <c r="X931" s="8" t="n">
        <v>8</v>
      </c>
      <c r="Y931" s="8" t="n">
        <v>9</v>
      </c>
      <c r="Z931" s="8" t="n">
        <v>10</v>
      </c>
    </row>
    <row r="932">
      <c r="D932" s="6" t="inlineStr">
        <is>
          <t>mean</t>
        </is>
      </c>
      <c r="E932" s="6" t="inlineStr">
        <is>
          <t>Overall</t>
        </is>
      </c>
      <c r="F932" s="6" t="inlineStr">
        <is>
          <t>Basket</t>
        </is>
      </c>
      <c r="G932" s="6" t="inlineStr">
        <is>
          <t>app</t>
        </is>
      </c>
      <c r="H932" s="6" t="inlineStr">
        <is>
          <t>%</t>
        </is>
      </c>
      <c r="P932" s="12">
        <f>INDIRECT_EFFECT("app","appliances_share","appliances_elasticity",0,"Overall","mean")</f>
        <v/>
      </c>
    </row>
    <row r="933">
      <c r="D933" s="6" t="inlineStr">
        <is>
          <t>mean</t>
        </is>
      </c>
      <c r="E933" s="6" t="inlineStr">
        <is>
          <t>Overall</t>
        </is>
      </c>
      <c r="F933" s="6" t="inlineStr">
        <is>
          <t>Deciles</t>
        </is>
      </c>
      <c r="G933" s="6" t="inlineStr">
        <is>
          <t>app</t>
        </is>
      </c>
      <c r="H933" s="6" t="inlineStr">
        <is>
          <t>%</t>
        </is>
      </c>
      <c r="Q933" s="12">
        <f>INDIRECT_EFFECT("app","appliances_share","appliances_elasticity",DECILE_ARRAY,"Overall","mean")</f>
        <v/>
      </c>
    </row>
    <row r="934">
      <c r="D934" s="6" t="inlineStr">
        <is>
          <t>mean</t>
        </is>
      </c>
      <c r="E934" s="6" t="inlineStr">
        <is>
          <t>Urban</t>
        </is>
      </c>
      <c r="F934" s="6" t="inlineStr">
        <is>
          <t>Basket</t>
        </is>
      </c>
      <c r="G934" s="6" t="inlineStr">
        <is>
          <t>app</t>
        </is>
      </c>
      <c r="H934" s="6" t="inlineStr">
        <is>
          <t>%</t>
        </is>
      </c>
      <c r="P934" s="12">
        <f>INDIRECT_EFFECT("app","appliances_share","appliances_elasticity",0,"Urban","mean")</f>
        <v/>
      </c>
    </row>
    <row r="935">
      <c r="D935" s="6" t="inlineStr">
        <is>
          <t>mean</t>
        </is>
      </c>
      <c r="E935" s="6" t="inlineStr">
        <is>
          <t>Urban</t>
        </is>
      </c>
      <c r="F935" s="6" t="inlineStr">
        <is>
          <t>Deciles</t>
        </is>
      </c>
      <c r="G935" s="6" t="inlineStr">
        <is>
          <t>app</t>
        </is>
      </c>
      <c r="H935" s="6" t="inlineStr">
        <is>
          <t>%</t>
        </is>
      </c>
      <c r="Q935" s="12">
        <f>INDIRECT_EFFECT("app","appliances_share","appliances_elasticity",DECILE_ARRAY,"Urban","mean")</f>
        <v/>
      </c>
    </row>
    <row r="936">
      <c r="D936" s="6" t="inlineStr">
        <is>
          <t>mean</t>
        </is>
      </c>
      <c r="E936" s="6" t="inlineStr">
        <is>
          <t>Rural</t>
        </is>
      </c>
      <c r="F936" s="6" t="inlineStr">
        <is>
          <t>Basket</t>
        </is>
      </c>
      <c r="G936" s="6" t="inlineStr">
        <is>
          <t>app</t>
        </is>
      </c>
      <c r="H936" s="6" t="inlineStr">
        <is>
          <t>%</t>
        </is>
      </c>
      <c r="P936" s="12">
        <f>INDIRECT_EFFECT("app","appliances_share","appliances_elasticity",0,"Rural","mean")</f>
        <v/>
      </c>
    </row>
    <row r="937">
      <c r="D937" s="6" t="inlineStr">
        <is>
          <t>mean</t>
        </is>
      </c>
      <c r="E937" s="6" t="inlineStr">
        <is>
          <t>Rural</t>
        </is>
      </c>
      <c r="F937" s="6" t="inlineStr">
        <is>
          <t>Deciles</t>
        </is>
      </c>
      <c r="G937" s="6" t="inlineStr">
        <is>
          <t>app</t>
        </is>
      </c>
      <c r="H937" s="6" t="inlineStr">
        <is>
          <t>%</t>
        </is>
      </c>
      <c r="Q937" s="12">
        <f>INDIRECT_EFFECT("app","appliances_share","appliances_elasticity",DECILE_ARRAY,"Rural","mean")</f>
        <v/>
      </c>
    </row>
    <row r="938">
      <c r="D938" s="6" t="inlineStr">
        <is>
          <t>median</t>
        </is>
      </c>
      <c r="E938" s="6" t="inlineStr">
        <is>
          <t>Overall</t>
        </is>
      </c>
      <c r="F938" s="6" t="inlineStr">
        <is>
          <t>Basket</t>
        </is>
      </c>
      <c r="G938" s="6" t="inlineStr">
        <is>
          <t>app</t>
        </is>
      </c>
      <c r="H938" s="6" t="inlineStr">
        <is>
          <t>%</t>
        </is>
      </c>
      <c r="P938" s="12">
        <f>INDIRECT_EFFECT("app","appliances_share","appliances_elasticity",0,"Overall","median")</f>
        <v/>
      </c>
    </row>
    <row r="939">
      <c r="D939" s="6" t="inlineStr">
        <is>
          <t>median</t>
        </is>
      </c>
      <c r="E939" s="6" t="inlineStr">
        <is>
          <t>Overall</t>
        </is>
      </c>
      <c r="F939" s="6" t="inlineStr">
        <is>
          <t>Deciles</t>
        </is>
      </c>
      <c r="G939" s="6" t="inlineStr">
        <is>
          <t>app</t>
        </is>
      </c>
      <c r="H939" s="6" t="inlineStr">
        <is>
          <t>%</t>
        </is>
      </c>
      <c r="Q939" s="12">
        <f>INDIRECT_EFFECT("app","appliances_share","appliances_elasticity",DECILE_ARRAY,"Overall","median")</f>
        <v/>
      </c>
    </row>
    <row r="940">
      <c r="D940" s="6" t="inlineStr">
        <is>
          <t>median</t>
        </is>
      </c>
      <c r="E940" s="6" t="inlineStr">
        <is>
          <t>Urban</t>
        </is>
      </c>
      <c r="F940" s="6" t="inlineStr">
        <is>
          <t>Basket</t>
        </is>
      </c>
      <c r="G940" s="6" t="inlineStr">
        <is>
          <t>app</t>
        </is>
      </c>
      <c r="H940" s="6" t="inlineStr">
        <is>
          <t>%</t>
        </is>
      </c>
      <c r="P940" s="12">
        <f>INDIRECT_EFFECT("app","appliances_share","appliances_elasticity",0,"Urban","median")</f>
        <v/>
      </c>
    </row>
    <row r="941">
      <c r="D941" s="6" t="inlineStr">
        <is>
          <t>median</t>
        </is>
      </c>
      <c r="E941" s="6" t="inlineStr">
        <is>
          <t>Urban</t>
        </is>
      </c>
      <c r="F941" s="6" t="inlineStr">
        <is>
          <t>Deciles</t>
        </is>
      </c>
      <c r="G941" s="6" t="inlineStr">
        <is>
          <t>app</t>
        </is>
      </c>
      <c r="H941" s="6" t="inlineStr">
        <is>
          <t>%</t>
        </is>
      </c>
      <c r="Q941" s="12">
        <f>INDIRECT_EFFECT("app","appliances_share","appliances_elasticity",DECILE_ARRAY,"Urban","median")</f>
        <v/>
      </c>
    </row>
    <row r="942">
      <c r="D942" s="6" t="inlineStr">
        <is>
          <t>median</t>
        </is>
      </c>
      <c r="E942" s="6" t="inlineStr">
        <is>
          <t>Rural</t>
        </is>
      </c>
      <c r="F942" s="6" t="inlineStr">
        <is>
          <t>Basket</t>
        </is>
      </c>
      <c r="G942" s="6" t="inlineStr">
        <is>
          <t>app</t>
        </is>
      </c>
      <c r="H942" s="6" t="inlineStr">
        <is>
          <t>%</t>
        </is>
      </c>
      <c r="P942" s="12">
        <f>INDIRECT_EFFECT("app","appliances_share","appliances_elasticity",0,"Rural","median")</f>
        <v/>
      </c>
    </row>
    <row r="943">
      <c r="D943" s="6" t="inlineStr">
        <is>
          <t>median</t>
        </is>
      </c>
      <c r="E943" s="6" t="inlineStr">
        <is>
          <t>Rural</t>
        </is>
      </c>
      <c r="F943" s="6" t="inlineStr">
        <is>
          <t>Deciles</t>
        </is>
      </c>
      <c r="G943" s="6" t="inlineStr">
        <is>
          <t>app</t>
        </is>
      </c>
      <c r="H943" s="6" t="inlineStr">
        <is>
          <t>%</t>
        </is>
      </c>
      <c r="Q943" s="12">
        <f>INDIRECT_EFFECT("app","appliances_share","appliances_elasticity",DECILE_ARRAY,"Rural","median")</f>
        <v/>
      </c>
    </row>
    <row r="944">
      <c r="D944" s="6" t="inlineStr">
        <is>
          <t>p25</t>
        </is>
      </c>
      <c r="E944" s="6" t="inlineStr">
        <is>
          <t>Overall</t>
        </is>
      </c>
      <c r="F944" s="6" t="inlineStr">
        <is>
          <t>Basket</t>
        </is>
      </c>
      <c r="G944" s="6" t="inlineStr">
        <is>
          <t>app</t>
        </is>
      </c>
      <c r="H944" s="6" t="inlineStr">
        <is>
          <t>%</t>
        </is>
      </c>
      <c r="P944" s="12">
        <f>INDIRECT_EFFECT("app","appliances_share","appliances_elasticity",0,"Overall","p25")</f>
        <v/>
      </c>
    </row>
    <row r="945">
      <c r="D945" s="6" t="inlineStr">
        <is>
          <t>p25</t>
        </is>
      </c>
      <c r="E945" s="6" t="inlineStr">
        <is>
          <t>Overall</t>
        </is>
      </c>
      <c r="F945" s="6" t="inlineStr">
        <is>
          <t>Deciles</t>
        </is>
      </c>
      <c r="G945" s="6" t="inlineStr">
        <is>
          <t>app</t>
        </is>
      </c>
      <c r="H945" s="6" t="inlineStr">
        <is>
          <t>%</t>
        </is>
      </c>
      <c r="Q945" s="12">
        <f>INDIRECT_EFFECT("app","appliances_share","appliances_elasticity",DECILE_ARRAY,"Overall","p25")</f>
        <v/>
      </c>
    </row>
    <row r="946">
      <c r="D946" s="6" t="inlineStr">
        <is>
          <t>p25</t>
        </is>
      </c>
      <c r="E946" s="6" t="inlineStr">
        <is>
          <t>Urban</t>
        </is>
      </c>
      <c r="F946" s="6" t="inlineStr">
        <is>
          <t>Basket</t>
        </is>
      </c>
      <c r="G946" s="6" t="inlineStr">
        <is>
          <t>app</t>
        </is>
      </c>
      <c r="H946" s="6" t="inlineStr">
        <is>
          <t>%</t>
        </is>
      </c>
      <c r="P946" s="12">
        <f>INDIRECT_EFFECT("app","appliances_share","appliances_elasticity",0,"Urban","p25")</f>
        <v/>
      </c>
    </row>
    <row r="947">
      <c r="D947" s="6" t="inlineStr">
        <is>
          <t>p25</t>
        </is>
      </c>
      <c r="E947" s="6" t="inlineStr">
        <is>
          <t>Urban</t>
        </is>
      </c>
      <c r="F947" s="6" t="inlineStr">
        <is>
          <t>Deciles</t>
        </is>
      </c>
      <c r="G947" s="6" t="inlineStr">
        <is>
          <t>app</t>
        </is>
      </c>
      <c r="H947" s="6" t="inlineStr">
        <is>
          <t>%</t>
        </is>
      </c>
      <c r="Q947" s="12">
        <f>INDIRECT_EFFECT("app","appliances_share","appliances_elasticity",DECILE_ARRAY,"Urban","p25")</f>
        <v/>
      </c>
    </row>
    <row r="948">
      <c r="D948" s="6" t="inlineStr">
        <is>
          <t>p25</t>
        </is>
      </c>
      <c r="E948" s="6" t="inlineStr">
        <is>
          <t>Rural</t>
        </is>
      </c>
      <c r="F948" s="6" t="inlineStr">
        <is>
          <t>Basket</t>
        </is>
      </c>
      <c r="G948" s="6" t="inlineStr">
        <is>
          <t>app</t>
        </is>
      </c>
      <c r="H948" s="6" t="inlineStr">
        <is>
          <t>%</t>
        </is>
      </c>
      <c r="P948" s="12">
        <f>INDIRECT_EFFECT("app","appliances_share","appliances_elasticity",0,"Rural","p25")</f>
        <v/>
      </c>
    </row>
    <row r="949">
      <c r="D949" s="6" t="inlineStr">
        <is>
          <t>p25</t>
        </is>
      </c>
      <c r="E949" s="6" t="inlineStr">
        <is>
          <t>Rural</t>
        </is>
      </c>
      <c r="F949" s="6" t="inlineStr">
        <is>
          <t>Deciles</t>
        </is>
      </c>
      <c r="G949" s="6" t="inlineStr">
        <is>
          <t>app</t>
        </is>
      </c>
      <c r="H949" s="6" t="inlineStr">
        <is>
          <t>%</t>
        </is>
      </c>
      <c r="Q949" s="12">
        <f>INDIRECT_EFFECT("app","appliances_share","appliances_elasticity",DECILE_ARRAY,"Rural","p25")</f>
        <v/>
      </c>
    </row>
    <row r="950">
      <c r="D950" s="6" t="inlineStr">
        <is>
          <t>p75</t>
        </is>
      </c>
      <c r="E950" s="6" t="inlineStr">
        <is>
          <t>Overall</t>
        </is>
      </c>
      <c r="F950" s="6" t="inlineStr">
        <is>
          <t>Basket</t>
        </is>
      </c>
      <c r="G950" s="6" t="inlineStr">
        <is>
          <t>app</t>
        </is>
      </c>
      <c r="H950" s="6" t="inlineStr">
        <is>
          <t>%</t>
        </is>
      </c>
      <c r="P950" s="12">
        <f>INDIRECT_EFFECT("app","appliances_share","appliances_elasticity",0,"Overall","p75")</f>
        <v/>
      </c>
    </row>
    <row r="951">
      <c r="D951" s="6" t="inlineStr">
        <is>
          <t>p75</t>
        </is>
      </c>
      <c r="E951" s="6" t="inlineStr">
        <is>
          <t>Overall</t>
        </is>
      </c>
      <c r="F951" s="6" t="inlineStr">
        <is>
          <t>Deciles</t>
        </is>
      </c>
      <c r="G951" s="6" t="inlineStr">
        <is>
          <t>app</t>
        </is>
      </c>
      <c r="H951" s="6" t="inlineStr">
        <is>
          <t>%</t>
        </is>
      </c>
      <c r="Q951" s="12">
        <f>INDIRECT_EFFECT("app","appliances_share","appliances_elasticity",DECILE_ARRAY,"Overall","p75")</f>
        <v/>
      </c>
    </row>
    <row r="952">
      <c r="D952" s="6" t="inlineStr">
        <is>
          <t>p75</t>
        </is>
      </c>
      <c r="E952" s="6" t="inlineStr">
        <is>
          <t>Urban</t>
        </is>
      </c>
      <c r="F952" s="6" t="inlineStr">
        <is>
          <t>Basket</t>
        </is>
      </c>
      <c r="G952" s="6" t="inlineStr">
        <is>
          <t>app</t>
        </is>
      </c>
      <c r="H952" s="6" t="inlineStr">
        <is>
          <t>%</t>
        </is>
      </c>
      <c r="P952" s="12">
        <f>INDIRECT_EFFECT("app","appliances_share","appliances_elasticity",0,"Urban","p75")</f>
        <v/>
      </c>
    </row>
    <row r="953">
      <c r="D953" s="6" t="inlineStr">
        <is>
          <t>p75</t>
        </is>
      </c>
      <c r="E953" s="6" t="inlineStr">
        <is>
          <t>Urban</t>
        </is>
      </c>
      <c r="F953" s="6" t="inlineStr">
        <is>
          <t>Deciles</t>
        </is>
      </c>
      <c r="G953" s="6" t="inlineStr">
        <is>
          <t>app</t>
        </is>
      </c>
      <c r="H953" s="6" t="inlineStr">
        <is>
          <t>%</t>
        </is>
      </c>
      <c r="Q953" s="12">
        <f>INDIRECT_EFFECT("app","appliances_share","appliances_elasticity",DECILE_ARRAY,"Urban","p75")</f>
        <v/>
      </c>
    </row>
    <row r="954">
      <c r="D954" s="6" t="inlineStr">
        <is>
          <t>p75</t>
        </is>
      </c>
      <c r="E954" s="6" t="inlineStr">
        <is>
          <t>Rural</t>
        </is>
      </c>
      <c r="F954" s="6" t="inlineStr">
        <is>
          <t>Basket</t>
        </is>
      </c>
      <c r="G954" s="6" t="inlineStr">
        <is>
          <t>app</t>
        </is>
      </c>
      <c r="H954" s="6" t="inlineStr">
        <is>
          <t>%</t>
        </is>
      </c>
      <c r="P954" s="12">
        <f>INDIRECT_EFFECT("app","appliances_share","appliances_elasticity",0,"Rural","p75")</f>
        <v/>
      </c>
    </row>
    <row r="955">
      <c r="D955" s="6" t="inlineStr">
        <is>
          <t>p75</t>
        </is>
      </c>
      <c r="E955" s="6" t="inlineStr">
        <is>
          <t>Rural</t>
        </is>
      </c>
      <c r="F955" s="6" t="inlineStr">
        <is>
          <t>Deciles</t>
        </is>
      </c>
      <c r="G955" s="6" t="inlineStr">
        <is>
          <t>app</t>
        </is>
      </c>
      <c r="H955" s="6" t="inlineStr">
        <is>
          <t>%</t>
        </is>
      </c>
      <c r="Q955" s="12">
        <f>INDIRECT_EFFECT("app","appliances_share","appliances_elasticity",DECILE_ARRAY,"Rural","p75")</f>
        <v/>
      </c>
    </row>
    <row r="956"/>
    <row r="957">
      <c r="C957" s="7" t="inlineStr">
        <is>
          <t>Chemicals Indirect Effect (% Total Consumption)</t>
        </is>
      </c>
      <c r="G957" s="6" t="inlineStr">
        <is>
          <t>che</t>
        </is>
      </c>
      <c r="O957" s="8" t="inlineStr">
        <is>
          <t>Decile --&gt;</t>
        </is>
      </c>
      <c r="Q957" s="8" t="n">
        <v>1</v>
      </c>
      <c r="R957" s="8" t="n">
        <v>2</v>
      </c>
      <c r="S957" s="8" t="n">
        <v>3</v>
      </c>
      <c r="T957" s="8" t="n">
        <v>4</v>
      </c>
      <c r="U957" s="8" t="n">
        <v>5</v>
      </c>
      <c r="V957" s="8" t="n">
        <v>6</v>
      </c>
      <c r="W957" s="8" t="n">
        <v>7</v>
      </c>
      <c r="X957" s="8" t="n">
        <v>8</v>
      </c>
      <c r="Y957" s="8" t="n">
        <v>9</v>
      </c>
      <c r="Z957" s="8" t="n">
        <v>10</v>
      </c>
    </row>
    <row r="958">
      <c r="D958" s="6" t="inlineStr">
        <is>
          <t>mean</t>
        </is>
      </c>
      <c r="E958" s="6" t="inlineStr">
        <is>
          <t>Overall</t>
        </is>
      </c>
      <c r="F958" s="6" t="inlineStr">
        <is>
          <t>Basket</t>
        </is>
      </c>
      <c r="G958" s="6" t="inlineStr">
        <is>
          <t>che</t>
        </is>
      </c>
      <c r="H958" s="6" t="inlineStr">
        <is>
          <t>%</t>
        </is>
      </c>
      <c r="P958" s="12">
        <f>INDIRECT_EFFECT("che","chemicals_share","chemicals_elasticity",0,"Overall","mean")</f>
        <v/>
      </c>
    </row>
    <row r="959">
      <c r="D959" s="6" t="inlineStr">
        <is>
          <t>mean</t>
        </is>
      </c>
      <c r="E959" s="6" t="inlineStr">
        <is>
          <t>Overall</t>
        </is>
      </c>
      <c r="F959" s="6" t="inlineStr">
        <is>
          <t>Deciles</t>
        </is>
      </c>
      <c r="G959" s="6" t="inlineStr">
        <is>
          <t>che</t>
        </is>
      </c>
      <c r="H959" s="6" t="inlineStr">
        <is>
          <t>%</t>
        </is>
      </c>
      <c r="Q959" s="12">
        <f>INDIRECT_EFFECT("che","chemicals_share","chemicals_elasticity",DECILE_ARRAY,"Overall","mean")</f>
        <v/>
      </c>
    </row>
    <row r="960">
      <c r="D960" s="6" t="inlineStr">
        <is>
          <t>mean</t>
        </is>
      </c>
      <c r="E960" s="6" t="inlineStr">
        <is>
          <t>Urban</t>
        </is>
      </c>
      <c r="F960" s="6" t="inlineStr">
        <is>
          <t>Basket</t>
        </is>
      </c>
      <c r="G960" s="6" t="inlineStr">
        <is>
          <t>che</t>
        </is>
      </c>
      <c r="H960" s="6" t="inlineStr">
        <is>
          <t>%</t>
        </is>
      </c>
      <c r="P960" s="12">
        <f>INDIRECT_EFFECT("che","chemicals_share","chemicals_elasticity",0,"Urban","mean")</f>
        <v/>
      </c>
    </row>
    <row r="961">
      <c r="D961" s="6" t="inlineStr">
        <is>
          <t>mean</t>
        </is>
      </c>
      <c r="E961" s="6" t="inlineStr">
        <is>
          <t>Urban</t>
        </is>
      </c>
      <c r="F961" s="6" t="inlineStr">
        <is>
          <t>Deciles</t>
        </is>
      </c>
      <c r="G961" s="6" t="inlineStr">
        <is>
          <t>che</t>
        </is>
      </c>
      <c r="H961" s="6" t="inlineStr">
        <is>
          <t>%</t>
        </is>
      </c>
      <c r="Q961" s="12">
        <f>INDIRECT_EFFECT("che","chemicals_share","chemicals_elasticity",DECILE_ARRAY,"Urban","mean")</f>
        <v/>
      </c>
    </row>
    <row r="962">
      <c r="D962" s="6" t="inlineStr">
        <is>
          <t>mean</t>
        </is>
      </c>
      <c r="E962" s="6" t="inlineStr">
        <is>
          <t>Rural</t>
        </is>
      </c>
      <c r="F962" s="6" t="inlineStr">
        <is>
          <t>Basket</t>
        </is>
      </c>
      <c r="G962" s="6" t="inlineStr">
        <is>
          <t>che</t>
        </is>
      </c>
      <c r="H962" s="6" t="inlineStr">
        <is>
          <t>%</t>
        </is>
      </c>
      <c r="P962" s="12">
        <f>INDIRECT_EFFECT("che","chemicals_share","chemicals_elasticity",0,"Rural","mean")</f>
        <v/>
      </c>
    </row>
    <row r="963">
      <c r="D963" s="6" t="inlineStr">
        <is>
          <t>mean</t>
        </is>
      </c>
      <c r="E963" s="6" t="inlineStr">
        <is>
          <t>Rural</t>
        </is>
      </c>
      <c r="F963" s="6" t="inlineStr">
        <is>
          <t>Deciles</t>
        </is>
      </c>
      <c r="G963" s="6" t="inlineStr">
        <is>
          <t>che</t>
        </is>
      </c>
      <c r="H963" s="6" t="inlineStr">
        <is>
          <t>%</t>
        </is>
      </c>
      <c r="Q963" s="12">
        <f>INDIRECT_EFFECT("che","chemicals_share","chemicals_elasticity",DECILE_ARRAY,"Rural","mean")</f>
        <v/>
      </c>
    </row>
    <row r="964">
      <c r="D964" s="6" t="inlineStr">
        <is>
          <t>median</t>
        </is>
      </c>
      <c r="E964" s="6" t="inlineStr">
        <is>
          <t>Overall</t>
        </is>
      </c>
      <c r="F964" s="6" t="inlineStr">
        <is>
          <t>Basket</t>
        </is>
      </c>
      <c r="G964" s="6" t="inlineStr">
        <is>
          <t>che</t>
        </is>
      </c>
      <c r="H964" s="6" t="inlineStr">
        <is>
          <t>%</t>
        </is>
      </c>
      <c r="P964" s="12">
        <f>INDIRECT_EFFECT("che","chemicals_share","chemicals_elasticity",0,"Overall","median")</f>
        <v/>
      </c>
    </row>
    <row r="965">
      <c r="D965" s="6" t="inlineStr">
        <is>
          <t>median</t>
        </is>
      </c>
      <c r="E965" s="6" t="inlineStr">
        <is>
          <t>Overall</t>
        </is>
      </c>
      <c r="F965" s="6" t="inlineStr">
        <is>
          <t>Deciles</t>
        </is>
      </c>
      <c r="G965" s="6" t="inlineStr">
        <is>
          <t>che</t>
        </is>
      </c>
      <c r="H965" s="6" t="inlineStr">
        <is>
          <t>%</t>
        </is>
      </c>
      <c r="Q965" s="12">
        <f>INDIRECT_EFFECT("che","chemicals_share","chemicals_elasticity",DECILE_ARRAY,"Overall","median")</f>
        <v/>
      </c>
    </row>
    <row r="966">
      <c r="D966" s="6" t="inlineStr">
        <is>
          <t>median</t>
        </is>
      </c>
      <c r="E966" s="6" t="inlineStr">
        <is>
          <t>Urban</t>
        </is>
      </c>
      <c r="F966" s="6" t="inlineStr">
        <is>
          <t>Basket</t>
        </is>
      </c>
      <c r="G966" s="6" t="inlineStr">
        <is>
          <t>che</t>
        </is>
      </c>
      <c r="H966" s="6" t="inlineStr">
        <is>
          <t>%</t>
        </is>
      </c>
      <c r="P966" s="12">
        <f>INDIRECT_EFFECT("che","chemicals_share","chemicals_elasticity",0,"Urban","median")</f>
        <v/>
      </c>
    </row>
    <row r="967">
      <c r="D967" s="6" t="inlineStr">
        <is>
          <t>median</t>
        </is>
      </c>
      <c r="E967" s="6" t="inlineStr">
        <is>
          <t>Urban</t>
        </is>
      </c>
      <c r="F967" s="6" t="inlineStr">
        <is>
          <t>Deciles</t>
        </is>
      </c>
      <c r="G967" s="6" t="inlineStr">
        <is>
          <t>che</t>
        </is>
      </c>
      <c r="H967" s="6" t="inlineStr">
        <is>
          <t>%</t>
        </is>
      </c>
      <c r="Q967" s="12">
        <f>INDIRECT_EFFECT("che","chemicals_share","chemicals_elasticity",DECILE_ARRAY,"Urban","median")</f>
        <v/>
      </c>
    </row>
    <row r="968">
      <c r="D968" s="6" t="inlineStr">
        <is>
          <t>median</t>
        </is>
      </c>
      <c r="E968" s="6" t="inlineStr">
        <is>
          <t>Rural</t>
        </is>
      </c>
      <c r="F968" s="6" t="inlineStr">
        <is>
          <t>Basket</t>
        </is>
      </c>
      <c r="G968" s="6" t="inlineStr">
        <is>
          <t>che</t>
        </is>
      </c>
      <c r="H968" s="6" t="inlineStr">
        <is>
          <t>%</t>
        </is>
      </c>
      <c r="P968" s="12">
        <f>INDIRECT_EFFECT("che","chemicals_share","chemicals_elasticity",0,"Rural","median")</f>
        <v/>
      </c>
    </row>
    <row r="969">
      <c r="D969" s="6" t="inlineStr">
        <is>
          <t>median</t>
        </is>
      </c>
      <c r="E969" s="6" t="inlineStr">
        <is>
          <t>Rural</t>
        </is>
      </c>
      <c r="F969" s="6" t="inlineStr">
        <is>
          <t>Deciles</t>
        </is>
      </c>
      <c r="G969" s="6" t="inlineStr">
        <is>
          <t>che</t>
        </is>
      </c>
      <c r="H969" s="6" t="inlineStr">
        <is>
          <t>%</t>
        </is>
      </c>
      <c r="Q969" s="12">
        <f>INDIRECT_EFFECT("che","chemicals_share","chemicals_elasticity",DECILE_ARRAY,"Rural","median")</f>
        <v/>
      </c>
    </row>
    <row r="970">
      <c r="D970" s="6" t="inlineStr">
        <is>
          <t>p25</t>
        </is>
      </c>
      <c r="E970" s="6" t="inlineStr">
        <is>
          <t>Overall</t>
        </is>
      </c>
      <c r="F970" s="6" t="inlineStr">
        <is>
          <t>Basket</t>
        </is>
      </c>
      <c r="G970" s="6" t="inlineStr">
        <is>
          <t>che</t>
        </is>
      </c>
      <c r="H970" s="6" t="inlineStr">
        <is>
          <t>%</t>
        </is>
      </c>
      <c r="P970" s="12">
        <f>INDIRECT_EFFECT("che","chemicals_share","chemicals_elasticity",0,"Overall","p25")</f>
        <v/>
      </c>
    </row>
    <row r="971">
      <c r="D971" s="6" t="inlineStr">
        <is>
          <t>p25</t>
        </is>
      </c>
      <c r="E971" s="6" t="inlineStr">
        <is>
          <t>Overall</t>
        </is>
      </c>
      <c r="F971" s="6" t="inlineStr">
        <is>
          <t>Deciles</t>
        </is>
      </c>
      <c r="G971" s="6" t="inlineStr">
        <is>
          <t>che</t>
        </is>
      </c>
      <c r="H971" s="6" t="inlineStr">
        <is>
          <t>%</t>
        </is>
      </c>
      <c r="Q971" s="12">
        <f>INDIRECT_EFFECT("che","chemicals_share","chemicals_elasticity",DECILE_ARRAY,"Overall","p25")</f>
        <v/>
      </c>
    </row>
    <row r="972">
      <c r="D972" s="6" t="inlineStr">
        <is>
          <t>p25</t>
        </is>
      </c>
      <c r="E972" s="6" t="inlineStr">
        <is>
          <t>Urban</t>
        </is>
      </c>
      <c r="F972" s="6" t="inlineStr">
        <is>
          <t>Basket</t>
        </is>
      </c>
      <c r="G972" s="6" t="inlineStr">
        <is>
          <t>che</t>
        </is>
      </c>
      <c r="H972" s="6" t="inlineStr">
        <is>
          <t>%</t>
        </is>
      </c>
      <c r="P972" s="12">
        <f>INDIRECT_EFFECT("che","chemicals_share","chemicals_elasticity",0,"Urban","p25")</f>
        <v/>
      </c>
    </row>
    <row r="973">
      <c r="D973" s="6" t="inlineStr">
        <is>
          <t>p25</t>
        </is>
      </c>
      <c r="E973" s="6" t="inlineStr">
        <is>
          <t>Urban</t>
        </is>
      </c>
      <c r="F973" s="6" t="inlineStr">
        <is>
          <t>Deciles</t>
        </is>
      </c>
      <c r="G973" s="6" t="inlineStr">
        <is>
          <t>che</t>
        </is>
      </c>
      <c r="H973" s="6" t="inlineStr">
        <is>
          <t>%</t>
        </is>
      </c>
      <c r="Q973" s="12">
        <f>INDIRECT_EFFECT("che","chemicals_share","chemicals_elasticity",DECILE_ARRAY,"Urban","p25")</f>
        <v/>
      </c>
    </row>
    <row r="974">
      <c r="D974" s="6" t="inlineStr">
        <is>
          <t>p25</t>
        </is>
      </c>
      <c r="E974" s="6" t="inlineStr">
        <is>
          <t>Rural</t>
        </is>
      </c>
      <c r="F974" s="6" t="inlineStr">
        <is>
          <t>Basket</t>
        </is>
      </c>
      <c r="G974" s="6" t="inlineStr">
        <is>
          <t>che</t>
        </is>
      </c>
      <c r="H974" s="6" t="inlineStr">
        <is>
          <t>%</t>
        </is>
      </c>
      <c r="P974" s="12">
        <f>INDIRECT_EFFECT("che","chemicals_share","chemicals_elasticity",0,"Rural","p25")</f>
        <v/>
      </c>
    </row>
    <row r="975">
      <c r="D975" s="6" t="inlineStr">
        <is>
          <t>p25</t>
        </is>
      </c>
      <c r="E975" s="6" t="inlineStr">
        <is>
          <t>Rural</t>
        </is>
      </c>
      <c r="F975" s="6" t="inlineStr">
        <is>
          <t>Deciles</t>
        </is>
      </c>
      <c r="G975" s="6" t="inlineStr">
        <is>
          <t>che</t>
        </is>
      </c>
      <c r="H975" s="6" t="inlineStr">
        <is>
          <t>%</t>
        </is>
      </c>
      <c r="Q975" s="12">
        <f>INDIRECT_EFFECT("che","chemicals_share","chemicals_elasticity",DECILE_ARRAY,"Rural","p25")</f>
        <v/>
      </c>
    </row>
    <row r="976">
      <c r="D976" s="6" t="inlineStr">
        <is>
          <t>p75</t>
        </is>
      </c>
      <c r="E976" s="6" t="inlineStr">
        <is>
          <t>Overall</t>
        </is>
      </c>
      <c r="F976" s="6" t="inlineStr">
        <is>
          <t>Basket</t>
        </is>
      </c>
      <c r="G976" s="6" t="inlineStr">
        <is>
          <t>che</t>
        </is>
      </c>
      <c r="H976" s="6" t="inlineStr">
        <is>
          <t>%</t>
        </is>
      </c>
      <c r="P976" s="12">
        <f>INDIRECT_EFFECT("che","chemicals_share","chemicals_elasticity",0,"Overall","p75")</f>
        <v/>
      </c>
    </row>
    <row r="977">
      <c r="D977" s="6" t="inlineStr">
        <is>
          <t>p75</t>
        </is>
      </c>
      <c r="E977" s="6" t="inlineStr">
        <is>
          <t>Overall</t>
        </is>
      </c>
      <c r="F977" s="6" t="inlineStr">
        <is>
          <t>Deciles</t>
        </is>
      </c>
      <c r="G977" s="6" t="inlineStr">
        <is>
          <t>che</t>
        </is>
      </c>
      <c r="H977" s="6" t="inlineStr">
        <is>
          <t>%</t>
        </is>
      </c>
      <c r="Q977" s="12">
        <f>INDIRECT_EFFECT("che","chemicals_share","chemicals_elasticity",DECILE_ARRAY,"Overall","p75")</f>
        <v/>
      </c>
    </row>
    <row r="978">
      <c r="D978" s="6" t="inlineStr">
        <is>
          <t>p75</t>
        </is>
      </c>
      <c r="E978" s="6" t="inlineStr">
        <is>
          <t>Urban</t>
        </is>
      </c>
      <c r="F978" s="6" t="inlineStr">
        <is>
          <t>Basket</t>
        </is>
      </c>
      <c r="G978" s="6" t="inlineStr">
        <is>
          <t>che</t>
        </is>
      </c>
      <c r="H978" s="6" t="inlineStr">
        <is>
          <t>%</t>
        </is>
      </c>
      <c r="P978" s="12">
        <f>INDIRECT_EFFECT("che","chemicals_share","chemicals_elasticity",0,"Urban","p75")</f>
        <v/>
      </c>
    </row>
    <row r="979">
      <c r="D979" s="6" t="inlineStr">
        <is>
          <t>p75</t>
        </is>
      </c>
      <c r="E979" s="6" t="inlineStr">
        <is>
          <t>Urban</t>
        </is>
      </c>
      <c r="F979" s="6" t="inlineStr">
        <is>
          <t>Deciles</t>
        </is>
      </c>
      <c r="G979" s="6" t="inlineStr">
        <is>
          <t>che</t>
        </is>
      </c>
      <c r="H979" s="6" t="inlineStr">
        <is>
          <t>%</t>
        </is>
      </c>
      <c r="Q979" s="12">
        <f>INDIRECT_EFFECT("che","chemicals_share","chemicals_elasticity",DECILE_ARRAY,"Urban","p75")</f>
        <v/>
      </c>
    </row>
    <row r="980">
      <c r="D980" s="6" t="inlineStr">
        <is>
          <t>p75</t>
        </is>
      </c>
      <c r="E980" s="6" t="inlineStr">
        <is>
          <t>Rural</t>
        </is>
      </c>
      <c r="F980" s="6" t="inlineStr">
        <is>
          <t>Basket</t>
        </is>
      </c>
      <c r="G980" s="6" t="inlineStr">
        <is>
          <t>che</t>
        </is>
      </c>
      <c r="H980" s="6" t="inlineStr">
        <is>
          <t>%</t>
        </is>
      </c>
      <c r="P980" s="12">
        <f>INDIRECT_EFFECT("che","chemicals_share","chemicals_elasticity",0,"Rural","p75")</f>
        <v/>
      </c>
    </row>
    <row r="981">
      <c r="D981" s="6" t="inlineStr">
        <is>
          <t>p75</t>
        </is>
      </c>
      <c r="E981" s="6" t="inlineStr">
        <is>
          <t>Rural</t>
        </is>
      </c>
      <c r="F981" s="6" t="inlineStr">
        <is>
          <t>Deciles</t>
        </is>
      </c>
      <c r="G981" s="6" t="inlineStr">
        <is>
          <t>che</t>
        </is>
      </c>
      <c r="H981" s="6" t="inlineStr">
        <is>
          <t>%</t>
        </is>
      </c>
      <c r="Q981" s="12">
        <f>INDIRECT_EFFECT("che","chemicals_share","chemicals_elasticity",DECILE_ARRAY,"Rural","p75")</f>
        <v/>
      </c>
    </row>
    <row r="982"/>
    <row r="983">
      <c r="C983" s="7" t="inlineStr">
        <is>
          <t>Clothing Indirect Effect (% Total Consumption)</t>
        </is>
      </c>
      <c r="G983" s="6" t="inlineStr">
        <is>
          <t>clo</t>
        </is>
      </c>
      <c r="O983" s="8" t="inlineStr">
        <is>
          <t>Decile --&gt;</t>
        </is>
      </c>
      <c r="Q983" s="8" t="n">
        <v>1</v>
      </c>
      <c r="R983" s="8" t="n">
        <v>2</v>
      </c>
      <c r="S983" s="8" t="n">
        <v>3</v>
      </c>
      <c r="T983" s="8" t="n">
        <v>4</v>
      </c>
      <c r="U983" s="8" t="n">
        <v>5</v>
      </c>
      <c r="V983" s="8" t="n">
        <v>6</v>
      </c>
      <c r="W983" s="8" t="n">
        <v>7</v>
      </c>
      <c r="X983" s="8" t="n">
        <v>8</v>
      </c>
      <c r="Y983" s="8" t="n">
        <v>9</v>
      </c>
      <c r="Z983" s="8" t="n">
        <v>10</v>
      </c>
    </row>
    <row r="984">
      <c r="D984" s="6" t="inlineStr">
        <is>
          <t>mean</t>
        </is>
      </c>
      <c r="E984" s="6" t="inlineStr">
        <is>
          <t>Overall</t>
        </is>
      </c>
      <c r="F984" s="6" t="inlineStr">
        <is>
          <t>Basket</t>
        </is>
      </c>
      <c r="G984" s="6" t="inlineStr">
        <is>
          <t>clo</t>
        </is>
      </c>
      <c r="H984" s="6" t="inlineStr">
        <is>
          <t>%</t>
        </is>
      </c>
      <c r="P984" s="12">
        <f>INDIRECT_EFFECT("clo","clothing_share","clothing_elasticity",0,"Overall","mean")</f>
        <v/>
      </c>
    </row>
    <row r="985">
      <c r="D985" s="6" t="inlineStr">
        <is>
          <t>mean</t>
        </is>
      </c>
      <c r="E985" s="6" t="inlineStr">
        <is>
          <t>Overall</t>
        </is>
      </c>
      <c r="F985" s="6" t="inlineStr">
        <is>
          <t>Deciles</t>
        </is>
      </c>
      <c r="G985" s="6" t="inlineStr">
        <is>
          <t>clo</t>
        </is>
      </c>
      <c r="H985" s="6" t="inlineStr">
        <is>
          <t>%</t>
        </is>
      </c>
      <c r="Q985" s="12">
        <f>INDIRECT_EFFECT("clo","clothing_share","clothing_elasticity",DECILE_ARRAY,"Overall","mean")</f>
        <v/>
      </c>
    </row>
    <row r="986">
      <c r="D986" s="6" t="inlineStr">
        <is>
          <t>mean</t>
        </is>
      </c>
      <c r="E986" s="6" t="inlineStr">
        <is>
          <t>Urban</t>
        </is>
      </c>
      <c r="F986" s="6" t="inlineStr">
        <is>
          <t>Basket</t>
        </is>
      </c>
      <c r="G986" s="6" t="inlineStr">
        <is>
          <t>clo</t>
        </is>
      </c>
      <c r="H986" s="6" t="inlineStr">
        <is>
          <t>%</t>
        </is>
      </c>
      <c r="P986" s="12">
        <f>INDIRECT_EFFECT("clo","clothing_share","clothing_elasticity",0,"Urban","mean")</f>
        <v/>
      </c>
    </row>
    <row r="987">
      <c r="D987" s="6" t="inlineStr">
        <is>
          <t>mean</t>
        </is>
      </c>
      <c r="E987" s="6" t="inlineStr">
        <is>
          <t>Urban</t>
        </is>
      </c>
      <c r="F987" s="6" t="inlineStr">
        <is>
          <t>Deciles</t>
        </is>
      </c>
      <c r="G987" s="6" t="inlineStr">
        <is>
          <t>clo</t>
        </is>
      </c>
      <c r="H987" s="6" t="inlineStr">
        <is>
          <t>%</t>
        </is>
      </c>
      <c r="Q987" s="12">
        <f>INDIRECT_EFFECT("clo","clothing_share","clothing_elasticity",DECILE_ARRAY,"Urban","mean")</f>
        <v/>
      </c>
    </row>
    <row r="988">
      <c r="D988" s="6" t="inlineStr">
        <is>
          <t>mean</t>
        </is>
      </c>
      <c r="E988" s="6" t="inlineStr">
        <is>
          <t>Rural</t>
        </is>
      </c>
      <c r="F988" s="6" t="inlineStr">
        <is>
          <t>Basket</t>
        </is>
      </c>
      <c r="G988" s="6" t="inlineStr">
        <is>
          <t>clo</t>
        </is>
      </c>
      <c r="H988" s="6" t="inlineStr">
        <is>
          <t>%</t>
        </is>
      </c>
      <c r="P988" s="12">
        <f>INDIRECT_EFFECT("clo","clothing_share","clothing_elasticity",0,"Rural","mean")</f>
        <v/>
      </c>
    </row>
    <row r="989">
      <c r="D989" s="6" t="inlineStr">
        <is>
          <t>mean</t>
        </is>
      </c>
      <c r="E989" s="6" t="inlineStr">
        <is>
          <t>Rural</t>
        </is>
      </c>
      <c r="F989" s="6" t="inlineStr">
        <is>
          <t>Deciles</t>
        </is>
      </c>
      <c r="G989" s="6" t="inlineStr">
        <is>
          <t>clo</t>
        </is>
      </c>
      <c r="H989" s="6" t="inlineStr">
        <is>
          <t>%</t>
        </is>
      </c>
      <c r="Q989" s="12">
        <f>INDIRECT_EFFECT("clo","clothing_share","clothing_elasticity",DECILE_ARRAY,"Rural","mean")</f>
        <v/>
      </c>
    </row>
    <row r="990">
      <c r="D990" s="6" t="inlineStr">
        <is>
          <t>median</t>
        </is>
      </c>
      <c r="E990" s="6" t="inlineStr">
        <is>
          <t>Overall</t>
        </is>
      </c>
      <c r="F990" s="6" t="inlineStr">
        <is>
          <t>Basket</t>
        </is>
      </c>
      <c r="G990" s="6" t="inlineStr">
        <is>
          <t>clo</t>
        </is>
      </c>
      <c r="H990" s="6" t="inlineStr">
        <is>
          <t>%</t>
        </is>
      </c>
      <c r="P990" s="12">
        <f>INDIRECT_EFFECT("clo","clothing_share","clothing_elasticity",0,"Overall","median")</f>
        <v/>
      </c>
    </row>
    <row r="991">
      <c r="D991" s="6" t="inlineStr">
        <is>
          <t>median</t>
        </is>
      </c>
      <c r="E991" s="6" t="inlineStr">
        <is>
          <t>Overall</t>
        </is>
      </c>
      <c r="F991" s="6" t="inlineStr">
        <is>
          <t>Deciles</t>
        </is>
      </c>
      <c r="G991" s="6" t="inlineStr">
        <is>
          <t>clo</t>
        </is>
      </c>
      <c r="H991" s="6" t="inlineStr">
        <is>
          <t>%</t>
        </is>
      </c>
      <c r="Q991" s="12">
        <f>INDIRECT_EFFECT("clo","clothing_share","clothing_elasticity",DECILE_ARRAY,"Overall","median")</f>
        <v/>
      </c>
    </row>
    <row r="992">
      <c r="D992" s="6" t="inlineStr">
        <is>
          <t>median</t>
        </is>
      </c>
      <c r="E992" s="6" t="inlineStr">
        <is>
          <t>Urban</t>
        </is>
      </c>
      <c r="F992" s="6" t="inlineStr">
        <is>
          <t>Basket</t>
        </is>
      </c>
      <c r="G992" s="6" t="inlineStr">
        <is>
          <t>clo</t>
        </is>
      </c>
      <c r="H992" s="6" t="inlineStr">
        <is>
          <t>%</t>
        </is>
      </c>
      <c r="P992" s="12">
        <f>INDIRECT_EFFECT("clo","clothing_share","clothing_elasticity",0,"Urban","median")</f>
        <v/>
      </c>
    </row>
    <row r="993">
      <c r="D993" s="6" t="inlineStr">
        <is>
          <t>median</t>
        </is>
      </c>
      <c r="E993" s="6" t="inlineStr">
        <is>
          <t>Urban</t>
        </is>
      </c>
      <c r="F993" s="6" t="inlineStr">
        <is>
          <t>Deciles</t>
        </is>
      </c>
      <c r="G993" s="6" t="inlineStr">
        <is>
          <t>clo</t>
        </is>
      </c>
      <c r="H993" s="6" t="inlineStr">
        <is>
          <t>%</t>
        </is>
      </c>
      <c r="Q993" s="12">
        <f>INDIRECT_EFFECT("clo","clothing_share","clothing_elasticity",DECILE_ARRAY,"Urban","median")</f>
        <v/>
      </c>
    </row>
    <row r="994">
      <c r="D994" s="6" t="inlineStr">
        <is>
          <t>median</t>
        </is>
      </c>
      <c r="E994" s="6" t="inlineStr">
        <is>
          <t>Rural</t>
        </is>
      </c>
      <c r="F994" s="6" t="inlineStr">
        <is>
          <t>Basket</t>
        </is>
      </c>
      <c r="G994" s="6" t="inlineStr">
        <is>
          <t>clo</t>
        </is>
      </c>
      <c r="H994" s="6" t="inlineStr">
        <is>
          <t>%</t>
        </is>
      </c>
      <c r="P994" s="12">
        <f>INDIRECT_EFFECT("clo","clothing_share","clothing_elasticity",0,"Rural","median")</f>
        <v/>
      </c>
    </row>
    <row r="995">
      <c r="D995" s="6" t="inlineStr">
        <is>
          <t>median</t>
        </is>
      </c>
      <c r="E995" s="6" t="inlineStr">
        <is>
          <t>Rural</t>
        </is>
      </c>
      <c r="F995" s="6" t="inlineStr">
        <is>
          <t>Deciles</t>
        </is>
      </c>
      <c r="G995" s="6" t="inlineStr">
        <is>
          <t>clo</t>
        </is>
      </c>
      <c r="H995" s="6" t="inlineStr">
        <is>
          <t>%</t>
        </is>
      </c>
      <c r="Q995" s="12">
        <f>INDIRECT_EFFECT("clo","clothing_share","clothing_elasticity",DECILE_ARRAY,"Rural","median")</f>
        <v/>
      </c>
    </row>
    <row r="996">
      <c r="D996" s="6" t="inlineStr">
        <is>
          <t>p25</t>
        </is>
      </c>
      <c r="E996" s="6" t="inlineStr">
        <is>
          <t>Overall</t>
        </is>
      </c>
      <c r="F996" s="6" t="inlineStr">
        <is>
          <t>Basket</t>
        </is>
      </c>
      <c r="G996" s="6" t="inlineStr">
        <is>
          <t>clo</t>
        </is>
      </c>
      <c r="H996" s="6" t="inlineStr">
        <is>
          <t>%</t>
        </is>
      </c>
      <c r="P996" s="12">
        <f>INDIRECT_EFFECT("clo","clothing_share","clothing_elasticity",0,"Overall","p25")</f>
        <v/>
      </c>
    </row>
    <row r="997">
      <c r="D997" s="6" t="inlineStr">
        <is>
          <t>p25</t>
        </is>
      </c>
      <c r="E997" s="6" t="inlineStr">
        <is>
          <t>Overall</t>
        </is>
      </c>
      <c r="F997" s="6" t="inlineStr">
        <is>
          <t>Deciles</t>
        </is>
      </c>
      <c r="G997" s="6" t="inlineStr">
        <is>
          <t>clo</t>
        </is>
      </c>
      <c r="H997" s="6" t="inlineStr">
        <is>
          <t>%</t>
        </is>
      </c>
      <c r="Q997" s="12">
        <f>INDIRECT_EFFECT("clo","clothing_share","clothing_elasticity",DECILE_ARRAY,"Overall","p25")</f>
        <v/>
      </c>
    </row>
    <row r="998">
      <c r="D998" s="6" t="inlineStr">
        <is>
          <t>p25</t>
        </is>
      </c>
      <c r="E998" s="6" t="inlineStr">
        <is>
          <t>Urban</t>
        </is>
      </c>
      <c r="F998" s="6" t="inlineStr">
        <is>
          <t>Basket</t>
        </is>
      </c>
      <c r="G998" s="6" t="inlineStr">
        <is>
          <t>clo</t>
        </is>
      </c>
      <c r="H998" s="6" t="inlineStr">
        <is>
          <t>%</t>
        </is>
      </c>
      <c r="P998" s="12">
        <f>INDIRECT_EFFECT("clo","clothing_share","clothing_elasticity",0,"Urban","p25")</f>
        <v/>
      </c>
    </row>
    <row r="999">
      <c r="D999" s="6" t="inlineStr">
        <is>
          <t>p25</t>
        </is>
      </c>
      <c r="E999" s="6" t="inlineStr">
        <is>
          <t>Urban</t>
        </is>
      </c>
      <c r="F999" s="6" t="inlineStr">
        <is>
          <t>Deciles</t>
        </is>
      </c>
      <c r="G999" s="6" t="inlineStr">
        <is>
          <t>clo</t>
        </is>
      </c>
      <c r="H999" s="6" t="inlineStr">
        <is>
          <t>%</t>
        </is>
      </c>
      <c r="Q999" s="12">
        <f>INDIRECT_EFFECT("clo","clothing_share","clothing_elasticity",DECILE_ARRAY,"Urban","p25")</f>
        <v/>
      </c>
    </row>
    <row r="1000">
      <c r="D1000" s="6" t="inlineStr">
        <is>
          <t>p25</t>
        </is>
      </c>
      <c r="E1000" s="6" t="inlineStr">
        <is>
          <t>Rural</t>
        </is>
      </c>
      <c r="F1000" s="6" t="inlineStr">
        <is>
          <t>Basket</t>
        </is>
      </c>
      <c r="G1000" s="6" t="inlineStr">
        <is>
          <t>clo</t>
        </is>
      </c>
      <c r="H1000" s="6" t="inlineStr">
        <is>
          <t>%</t>
        </is>
      </c>
      <c r="P1000" s="12">
        <f>INDIRECT_EFFECT("clo","clothing_share","clothing_elasticity",0,"Rural","p25")</f>
        <v/>
      </c>
    </row>
    <row r="1001">
      <c r="D1001" s="6" t="inlineStr">
        <is>
          <t>p25</t>
        </is>
      </c>
      <c r="E1001" s="6" t="inlineStr">
        <is>
          <t>Rural</t>
        </is>
      </c>
      <c r="F1001" s="6" t="inlineStr">
        <is>
          <t>Deciles</t>
        </is>
      </c>
      <c r="G1001" s="6" t="inlineStr">
        <is>
          <t>clo</t>
        </is>
      </c>
      <c r="H1001" s="6" t="inlineStr">
        <is>
          <t>%</t>
        </is>
      </c>
      <c r="Q1001" s="12">
        <f>INDIRECT_EFFECT("clo","clothing_share","clothing_elasticity",DECILE_ARRAY,"Rural","p25")</f>
        <v/>
      </c>
    </row>
    <row r="1002">
      <c r="D1002" s="6" t="inlineStr">
        <is>
          <t>p75</t>
        </is>
      </c>
      <c r="E1002" s="6" t="inlineStr">
        <is>
          <t>Overall</t>
        </is>
      </c>
      <c r="F1002" s="6" t="inlineStr">
        <is>
          <t>Basket</t>
        </is>
      </c>
      <c r="G1002" s="6" t="inlineStr">
        <is>
          <t>clo</t>
        </is>
      </c>
      <c r="H1002" s="6" t="inlineStr">
        <is>
          <t>%</t>
        </is>
      </c>
      <c r="P1002" s="12">
        <f>INDIRECT_EFFECT("clo","clothing_share","clothing_elasticity",0,"Overall","p75")</f>
        <v/>
      </c>
    </row>
    <row r="1003">
      <c r="D1003" s="6" t="inlineStr">
        <is>
          <t>p75</t>
        </is>
      </c>
      <c r="E1003" s="6" t="inlineStr">
        <is>
          <t>Overall</t>
        </is>
      </c>
      <c r="F1003" s="6" t="inlineStr">
        <is>
          <t>Deciles</t>
        </is>
      </c>
      <c r="G1003" s="6" t="inlineStr">
        <is>
          <t>clo</t>
        </is>
      </c>
      <c r="H1003" s="6" t="inlineStr">
        <is>
          <t>%</t>
        </is>
      </c>
      <c r="Q1003" s="12">
        <f>INDIRECT_EFFECT("clo","clothing_share","clothing_elasticity",DECILE_ARRAY,"Overall","p75")</f>
        <v/>
      </c>
    </row>
    <row r="1004">
      <c r="D1004" s="6" t="inlineStr">
        <is>
          <t>p75</t>
        </is>
      </c>
      <c r="E1004" s="6" t="inlineStr">
        <is>
          <t>Urban</t>
        </is>
      </c>
      <c r="F1004" s="6" t="inlineStr">
        <is>
          <t>Basket</t>
        </is>
      </c>
      <c r="G1004" s="6" t="inlineStr">
        <is>
          <t>clo</t>
        </is>
      </c>
      <c r="H1004" s="6" t="inlineStr">
        <is>
          <t>%</t>
        </is>
      </c>
      <c r="P1004" s="12">
        <f>INDIRECT_EFFECT("clo","clothing_share","clothing_elasticity",0,"Urban","p75")</f>
        <v/>
      </c>
    </row>
    <row r="1005">
      <c r="D1005" s="6" t="inlineStr">
        <is>
          <t>p75</t>
        </is>
      </c>
      <c r="E1005" s="6" t="inlineStr">
        <is>
          <t>Urban</t>
        </is>
      </c>
      <c r="F1005" s="6" t="inlineStr">
        <is>
          <t>Deciles</t>
        </is>
      </c>
      <c r="G1005" s="6" t="inlineStr">
        <is>
          <t>clo</t>
        </is>
      </c>
      <c r="H1005" s="6" t="inlineStr">
        <is>
          <t>%</t>
        </is>
      </c>
      <c r="Q1005" s="12">
        <f>INDIRECT_EFFECT("clo","clothing_share","clothing_elasticity",DECILE_ARRAY,"Urban","p75")</f>
        <v/>
      </c>
    </row>
    <row r="1006">
      <c r="D1006" s="6" t="inlineStr">
        <is>
          <t>p75</t>
        </is>
      </c>
      <c r="E1006" s="6" t="inlineStr">
        <is>
          <t>Rural</t>
        </is>
      </c>
      <c r="F1006" s="6" t="inlineStr">
        <is>
          <t>Basket</t>
        </is>
      </c>
      <c r="G1006" s="6" t="inlineStr">
        <is>
          <t>clo</t>
        </is>
      </c>
      <c r="H1006" s="6" t="inlineStr">
        <is>
          <t>%</t>
        </is>
      </c>
      <c r="P1006" s="12">
        <f>INDIRECT_EFFECT("clo","clothing_share","clothing_elasticity",0,"Rural","p75")</f>
        <v/>
      </c>
    </row>
    <row r="1007">
      <c r="D1007" s="6" t="inlineStr">
        <is>
          <t>p75</t>
        </is>
      </c>
      <c r="E1007" s="6" t="inlineStr">
        <is>
          <t>Rural</t>
        </is>
      </c>
      <c r="F1007" s="6" t="inlineStr">
        <is>
          <t>Deciles</t>
        </is>
      </c>
      <c r="G1007" s="6" t="inlineStr">
        <is>
          <t>clo</t>
        </is>
      </c>
      <c r="H1007" s="6" t="inlineStr">
        <is>
          <t>%</t>
        </is>
      </c>
      <c r="Q1007" s="12">
        <f>INDIRECT_EFFECT("clo","clothing_share","clothing_elasticity",DECILE_ARRAY,"Rural","p75")</f>
        <v/>
      </c>
    </row>
    <row r="1008"/>
    <row r="1009">
      <c r="C1009" s="7" t="inlineStr">
        <is>
          <t>Communications Indirect Effect (% Total Consumption)</t>
        </is>
      </c>
      <c r="G1009" s="6" t="inlineStr">
        <is>
          <t>com</t>
        </is>
      </c>
      <c r="O1009" s="8" t="inlineStr">
        <is>
          <t>Decile --&gt;</t>
        </is>
      </c>
      <c r="Q1009" s="8" t="n">
        <v>1</v>
      </c>
      <c r="R1009" s="8" t="n">
        <v>2</v>
      </c>
      <c r="S1009" s="8" t="n">
        <v>3</v>
      </c>
      <c r="T1009" s="8" t="n">
        <v>4</v>
      </c>
      <c r="U1009" s="8" t="n">
        <v>5</v>
      </c>
      <c r="V1009" s="8" t="n">
        <v>6</v>
      </c>
      <c r="W1009" s="8" t="n">
        <v>7</v>
      </c>
      <c r="X1009" s="8" t="n">
        <v>8</v>
      </c>
      <c r="Y1009" s="8" t="n">
        <v>9</v>
      </c>
      <c r="Z1009" s="8" t="n">
        <v>10</v>
      </c>
    </row>
    <row r="1010">
      <c r="D1010" s="6" t="inlineStr">
        <is>
          <t>mean</t>
        </is>
      </c>
      <c r="E1010" s="6" t="inlineStr">
        <is>
          <t>Overall</t>
        </is>
      </c>
      <c r="F1010" s="6" t="inlineStr">
        <is>
          <t>Basket</t>
        </is>
      </c>
      <c r="G1010" s="6" t="inlineStr">
        <is>
          <t>com</t>
        </is>
      </c>
      <c r="H1010" s="6" t="inlineStr">
        <is>
          <t>%</t>
        </is>
      </c>
      <c r="P1010" s="12">
        <f>INDIRECT_EFFECT("com","communications_share","communications_elasticity",0,"Overall","mean")</f>
        <v/>
      </c>
    </row>
    <row r="1011">
      <c r="D1011" s="6" t="inlineStr">
        <is>
          <t>mean</t>
        </is>
      </c>
      <c r="E1011" s="6" t="inlineStr">
        <is>
          <t>Overall</t>
        </is>
      </c>
      <c r="F1011" s="6" t="inlineStr">
        <is>
          <t>Deciles</t>
        </is>
      </c>
      <c r="G1011" s="6" t="inlineStr">
        <is>
          <t>com</t>
        </is>
      </c>
      <c r="H1011" s="6" t="inlineStr">
        <is>
          <t>%</t>
        </is>
      </c>
      <c r="Q1011" s="12">
        <f>INDIRECT_EFFECT("com","communications_share","communications_elasticity",DECILE_ARRAY,"Overall","mean")</f>
        <v/>
      </c>
    </row>
    <row r="1012">
      <c r="D1012" s="6" t="inlineStr">
        <is>
          <t>mean</t>
        </is>
      </c>
      <c r="E1012" s="6" t="inlineStr">
        <is>
          <t>Urban</t>
        </is>
      </c>
      <c r="F1012" s="6" t="inlineStr">
        <is>
          <t>Basket</t>
        </is>
      </c>
      <c r="G1012" s="6" t="inlineStr">
        <is>
          <t>com</t>
        </is>
      </c>
      <c r="H1012" s="6" t="inlineStr">
        <is>
          <t>%</t>
        </is>
      </c>
      <c r="P1012" s="12">
        <f>INDIRECT_EFFECT("com","communications_share","communications_elasticity",0,"Urban","mean")</f>
        <v/>
      </c>
    </row>
    <row r="1013">
      <c r="D1013" s="6" t="inlineStr">
        <is>
          <t>mean</t>
        </is>
      </c>
      <c r="E1013" s="6" t="inlineStr">
        <is>
          <t>Urban</t>
        </is>
      </c>
      <c r="F1013" s="6" t="inlineStr">
        <is>
          <t>Deciles</t>
        </is>
      </c>
      <c r="G1013" s="6" t="inlineStr">
        <is>
          <t>com</t>
        </is>
      </c>
      <c r="H1013" s="6" t="inlineStr">
        <is>
          <t>%</t>
        </is>
      </c>
      <c r="Q1013" s="12">
        <f>INDIRECT_EFFECT("com","communications_share","communications_elasticity",DECILE_ARRAY,"Urban","mean")</f>
        <v/>
      </c>
    </row>
    <row r="1014">
      <c r="D1014" s="6" t="inlineStr">
        <is>
          <t>mean</t>
        </is>
      </c>
      <c r="E1014" s="6" t="inlineStr">
        <is>
          <t>Rural</t>
        </is>
      </c>
      <c r="F1014" s="6" t="inlineStr">
        <is>
          <t>Basket</t>
        </is>
      </c>
      <c r="G1014" s="6" t="inlineStr">
        <is>
          <t>com</t>
        </is>
      </c>
      <c r="H1014" s="6" t="inlineStr">
        <is>
          <t>%</t>
        </is>
      </c>
      <c r="P1014" s="12">
        <f>INDIRECT_EFFECT("com","communications_share","communications_elasticity",0,"Rural","mean")</f>
        <v/>
      </c>
    </row>
    <row r="1015">
      <c r="D1015" s="6" t="inlineStr">
        <is>
          <t>mean</t>
        </is>
      </c>
      <c r="E1015" s="6" t="inlineStr">
        <is>
          <t>Rural</t>
        </is>
      </c>
      <c r="F1015" s="6" t="inlineStr">
        <is>
          <t>Deciles</t>
        </is>
      </c>
      <c r="G1015" s="6" t="inlineStr">
        <is>
          <t>com</t>
        </is>
      </c>
      <c r="H1015" s="6" t="inlineStr">
        <is>
          <t>%</t>
        </is>
      </c>
      <c r="Q1015" s="12">
        <f>INDIRECT_EFFECT("com","communications_share","communications_elasticity",DECILE_ARRAY,"Rural","mean")</f>
        <v/>
      </c>
    </row>
    <row r="1016">
      <c r="D1016" s="6" t="inlineStr">
        <is>
          <t>median</t>
        </is>
      </c>
      <c r="E1016" s="6" t="inlineStr">
        <is>
          <t>Overall</t>
        </is>
      </c>
      <c r="F1016" s="6" t="inlineStr">
        <is>
          <t>Basket</t>
        </is>
      </c>
      <c r="G1016" s="6" t="inlineStr">
        <is>
          <t>com</t>
        </is>
      </c>
      <c r="H1016" s="6" t="inlineStr">
        <is>
          <t>%</t>
        </is>
      </c>
      <c r="P1016" s="12">
        <f>INDIRECT_EFFECT("com","communications_share","communications_elasticity",0,"Overall","median")</f>
        <v/>
      </c>
    </row>
    <row r="1017">
      <c r="D1017" s="6" t="inlineStr">
        <is>
          <t>median</t>
        </is>
      </c>
      <c r="E1017" s="6" t="inlineStr">
        <is>
          <t>Overall</t>
        </is>
      </c>
      <c r="F1017" s="6" t="inlineStr">
        <is>
          <t>Deciles</t>
        </is>
      </c>
      <c r="G1017" s="6" t="inlineStr">
        <is>
          <t>com</t>
        </is>
      </c>
      <c r="H1017" s="6" t="inlineStr">
        <is>
          <t>%</t>
        </is>
      </c>
      <c r="Q1017" s="12">
        <f>INDIRECT_EFFECT("com","communications_share","communications_elasticity",DECILE_ARRAY,"Overall","median")</f>
        <v/>
      </c>
    </row>
    <row r="1018">
      <c r="D1018" s="6" t="inlineStr">
        <is>
          <t>median</t>
        </is>
      </c>
      <c r="E1018" s="6" t="inlineStr">
        <is>
          <t>Urban</t>
        </is>
      </c>
      <c r="F1018" s="6" t="inlineStr">
        <is>
          <t>Basket</t>
        </is>
      </c>
      <c r="G1018" s="6" t="inlineStr">
        <is>
          <t>com</t>
        </is>
      </c>
      <c r="H1018" s="6" t="inlineStr">
        <is>
          <t>%</t>
        </is>
      </c>
      <c r="P1018" s="12">
        <f>INDIRECT_EFFECT("com","communications_share","communications_elasticity",0,"Urban","median")</f>
        <v/>
      </c>
    </row>
    <row r="1019">
      <c r="D1019" s="6" t="inlineStr">
        <is>
          <t>median</t>
        </is>
      </c>
      <c r="E1019" s="6" t="inlineStr">
        <is>
          <t>Urban</t>
        </is>
      </c>
      <c r="F1019" s="6" t="inlineStr">
        <is>
          <t>Deciles</t>
        </is>
      </c>
      <c r="G1019" s="6" t="inlineStr">
        <is>
          <t>com</t>
        </is>
      </c>
      <c r="H1019" s="6" t="inlineStr">
        <is>
          <t>%</t>
        </is>
      </c>
      <c r="Q1019" s="12">
        <f>INDIRECT_EFFECT("com","communications_share","communications_elasticity",DECILE_ARRAY,"Urban","median")</f>
        <v/>
      </c>
    </row>
    <row r="1020">
      <c r="D1020" s="6" t="inlineStr">
        <is>
          <t>median</t>
        </is>
      </c>
      <c r="E1020" s="6" t="inlineStr">
        <is>
          <t>Rural</t>
        </is>
      </c>
      <c r="F1020" s="6" t="inlineStr">
        <is>
          <t>Basket</t>
        </is>
      </c>
      <c r="G1020" s="6" t="inlineStr">
        <is>
          <t>com</t>
        </is>
      </c>
      <c r="H1020" s="6" t="inlineStr">
        <is>
          <t>%</t>
        </is>
      </c>
      <c r="P1020" s="12">
        <f>INDIRECT_EFFECT("com","communications_share","communications_elasticity",0,"Rural","median")</f>
        <v/>
      </c>
    </row>
    <row r="1021">
      <c r="D1021" s="6" t="inlineStr">
        <is>
          <t>median</t>
        </is>
      </c>
      <c r="E1021" s="6" t="inlineStr">
        <is>
          <t>Rural</t>
        </is>
      </c>
      <c r="F1021" s="6" t="inlineStr">
        <is>
          <t>Deciles</t>
        </is>
      </c>
      <c r="G1021" s="6" t="inlineStr">
        <is>
          <t>com</t>
        </is>
      </c>
      <c r="H1021" s="6" t="inlineStr">
        <is>
          <t>%</t>
        </is>
      </c>
      <c r="Q1021" s="12">
        <f>INDIRECT_EFFECT("com","communications_share","communications_elasticity",DECILE_ARRAY,"Rural","median")</f>
        <v/>
      </c>
    </row>
    <row r="1022">
      <c r="D1022" s="6" t="inlineStr">
        <is>
          <t>p25</t>
        </is>
      </c>
      <c r="E1022" s="6" t="inlineStr">
        <is>
          <t>Overall</t>
        </is>
      </c>
      <c r="F1022" s="6" t="inlineStr">
        <is>
          <t>Basket</t>
        </is>
      </c>
      <c r="G1022" s="6" t="inlineStr">
        <is>
          <t>com</t>
        </is>
      </c>
      <c r="H1022" s="6" t="inlineStr">
        <is>
          <t>%</t>
        </is>
      </c>
      <c r="P1022" s="12">
        <f>INDIRECT_EFFECT("com","communications_share","communications_elasticity",0,"Overall","p25")</f>
        <v/>
      </c>
    </row>
    <row r="1023">
      <c r="D1023" s="6" t="inlineStr">
        <is>
          <t>p25</t>
        </is>
      </c>
      <c r="E1023" s="6" t="inlineStr">
        <is>
          <t>Overall</t>
        </is>
      </c>
      <c r="F1023" s="6" t="inlineStr">
        <is>
          <t>Deciles</t>
        </is>
      </c>
      <c r="G1023" s="6" t="inlineStr">
        <is>
          <t>com</t>
        </is>
      </c>
      <c r="H1023" s="6" t="inlineStr">
        <is>
          <t>%</t>
        </is>
      </c>
      <c r="Q1023" s="12">
        <f>INDIRECT_EFFECT("com","communications_share","communications_elasticity",DECILE_ARRAY,"Overall","p25")</f>
        <v/>
      </c>
    </row>
    <row r="1024">
      <c r="D1024" s="6" t="inlineStr">
        <is>
          <t>p25</t>
        </is>
      </c>
      <c r="E1024" s="6" t="inlineStr">
        <is>
          <t>Urban</t>
        </is>
      </c>
      <c r="F1024" s="6" t="inlineStr">
        <is>
          <t>Basket</t>
        </is>
      </c>
      <c r="G1024" s="6" t="inlineStr">
        <is>
          <t>com</t>
        </is>
      </c>
      <c r="H1024" s="6" t="inlineStr">
        <is>
          <t>%</t>
        </is>
      </c>
      <c r="P1024" s="12">
        <f>INDIRECT_EFFECT("com","communications_share","communications_elasticity",0,"Urban","p25")</f>
        <v/>
      </c>
    </row>
    <row r="1025">
      <c r="D1025" s="6" t="inlineStr">
        <is>
          <t>p25</t>
        </is>
      </c>
      <c r="E1025" s="6" t="inlineStr">
        <is>
          <t>Urban</t>
        </is>
      </c>
      <c r="F1025" s="6" t="inlineStr">
        <is>
          <t>Deciles</t>
        </is>
      </c>
      <c r="G1025" s="6" t="inlineStr">
        <is>
          <t>com</t>
        </is>
      </c>
      <c r="H1025" s="6" t="inlineStr">
        <is>
          <t>%</t>
        </is>
      </c>
      <c r="Q1025" s="12">
        <f>INDIRECT_EFFECT("com","communications_share","communications_elasticity",DECILE_ARRAY,"Urban","p25")</f>
        <v/>
      </c>
    </row>
    <row r="1026">
      <c r="D1026" s="6" t="inlineStr">
        <is>
          <t>p25</t>
        </is>
      </c>
      <c r="E1026" s="6" t="inlineStr">
        <is>
          <t>Rural</t>
        </is>
      </c>
      <c r="F1026" s="6" t="inlineStr">
        <is>
          <t>Basket</t>
        </is>
      </c>
      <c r="G1026" s="6" t="inlineStr">
        <is>
          <t>com</t>
        </is>
      </c>
      <c r="H1026" s="6" t="inlineStr">
        <is>
          <t>%</t>
        </is>
      </c>
      <c r="P1026" s="12">
        <f>INDIRECT_EFFECT("com","communications_share","communications_elasticity",0,"Rural","p25")</f>
        <v/>
      </c>
    </row>
    <row r="1027">
      <c r="D1027" s="6" t="inlineStr">
        <is>
          <t>p25</t>
        </is>
      </c>
      <c r="E1027" s="6" t="inlineStr">
        <is>
          <t>Rural</t>
        </is>
      </c>
      <c r="F1027" s="6" t="inlineStr">
        <is>
          <t>Deciles</t>
        </is>
      </c>
      <c r="G1027" s="6" t="inlineStr">
        <is>
          <t>com</t>
        </is>
      </c>
      <c r="H1027" s="6" t="inlineStr">
        <is>
          <t>%</t>
        </is>
      </c>
      <c r="Q1027" s="12">
        <f>INDIRECT_EFFECT("com","communications_share","communications_elasticity",DECILE_ARRAY,"Rural","p25")</f>
        <v/>
      </c>
    </row>
    <row r="1028">
      <c r="D1028" s="6" t="inlineStr">
        <is>
          <t>p75</t>
        </is>
      </c>
      <c r="E1028" s="6" t="inlineStr">
        <is>
          <t>Overall</t>
        </is>
      </c>
      <c r="F1028" s="6" t="inlineStr">
        <is>
          <t>Basket</t>
        </is>
      </c>
      <c r="G1028" s="6" t="inlineStr">
        <is>
          <t>com</t>
        </is>
      </c>
      <c r="H1028" s="6" t="inlineStr">
        <is>
          <t>%</t>
        </is>
      </c>
      <c r="P1028" s="12">
        <f>INDIRECT_EFFECT("com","communications_share","communications_elasticity",0,"Overall","p75")</f>
        <v/>
      </c>
    </row>
    <row r="1029">
      <c r="D1029" s="6" t="inlineStr">
        <is>
          <t>p75</t>
        </is>
      </c>
      <c r="E1029" s="6" t="inlineStr">
        <is>
          <t>Overall</t>
        </is>
      </c>
      <c r="F1029" s="6" t="inlineStr">
        <is>
          <t>Deciles</t>
        </is>
      </c>
      <c r="G1029" s="6" t="inlineStr">
        <is>
          <t>com</t>
        </is>
      </c>
      <c r="H1029" s="6" t="inlineStr">
        <is>
          <t>%</t>
        </is>
      </c>
      <c r="Q1029" s="12">
        <f>INDIRECT_EFFECT("com","communications_share","communications_elasticity",DECILE_ARRAY,"Overall","p75")</f>
        <v/>
      </c>
    </row>
    <row r="1030">
      <c r="D1030" s="6" t="inlineStr">
        <is>
          <t>p75</t>
        </is>
      </c>
      <c r="E1030" s="6" t="inlineStr">
        <is>
          <t>Urban</t>
        </is>
      </c>
      <c r="F1030" s="6" t="inlineStr">
        <is>
          <t>Basket</t>
        </is>
      </c>
      <c r="G1030" s="6" t="inlineStr">
        <is>
          <t>com</t>
        </is>
      </c>
      <c r="H1030" s="6" t="inlineStr">
        <is>
          <t>%</t>
        </is>
      </c>
      <c r="P1030" s="12">
        <f>INDIRECT_EFFECT("com","communications_share","communications_elasticity",0,"Urban","p75")</f>
        <v/>
      </c>
    </row>
    <row r="1031">
      <c r="D1031" s="6" t="inlineStr">
        <is>
          <t>p75</t>
        </is>
      </c>
      <c r="E1031" s="6" t="inlineStr">
        <is>
          <t>Urban</t>
        </is>
      </c>
      <c r="F1031" s="6" t="inlineStr">
        <is>
          <t>Deciles</t>
        </is>
      </c>
      <c r="G1031" s="6" t="inlineStr">
        <is>
          <t>com</t>
        </is>
      </c>
      <c r="H1031" s="6" t="inlineStr">
        <is>
          <t>%</t>
        </is>
      </c>
      <c r="Q1031" s="12">
        <f>INDIRECT_EFFECT("com","communications_share","communications_elasticity",DECILE_ARRAY,"Urban","p75")</f>
        <v/>
      </c>
    </row>
    <row r="1032">
      <c r="D1032" s="6" t="inlineStr">
        <is>
          <t>p75</t>
        </is>
      </c>
      <c r="E1032" s="6" t="inlineStr">
        <is>
          <t>Rural</t>
        </is>
      </c>
      <c r="F1032" s="6" t="inlineStr">
        <is>
          <t>Basket</t>
        </is>
      </c>
      <c r="G1032" s="6" t="inlineStr">
        <is>
          <t>com</t>
        </is>
      </c>
      <c r="H1032" s="6" t="inlineStr">
        <is>
          <t>%</t>
        </is>
      </c>
      <c r="P1032" s="12">
        <f>INDIRECT_EFFECT("com","communications_share","communications_elasticity",0,"Rural","p75")</f>
        <v/>
      </c>
    </row>
    <row r="1033">
      <c r="D1033" s="6" t="inlineStr">
        <is>
          <t>p75</t>
        </is>
      </c>
      <c r="E1033" s="6" t="inlineStr">
        <is>
          <t>Rural</t>
        </is>
      </c>
      <c r="F1033" s="6" t="inlineStr">
        <is>
          <t>Deciles</t>
        </is>
      </c>
      <c r="G1033" s="6" t="inlineStr">
        <is>
          <t>com</t>
        </is>
      </c>
      <c r="H1033" s="6" t="inlineStr">
        <is>
          <t>%</t>
        </is>
      </c>
      <c r="Q1033" s="12">
        <f>INDIRECT_EFFECT("com","communications_share","communications_elasticity",DECILE_ARRAY,"Rural","p75")</f>
        <v/>
      </c>
    </row>
    <row r="1034"/>
    <row r="1035">
      <c r="C1035" s="7" t="inlineStr">
        <is>
          <t>Education Indirect Effect (% Total Consumption)</t>
        </is>
      </c>
      <c r="G1035" s="6" t="inlineStr">
        <is>
          <t>edu</t>
        </is>
      </c>
      <c r="O1035" s="8" t="inlineStr">
        <is>
          <t>Decile --&gt;</t>
        </is>
      </c>
      <c r="Q1035" s="8" t="n">
        <v>1</v>
      </c>
      <c r="R1035" s="8" t="n">
        <v>2</v>
      </c>
      <c r="S1035" s="8" t="n">
        <v>3</v>
      </c>
      <c r="T1035" s="8" t="n">
        <v>4</v>
      </c>
      <c r="U1035" s="8" t="n">
        <v>5</v>
      </c>
      <c r="V1035" s="8" t="n">
        <v>6</v>
      </c>
      <c r="W1035" s="8" t="n">
        <v>7</v>
      </c>
      <c r="X1035" s="8" t="n">
        <v>8</v>
      </c>
      <c r="Y1035" s="8" t="n">
        <v>9</v>
      </c>
      <c r="Z1035" s="8" t="n">
        <v>10</v>
      </c>
    </row>
    <row r="1036">
      <c r="D1036" s="6" t="inlineStr">
        <is>
          <t>mean</t>
        </is>
      </c>
      <c r="E1036" s="6" t="inlineStr">
        <is>
          <t>Overall</t>
        </is>
      </c>
      <c r="F1036" s="6" t="inlineStr">
        <is>
          <t>Basket</t>
        </is>
      </c>
      <c r="G1036" s="6" t="inlineStr">
        <is>
          <t>edu</t>
        </is>
      </c>
      <c r="H1036" s="6" t="inlineStr">
        <is>
          <t>%</t>
        </is>
      </c>
      <c r="P1036" s="12">
        <f>INDIRECT_EFFECT("edu","education_share","education_elasticity",0,"Overall","mean")</f>
        <v/>
      </c>
    </row>
    <row r="1037">
      <c r="D1037" s="6" t="inlineStr">
        <is>
          <t>mean</t>
        </is>
      </c>
      <c r="E1037" s="6" t="inlineStr">
        <is>
          <t>Overall</t>
        </is>
      </c>
      <c r="F1037" s="6" t="inlineStr">
        <is>
          <t>Deciles</t>
        </is>
      </c>
      <c r="G1037" s="6" t="inlineStr">
        <is>
          <t>edu</t>
        </is>
      </c>
      <c r="H1037" s="6" t="inlineStr">
        <is>
          <t>%</t>
        </is>
      </c>
      <c r="Q1037" s="12">
        <f>INDIRECT_EFFECT("edu","education_share","education_elasticity",DECILE_ARRAY,"Overall","mean")</f>
        <v/>
      </c>
    </row>
    <row r="1038">
      <c r="D1038" s="6" t="inlineStr">
        <is>
          <t>mean</t>
        </is>
      </c>
      <c r="E1038" s="6" t="inlineStr">
        <is>
          <t>Urban</t>
        </is>
      </c>
      <c r="F1038" s="6" t="inlineStr">
        <is>
          <t>Basket</t>
        </is>
      </c>
      <c r="G1038" s="6" t="inlineStr">
        <is>
          <t>edu</t>
        </is>
      </c>
      <c r="H1038" s="6" t="inlineStr">
        <is>
          <t>%</t>
        </is>
      </c>
      <c r="P1038" s="12">
        <f>INDIRECT_EFFECT("edu","education_share","education_elasticity",0,"Urban","mean")</f>
        <v/>
      </c>
    </row>
    <row r="1039">
      <c r="D1039" s="6" t="inlineStr">
        <is>
          <t>mean</t>
        </is>
      </c>
      <c r="E1039" s="6" t="inlineStr">
        <is>
          <t>Urban</t>
        </is>
      </c>
      <c r="F1039" s="6" t="inlineStr">
        <is>
          <t>Deciles</t>
        </is>
      </c>
      <c r="G1039" s="6" t="inlineStr">
        <is>
          <t>edu</t>
        </is>
      </c>
      <c r="H1039" s="6" t="inlineStr">
        <is>
          <t>%</t>
        </is>
      </c>
      <c r="Q1039" s="12">
        <f>INDIRECT_EFFECT("edu","education_share","education_elasticity",DECILE_ARRAY,"Urban","mean")</f>
        <v/>
      </c>
    </row>
    <row r="1040">
      <c r="D1040" s="6" t="inlineStr">
        <is>
          <t>mean</t>
        </is>
      </c>
      <c r="E1040" s="6" t="inlineStr">
        <is>
          <t>Rural</t>
        </is>
      </c>
      <c r="F1040" s="6" t="inlineStr">
        <is>
          <t>Basket</t>
        </is>
      </c>
      <c r="G1040" s="6" t="inlineStr">
        <is>
          <t>edu</t>
        </is>
      </c>
      <c r="H1040" s="6" t="inlineStr">
        <is>
          <t>%</t>
        </is>
      </c>
      <c r="P1040" s="12">
        <f>INDIRECT_EFFECT("edu","education_share","education_elasticity",0,"Rural","mean")</f>
        <v/>
      </c>
    </row>
    <row r="1041">
      <c r="D1041" s="6" t="inlineStr">
        <is>
          <t>mean</t>
        </is>
      </c>
      <c r="E1041" s="6" t="inlineStr">
        <is>
          <t>Rural</t>
        </is>
      </c>
      <c r="F1041" s="6" t="inlineStr">
        <is>
          <t>Deciles</t>
        </is>
      </c>
      <c r="G1041" s="6" t="inlineStr">
        <is>
          <t>edu</t>
        </is>
      </c>
      <c r="H1041" s="6" t="inlineStr">
        <is>
          <t>%</t>
        </is>
      </c>
      <c r="Q1041" s="12">
        <f>INDIRECT_EFFECT("edu","education_share","education_elasticity",DECILE_ARRAY,"Rural","mean")</f>
        <v/>
      </c>
    </row>
    <row r="1042">
      <c r="D1042" s="6" t="inlineStr">
        <is>
          <t>median</t>
        </is>
      </c>
      <c r="E1042" s="6" t="inlineStr">
        <is>
          <t>Overall</t>
        </is>
      </c>
      <c r="F1042" s="6" t="inlineStr">
        <is>
          <t>Basket</t>
        </is>
      </c>
      <c r="G1042" s="6" t="inlineStr">
        <is>
          <t>edu</t>
        </is>
      </c>
      <c r="H1042" s="6" t="inlineStr">
        <is>
          <t>%</t>
        </is>
      </c>
      <c r="P1042" s="12">
        <f>INDIRECT_EFFECT("edu","education_share","education_elasticity",0,"Overall","median")</f>
        <v/>
      </c>
    </row>
    <row r="1043">
      <c r="D1043" s="6" t="inlineStr">
        <is>
          <t>median</t>
        </is>
      </c>
      <c r="E1043" s="6" t="inlineStr">
        <is>
          <t>Overall</t>
        </is>
      </c>
      <c r="F1043" s="6" t="inlineStr">
        <is>
          <t>Deciles</t>
        </is>
      </c>
      <c r="G1043" s="6" t="inlineStr">
        <is>
          <t>edu</t>
        </is>
      </c>
      <c r="H1043" s="6" t="inlineStr">
        <is>
          <t>%</t>
        </is>
      </c>
      <c r="Q1043" s="12">
        <f>INDIRECT_EFFECT("edu","education_share","education_elasticity",DECILE_ARRAY,"Overall","median")</f>
        <v/>
      </c>
    </row>
    <row r="1044">
      <c r="D1044" s="6" t="inlineStr">
        <is>
          <t>median</t>
        </is>
      </c>
      <c r="E1044" s="6" t="inlineStr">
        <is>
          <t>Urban</t>
        </is>
      </c>
      <c r="F1044" s="6" t="inlineStr">
        <is>
          <t>Basket</t>
        </is>
      </c>
      <c r="G1044" s="6" t="inlineStr">
        <is>
          <t>edu</t>
        </is>
      </c>
      <c r="H1044" s="6" t="inlineStr">
        <is>
          <t>%</t>
        </is>
      </c>
      <c r="P1044" s="12">
        <f>INDIRECT_EFFECT("edu","education_share","education_elasticity",0,"Urban","median")</f>
        <v/>
      </c>
    </row>
    <row r="1045">
      <c r="D1045" s="6" t="inlineStr">
        <is>
          <t>median</t>
        </is>
      </c>
      <c r="E1045" s="6" t="inlineStr">
        <is>
          <t>Urban</t>
        </is>
      </c>
      <c r="F1045" s="6" t="inlineStr">
        <is>
          <t>Deciles</t>
        </is>
      </c>
      <c r="G1045" s="6" t="inlineStr">
        <is>
          <t>edu</t>
        </is>
      </c>
      <c r="H1045" s="6" t="inlineStr">
        <is>
          <t>%</t>
        </is>
      </c>
      <c r="Q1045" s="12">
        <f>INDIRECT_EFFECT("edu","education_share","education_elasticity",DECILE_ARRAY,"Urban","median")</f>
        <v/>
      </c>
    </row>
    <row r="1046">
      <c r="D1046" s="6" t="inlineStr">
        <is>
          <t>median</t>
        </is>
      </c>
      <c r="E1046" s="6" t="inlineStr">
        <is>
          <t>Rural</t>
        </is>
      </c>
      <c r="F1046" s="6" t="inlineStr">
        <is>
          <t>Basket</t>
        </is>
      </c>
      <c r="G1046" s="6" t="inlineStr">
        <is>
          <t>edu</t>
        </is>
      </c>
      <c r="H1046" s="6" t="inlineStr">
        <is>
          <t>%</t>
        </is>
      </c>
      <c r="P1046" s="12">
        <f>INDIRECT_EFFECT("edu","education_share","education_elasticity",0,"Rural","median")</f>
        <v/>
      </c>
    </row>
    <row r="1047">
      <c r="D1047" s="6" t="inlineStr">
        <is>
          <t>median</t>
        </is>
      </c>
      <c r="E1047" s="6" t="inlineStr">
        <is>
          <t>Rural</t>
        </is>
      </c>
      <c r="F1047" s="6" t="inlineStr">
        <is>
          <t>Deciles</t>
        </is>
      </c>
      <c r="G1047" s="6" t="inlineStr">
        <is>
          <t>edu</t>
        </is>
      </c>
      <c r="H1047" s="6" t="inlineStr">
        <is>
          <t>%</t>
        </is>
      </c>
      <c r="Q1047" s="12">
        <f>INDIRECT_EFFECT("edu","education_share","education_elasticity",DECILE_ARRAY,"Rural","median")</f>
        <v/>
      </c>
    </row>
    <row r="1048">
      <c r="D1048" s="6" t="inlineStr">
        <is>
          <t>p25</t>
        </is>
      </c>
      <c r="E1048" s="6" t="inlineStr">
        <is>
          <t>Overall</t>
        </is>
      </c>
      <c r="F1048" s="6" t="inlineStr">
        <is>
          <t>Basket</t>
        </is>
      </c>
      <c r="G1048" s="6" t="inlineStr">
        <is>
          <t>edu</t>
        </is>
      </c>
      <c r="H1048" s="6" t="inlineStr">
        <is>
          <t>%</t>
        </is>
      </c>
      <c r="P1048" s="12">
        <f>INDIRECT_EFFECT("edu","education_share","education_elasticity",0,"Overall","p25")</f>
        <v/>
      </c>
    </row>
    <row r="1049">
      <c r="D1049" s="6" t="inlineStr">
        <is>
          <t>p25</t>
        </is>
      </c>
      <c r="E1049" s="6" t="inlineStr">
        <is>
          <t>Overall</t>
        </is>
      </c>
      <c r="F1049" s="6" t="inlineStr">
        <is>
          <t>Deciles</t>
        </is>
      </c>
      <c r="G1049" s="6" t="inlineStr">
        <is>
          <t>edu</t>
        </is>
      </c>
      <c r="H1049" s="6" t="inlineStr">
        <is>
          <t>%</t>
        </is>
      </c>
      <c r="Q1049" s="12">
        <f>INDIRECT_EFFECT("edu","education_share","education_elasticity",DECILE_ARRAY,"Overall","p25")</f>
        <v/>
      </c>
    </row>
    <row r="1050">
      <c r="D1050" s="6" t="inlineStr">
        <is>
          <t>p25</t>
        </is>
      </c>
      <c r="E1050" s="6" t="inlineStr">
        <is>
          <t>Urban</t>
        </is>
      </c>
      <c r="F1050" s="6" t="inlineStr">
        <is>
          <t>Basket</t>
        </is>
      </c>
      <c r="G1050" s="6" t="inlineStr">
        <is>
          <t>edu</t>
        </is>
      </c>
      <c r="H1050" s="6" t="inlineStr">
        <is>
          <t>%</t>
        </is>
      </c>
      <c r="P1050" s="12">
        <f>INDIRECT_EFFECT("edu","education_share","education_elasticity",0,"Urban","p25")</f>
        <v/>
      </c>
    </row>
    <row r="1051">
      <c r="D1051" s="6" t="inlineStr">
        <is>
          <t>p25</t>
        </is>
      </c>
      <c r="E1051" s="6" t="inlineStr">
        <is>
          <t>Urban</t>
        </is>
      </c>
      <c r="F1051" s="6" t="inlineStr">
        <is>
          <t>Deciles</t>
        </is>
      </c>
      <c r="G1051" s="6" t="inlineStr">
        <is>
          <t>edu</t>
        </is>
      </c>
      <c r="H1051" s="6" t="inlineStr">
        <is>
          <t>%</t>
        </is>
      </c>
      <c r="Q1051" s="12">
        <f>INDIRECT_EFFECT("edu","education_share","education_elasticity",DECILE_ARRAY,"Urban","p25")</f>
        <v/>
      </c>
    </row>
    <row r="1052">
      <c r="D1052" s="6" t="inlineStr">
        <is>
          <t>p25</t>
        </is>
      </c>
      <c r="E1052" s="6" t="inlineStr">
        <is>
          <t>Rural</t>
        </is>
      </c>
      <c r="F1052" s="6" t="inlineStr">
        <is>
          <t>Basket</t>
        </is>
      </c>
      <c r="G1052" s="6" t="inlineStr">
        <is>
          <t>edu</t>
        </is>
      </c>
      <c r="H1052" s="6" t="inlineStr">
        <is>
          <t>%</t>
        </is>
      </c>
      <c r="P1052" s="12">
        <f>INDIRECT_EFFECT("edu","education_share","education_elasticity",0,"Rural","p25")</f>
        <v/>
      </c>
    </row>
    <row r="1053">
      <c r="D1053" s="6" t="inlineStr">
        <is>
          <t>p25</t>
        </is>
      </c>
      <c r="E1053" s="6" t="inlineStr">
        <is>
          <t>Rural</t>
        </is>
      </c>
      <c r="F1053" s="6" t="inlineStr">
        <is>
          <t>Deciles</t>
        </is>
      </c>
      <c r="G1053" s="6" t="inlineStr">
        <is>
          <t>edu</t>
        </is>
      </c>
      <c r="H1053" s="6" t="inlineStr">
        <is>
          <t>%</t>
        </is>
      </c>
      <c r="Q1053" s="12">
        <f>INDIRECT_EFFECT("edu","education_share","education_elasticity",DECILE_ARRAY,"Rural","p25")</f>
        <v/>
      </c>
    </row>
    <row r="1054">
      <c r="D1054" s="6" t="inlineStr">
        <is>
          <t>p75</t>
        </is>
      </c>
      <c r="E1054" s="6" t="inlineStr">
        <is>
          <t>Overall</t>
        </is>
      </c>
      <c r="F1054" s="6" t="inlineStr">
        <is>
          <t>Basket</t>
        </is>
      </c>
      <c r="G1054" s="6" t="inlineStr">
        <is>
          <t>edu</t>
        </is>
      </c>
      <c r="H1054" s="6" t="inlineStr">
        <is>
          <t>%</t>
        </is>
      </c>
      <c r="P1054" s="12">
        <f>INDIRECT_EFFECT("edu","education_share","education_elasticity",0,"Overall","p75")</f>
        <v/>
      </c>
    </row>
    <row r="1055">
      <c r="D1055" s="6" t="inlineStr">
        <is>
          <t>p75</t>
        </is>
      </c>
      <c r="E1055" s="6" t="inlineStr">
        <is>
          <t>Overall</t>
        </is>
      </c>
      <c r="F1055" s="6" t="inlineStr">
        <is>
          <t>Deciles</t>
        </is>
      </c>
      <c r="G1055" s="6" t="inlineStr">
        <is>
          <t>edu</t>
        </is>
      </c>
      <c r="H1055" s="6" t="inlineStr">
        <is>
          <t>%</t>
        </is>
      </c>
      <c r="Q1055" s="12">
        <f>INDIRECT_EFFECT("edu","education_share","education_elasticity",DECILE_ARRAY,"Overall","p75")</f>
        <v/>
      </c>
    </row>
    <row r="1056">
      <c r="D1056" s="6" t="inlineStr">
        <is>
          <t>p75</t>
        </is>
      </c>
      <c r="E1056" s="6" t="inlineStr">
        <is>
          <t>Urban</t>
        </is>
      </c>
      <c r="F1056" s="6" t="inlineStr">
        <is>
          <t>Basket</t>
        </is>
      </c>
      <c r="G1056" s="6" t="inlineStr">
        <is>
          <t>edu</t>
        </is>
      </c>
      <c r="H1056" s="6" t="inlineStr">
        <is>
          <t>%</t>
        </is>
      </c>
      <c r="P1056" s="12">
        <f>INDIRECT_EFFECT("edu","education_share","education_elasticity",0,"Urban","p75")</f>
        <v/>
      </c>
    </row>
    <row r="1057">
      <c r="D1057" s="6" t="inlineStr">
        <is>
          <t>p75</t>
        </is>
      </c>
      <c r="E1057" s="6" t="inlineStr">
        <is>
          <t>Urban</t>
        </is>
      </c>
      <c r="F1057" s="6" t="inlineStr">
        <is>
          <t>Deciles</t>
        </is>
      </c>
      <c r="G1057" s="6" t="inlineStr">
        <is>
          <t>edu</t>
        </is>
      </c>
      <c r="H1057" s="6" t="inlineStr">
        <is>
          <t>%</t>
        </is>
      </c>
      <c r="Q1057" s="12">
        <f>INDIRECT_EFFECT("edu","education_share","education_elasticity",DECILE_ARRAY,"Urban","p75")</f>
        <v/>
      </c>
    </row>
    <row r="1058">
      <c r="D1058" s="6" t="inlineStr">
        <is>
          <t>p75</t>
        </is>
      </c>
      <c r="E1058" s="6" t="inlineStr">
        <is>
          <t>Rural</t>
        </is>
      </c>
      <c r="F1058" s="6" t="inlineStr">
        <is>
          <t>Basket</t>
        </is>
      </c>
      <c r="G1058" s="6" t="inlineStr">
        <is>
          <t>edu</t>
        </is>
      </c>
      <c r="H1058" s="6" t="inlineStr">
        <is>
          <t>%</t>
        </is>
      </c>
      <c r="P1058" s="12">
        <f>INDIRECT_EFFECT("edu","education_share","education_elasticity",0,"Rural","p75")</f>
        <v/>
      </c>
    </row>
    <row r="1059">
      <c r="D1059" s="6" t="inlineStr">
        <is>
          <t>p75</t>
        </is>
      </c>
      <c r="E1059" s="6" t="inlineStr">
        <is>
          <t>Rural</t>
        </is>
      </c>
      <c r="F1059" s="6" t="inlineStr">
        <is>
          <t>Deciles</t>
        </is>
      </c>
      <c r="G1059" s="6" t="inlineStr">
        <is>
          <t>edu</t>
        </is>
      </c>
      <c r="H1059" s="6" t="inlineStr">
        <is>
          <t>%</t>
        </is>
      </c>
      <c r="Q1059" s="12">
        <f>INDIRECT_EFFECT("edu","education_share","education_elasticity",DECILE_ARRAY,"Rural","p75")</f>
        <v/>
      </c>
    </row>
    <row r="1060"/>
    <row r="1061">
      <c r="C1061" s="7" t="inlineStr">
        <is>
          <t>Food Indirect Effect (% Total Consumption)</t>
        </is>
      </c>
      <c r="G1061" s="6" t="inlineStr">
        <is>
          <t>food</t>
        </is>
      </c>
      <c r="O1061" s="8" t="inlineStr">
        <is>
          <t>Decile --&gt;</t>
        </is>
      </c>
      <c r="Q1061" s="8" t="n">
        <v>1</v>
      </c>
      <c r="R1061" s="8" t="n">
        <v>2</v>
      </c>
      <c r="S1061" s="8" t="n">
        <v>3</v>
      </c>
      <c r="T1061" s="8" t="n">
        <v>4</v>
      </c>
      <c r="U1061" s="8" t="n">
        <v>5</v>
      </c>
      <c r="V1061" s="8" t="n">
        <v>6</v>
      </c>
      <c r="W1061" s="8" t="n">
        <v>7</v>
      </c>
      <c r="X1061" s="8" t="n">
        <v>8</v>
      </c>
      <c r="Y1061" s="8" t="n">
        <v>9</v>
      </c>
      <c r="Z1061" s="8" t="n">
        <v>10</v>
      </c>
    </row>
    <row r="1062">
      <c r="D1062" s="6" t="inlineStr">
        <is>
          <t>mean</t>
        </is>
      </c>
      <c r="E1062" s="6" t="inlineStr">
        <is>
          <t>Overall</t>
        </is>
      </c>
      <c r="F1062" s="6" t="inlineStr">
        <is>
          <t>Basket</t>
        </is>
      </c>
      <c r="G1062" s="6" t="inlineStr">
        <is>
          <t>food</t>
        </is>
      </c>
      <c r="H1062" s="6" t="inlineStr">
        <is>
          <t>%</t>
        </is>
      </c>
      <c r="P1062" s="12">
        <f>INDIRECT_EFFECT("food","food_share","food_elasticity",0,"Overall","mean")</f>
        <v/>
      </c>
    </row>
    <row r="1063">
      <c r="D1063" s="6" t="inlineStr">
        <is>
          <t>mean</t>
        </is>
      </c>
      <c r="E1063" s="6" t="inlineStr">
        <is>
          <t>Overall</t>
        </is>
      </c>
      <c r="F1063" s="6" t="inlineStr">
        <is>
          <t>Deciles</t>
        </is>
      </c>
      <c r="G1063" s="6" t="inlineStr">
        <is>
          <t>food</t>
        </is>
      </c>
      <c r="H1063" s="6" t="inlineStr">
        <is>
          <t>%</t>
        </is>
      </c>
      <c r="Q1063" s="12">
        <f>INDIRECT_EFFECT("food","food_share","food_elasticity",DECILE_ARRAY,"Overall","mean")</f>
        <v/>
      </c>
    </row>
    <row r="1064">
      <c r="D1064" s="6" t="inlineStr">
        <is>
          <t>mean</t>
        </is>
      </c>
      <c r="E1064" s="6" t="inlineStr">
        <is>
          <t>Urban</t>
        </is>
      </c>
      <c r="F1064" s="6" t="inlineStr">
        <is>
          <t>Basket</t>
        </is>
      </c>
      <c r="G1064" s="6" t="inlineStr">
        <is>
          <t>food</t>
        </is>
      </c>
      <c r="H1064" s="6" t="inlineStr">
        <is>
          <t>%</t>
        </is>
      </c>
      <c r="P1064" s="12">
        <f>INDIRECT_EFFECT("food","food_share","food_elasticity",0,"Urban","mean")</f>
        <v/>
      </c>
    </row>
    <row r="1065">
      <c r="D1065" s="6" t="inlineStr">
        <is>
          <t>mean</t>
        </is>
      </c>
      <c r="E1065" s="6" t="inlineStr">
        <is>
          <t>Urban</t>
        </is>
      </c>
      <c r="F1065" s="6" t="inlineStr">
        <is>
          <t>Deciles</t>
        </is>
      </c>
      <c r="G1065" s="6" t="inlineStr">
        <is>
          <t>food</t>
        </is>
      </c>
      <c r="H1065" s="6" t="inlineStr">
        <is>
          <t>%</t>
        </is>
      </c>
      <c r="Q1065" s="12">
        <f>INDIRECT_EFFECT("food","food_share","food_elasticity",DECILE_ARRAY,"Urban","mean")</f>
        <v/>
      </c>
    </row>
    <row r="1066">
      <c r="D1066" s="6" t="inlineStr">
        <is>
          <t>mean</t>
        </is>
      </c>
      <c r="E1066" s="6" t="inlineStr">
        <is>
          <t>Rural</t>
        </is>
      </c>
      <c r="F1066" s="6" t="inlineStr">
        <is>
          <t>Basket</t>
        </is>
      </c>
      <c r="G1066" s="6" t="inlineStr">
        <is>
          <t>food</t>
        </is>
      </c>
      <c r="H1066" s="6" t="inlineStr">
        <is>
          <t>%</t>
        </is>
      </c>
      <c r="P1066" s="12">
        <f>INDIRECT_EFFECT("food","food_share","food_elasticity",0,"Rural","mean")</f>
        <v/>
      </c>
    </row>
    <row r="1067">
      <c r="D1067" s="6" t="inlineStr">
        <is>
          <t>mean</t>
        </is>
      </c>
      <c r="E1067" s="6" t="inlineStr">
        <is>
          <t>Rural</t>
        </is>
      </c>
      <c r="F1067" s="6" t="inlineStr">
        <is>
          <t>Deciles</t>
        </is>
      </c>
      <c r="G1067" s="6" t="inlineStr">
        <is>
          <t>food</t>
        </is>
      </c>
      <c r="H1067" s="6" t="inlineStr">
        <is>
          <t>%</t>
        </is>
      </c>
      <c r="Q1067" s="12">
        <f>INDIRECT_EFFECT("food","food_share","food_elasticity",DECILE_ARRAY,"Rural","mean")</f>
        <v/>
      </c>
    </row>
    <row r="1068">
      <c r="D1068" s="6" t="inlineStr">
        <is>
          <t>median</t>
        </is>
      </c>
      <c r="E1068" s="6" t="inlineStr">
        <is>
          <t>Overall</t>
        </is>
      </c>
      <c r="F1068" s="6" t="inlineStr">
        <is>
          <t>Basket</t>
        </is>
      </c>
      <c r="G1068" s="6" t="inlineStr">
        <is>
          <t>food</t>
        </is>
      </c>
      <c r="H1068" s="6" t="inlineStr">
        <is>
          <t>%</t>
        </is>
      </c>
      <c r="P1068" s="12">
        <f>INDIRECT_EFFECT("food","food_share","food_elasticity",0,"Overall","median")</f>
        <v/>
      </c>
    </row>
    <row r="1069">
      <c r="D1069" s="6" t="inlineStr">
        <is>
          <t>median</t>
        </is>
      </c>
      <c r="E1069" s="6" t="inlineStr">
        <is>
          <t>Overall</t>
        </is>
      </c>
      <c r="F1069" s="6" t="inlineStr">
        <is>
          <t>Deciles</t>
        </is>
      </c>
      <c r="G1069" s="6" t="inlineStr">
        <is>
          <t>food</t>
        </is>
      </c>
      <c r="H1069" s="6" t="inlineStr">
        <is>
          <t>%</t>
        </is>
      </c>
      <c r="Q1069" s="12">
        <f>INDIRECT_EFFECT("food","food_share","food_elasticity",DECILE_ARRAY,"Overall","median")</f>
        <v/>
      </c>
    </row>
    <row r="1070">
      <c r="D1070" s="6" t="inlineStr">
        <is>
          <t>median</t>
        </is>
      </c>
      <c r="E1070" s="6" t="inlineStr">
        <is>
          <t>Urban</t>
        </is>
      </c>
      <c r="F1070" s="6" t="inlineStr">
        <is>
          <t>Basket</t>
        </is>
      </c>
      <c r="G1070" s="6" t="inlineStr">
        <is>
          <t>food</t>
        </is>
      </c>
      <c r="H1070" s="6" t="inlineStr">
        <is>
          <t>%</t>
        </is>
      </c>
      <c r="P1070" s="12">
        <f>INDIRECT_EFFECT("food","food_share","food_elasticity",0,"Urban","median")</f>
        <v/>
      </c>
    </row>
    <row r="1071">
      <c r="D1071" s="6" t="inlineStr">
        <is>
          <t>median</t>
        </is>
      </c>
      <c r="E1071" s="6" t="inlineStr">
        <is>
          <t>Urban</t>
        </is>
      </c>
      <c r="F1071" s="6" t="inlineStr">
        <is>
          <t>Deciles</t>
        </is>
      </c>
      <c r="G1071" s="6" t="inlineStr">
        <is>
          <t>food</t>
        </is>
      </c>
      <c r="H1071" s="6" t="inlineStr">
        <is>
          <t>%</t>
        </is>
      </c>
      <c r="Q1071" s="12">
        <f>INDIRECT_EFFECT("food","food_share","food_elasticity",DECILE_ARRAY,"Urban","median")</f>
        <v/>
      </c>
    </row>
    <row r="1072">
      <c r="D1072" s="6" t="inlineStr">
        <is>
          <t>median</t>
        </is>
      </c>
      <c r="E1072" s="6" t="inlineStr">
        <is>
          <t>Rural</t>
        </is>
      </c>
      <c r="F1072" s="6" t="inlineStr">
        <is>
          <t>Basket</t>
        </is>
      </c>
      <c r="G1072" s="6" t="inlineStr">
        <is>
          <t>food</t>
        </is>
      </c>
      <c r="H1072" s="6" t="inlineStr">
        <is>
          <t>%</t>
        </is>
      </c>
      <c r="P1072" s="12">
        <f>INDIRECT_EFFECT("food","food_share","food_elasticity",0,"Rural","median")</f>
        <v/>
      </c>
    </row>
    <row r="1073">
      <c r="D1073" s="6" t="inlineStr">
        <is>
          <t>median</t>
        </is>
      </c>
      <c r="E1073" s="6" t="inlineStr">
        <is>
          <t>Rural</t>
        </is>
      </c>
      <c r="F1073" s="6" t="inlineStr">
        <is>
          <t>Deciles</t>
        </is>
      </c>
      <c r="G1073" s="6" t="inlineStr">
        <is>
          <t>food</t>
        </is>
      </c>
      <c r="H1073" s="6" t="inlineStr">
        <is>
          <t>%</t>
        </is>
      </c>
      <c r="Q1073" s="12">
        <f>INDIRECT_EFFECT("food","food_share","food_elasticity",DECILE_ARRAY,"Rural","median")</f>
        <v/>
      </c>
    </row>
    <row r="1074">
      <c r="D1074" s="6" t="inlineStr">
        <is>
          <t>p25</t>
        </is>
      </c>
      <c r="E1074" s="6" t="inlineStr">
        <is>
          <t>Overall</t>
        </is>
      </c>
      <c r="F1074" s="6" t="inlineStr">
        <is>
          <t>Basket</t>
        </is>
      </c>
      <c r="G1074" s="6" t="inlineStr">
        <is>
          <t>food</t>
        </is>
      </c>
      <c r="H1074" s="6" t="inlineStr">
        <is>
          <t>%</t>
        </is>
      </c>
      <c r="P1074" s="12">
        <f>INDIRECT_EFFECT("food","food_share","food_elasticity",0,"Overall","p25")</f>
        <v/>
      </c>
    </row>
    <row r="1075">
      <c r="D1075" s="6" t="inlineStr">
        <is>
          <t>p25</t>
        </is>
      </c>
      <c r="E1075" s="6" t="inlineStr">
        <is>
          <t>Overall</t>
        </is>
      </c>
      <c r="F1075" s="6" t="inlineStr">
        <is>
          <t>Deciles</t>
        </is>
      </c>
      <c r="G1075" s="6" t="inlineStr">
        <is>
          <t>food</t>
        </is>
      </c>
      <c r="H1075" s="6" t="inlineStr">
        <is>
          <t>%</t>
        </is>
      </c>
      <c r="Q1075" s="12">
        <f>INDIRECT_EFFECT("food","food_share","food_elasticity",DECILE_ARRAY,"Overall","p25")</f>
        <v/>
      </c>
    </row>
    <row r="1076">
      <c r="D1076" s="6" t="inlineStr">
        <is>
          <t>p25</t>
        </is>
      </c>
      <c r="E1076" s="6" t="inlineStr">
        <is>
          <t>Urban</t>
        </is>
      </c>
      <c r="F1076" s="6" t="inlineStr">
        <is>
          <t>Basket</t>
        </is>
      </c>
      <c r="G1076" s="6" t="inlineStr">
        <is>
          <t>food</t>
        </is>
      </c>
      <c r="H1076" s="6" t="inlineStr">
        <is>
          <t>%</t>
        </is>
      </c>
      <c r="P1076" s="12">
        <f>INDIRECT_EFFECT("food","food_share","food_elasticity",0,"Urban","p25")</f>
        <v/>
      </c>
    </row>
    <row r="1077">
      <c r="D1077" s="6" t="inlineStr">
        <is>
          <t>p25</t>
        </is>
      </c>
      <c r="E1077" s="6" t="inlineStr">
        <is>
          <t>Urban</t>
        </is>
      </c>
      <c r="F1077" s="6" t="inlineStr">
        <is>
          <t>Deciles</t>
        </is>
      </c>
      <c r="G1077" s="6" t="inlineStr">
        <is>
          <t>food</t>
        </is>
      </c>
      <c r="H1077" s="6" t="inlineStr">
        <is>
          <t>%</t>
        </is>
      </c>
      <c r="Q1077" s="12">
        <f>INDIRECT_EFFECT("food","food_share","food_elasticity",DECILE_ARRAY,"Urban","p25")</f>
        <v/>
      </c>
    </row>
    <row r="1078">
      <c r="D1078" s="6" t="inlineStr">
        <is>
          <t>p25</t>
        </is>
      </c>
      <c r="E1078" s="6" t="inlineStr">
        <is>
          <t>Rural</t>
        </is>
      </c>
      <c r="F1078" s="6" t="inlineStr">
        <is>
          <t>Basket</t>
        </is>
      </c>
      <c r="G1078" s="6" t="inlineStr">
        <is>
          <t>food</t>
        </is>
      </c>
      <c r="H1078" s="6" t="inlineStr">
        <is>
          <t>%</t>
        </is>
      </c>
      <c r="P1078" s="12">
        <f>INDIRECT_EFFECT("food","food_share","food_elasticity",0,"Rural","p25")</f>
        <v/>
      </c>
    </row>
    <row r="1079">
      <c r="D1079" s="6" t="inlineStr">
        <is>
          <t>p25</t>
        </is>
      </c>
      <c r="E1079" s="6" t="inlineStr">
        <is>
          <t>Rural</t>
        </is>
      </c>
      <c r="F1079" s="6" t="inlineStr">
        <is>
          <t>Deciles</t>
        </is>
      </c>
      <c r="G1079" s="6" t="inlineStr">
        <is>
          <t>food</t>
        </is>
      </c>
      <c r="H1079" s="6" t="inlineStr">
        <is>
          <t>%</t>
        </is>
      </c>
      <c r="Q1079" s="12">
        <f>INDIRECT_EFFECT("food","food_share","food_elasticity",DECILE_ARRAY,"Rural","p25")</f>
        <v/>
      </c>
    </row>
    <row r="1080">
      <c r="D1080" s="6" t="inlineStr">
        <is>
          <t>p75</t>
        </is>
      </c>
      <c r="E1080" s="6" t="inlineStr">
        <is>
          <t>Overall</t>
        </is>
      </c>
      <c r="F1080" s="6" t="inlineStr">
        <is>
          <t>Basket</t>
        </is>
      </c>
      <c r="G1080" s="6" t="inlineStr">
        <is>
          <t>food</t>
        </is>
      </c>
      <c r="H1080" s="6" t="inlineStr">
        <is>
          <t>%</t>
        </is>
      </c>
      <c r="P1080" s="12">
        <f>INDIRECT_EFFECT("food","food_share","food_elasticity",0,"Overall","p75")</f>
        <v/>
      </c>
    </row>
    <row r="1081">
      <c r="D1081" s="6" t="inlineStr">
        <is>
          <t>p75</t>
        </is>
      </c>
      <c r="E1081" s="6" t="inlineStr">
        <is>
          <t>Overall</t>
        </is>
      </c>
      <c r="F1081" s="6" t="inlineStr">
        <is>
          <t>Deciles</t>
        </is>
      </c>
      <c r="G1081" s="6" t="inlineStr">
        <is>
          <t>food</t>
        </is>
      </c>
      <c r="H1081" s="6" t="inlineStr">
        <is>
          <t>%</t>
        </is>
      </c>
      <c r="Q1081" s="12">
        <f>INDIRECT_EFFECT("food","food_share","food_elasticity",DECILE_ARRAY,"Overall","p75")</f>
        <v/>
      </c>
    </row>
    <row r="1082">
      <c r="D1082" s="6" t="inlineStr">
        <is>
          <t>p75</t>
        </is>
      </c>
      <c r="E1082" s="6" t="inlineStr">
        <is>
          <t>Urban</t>
        </is>
      </c>
      <c r="F1082" s="6" t="inlineStr">
        <is>
          <t>Basket</t>
        </is>
      </c>
      <c r="G1082" s="6" t="inlineStr">
        <is>
          <t>food</t>
        </is>
      </c>
      <c r="H1082" s="6" t="inlineStr">
        <is>
          <t>%</t>
        </is>
      </c>
      <c r="P1082" s="12">
        <f>INDIRECT_EFFECT("food","food_share","food_elasticity",0,"Urban","p75")</f>
        <v/>
      </c>
    </row>
    <row r="1083">
      <c r="D1083" s="6" t="inlineStr">
        <is>
          <t>p75</t>
        </is>
      </c>
      <c r="E1083" s="6" t="inlineStr">
        <is>
          <t>Urban</t>
        </is>
      </c>
      <c r="F1083" s="6" t="inlineStr">
        <is>
          <t>Deciles</t>
        </is>
      </c>
      <c r="G1083" s="6" t="inlineStr">
        <is>
          <t>food</t>
        </is>
      </c>
      <c r="H1083" s="6" t="inlineStr">
        <is>
          <t>%</t>
        </is>
      </c>
      <c r="Q1083" s="12">
        <f>INDIRECT_EFFECT("food","food_share","food_elasticity",DECILE_ARRAY,"Urban","p75")</f>
        <v/>
      </c>
    </row>
    <row r="1084">
      <c r="D1084" s="6" t="inlineStr">
        <is>
          <t>p75</t>
        </is>
      </c>
      <c r="E1084" s="6" t="inlineStr">
        <is>
          <t>Rural</t>
        </is>
      </c>
      <c r="F1084" s="6" t="inlineStr">
        <is>
          <t>Basket</t>
        </is>
      </c>
      <c r="G1084" s="6" t="inlineStr">
        <is>
          <t>food</t>
        </is>
      </c>
      <c r="H1084" s="6" t="inlineStr">
        <is>
          <t>%</t>
        </is>
      </c>
      <c r="P1084" s="12">
        <f>INDIRECT_EFFECT("food","food_share","food_elasticity",0,"Rural","p75")</f>
        <v/>
      </c>
    </row>
    <row r="1085">
      <c r="D1085" s="6" t="inlineStr">
        <is>
          <t>p75</t>
        </is>
      </c>
      <c r="E1085" s="6" t="inlineStr">
        <is>
          <t>Rural</t>
        </is>
      </c>
      <c r="F1085" s="6" t="inlineStr">
        <is>
          <t>Deciles</t>
        </is>
      </c>
      <c r="G1085" s="6" t="inlineStr">
        <is>
          <t>food</t>
        </is>
      </c>
      <c r="H1085" s="6" t="inlineStr">
        <is>
          <t>%</t>
        </is>
      </c>
      <c r="Q1085" s="12">
        <f>INDIRECT_EFFECT("food","food_share","food_elasticity",DECILE_ARRAY,"Rural","p75")</f>
        <v/>
      </c>
    </row>
    <row r="1086"/>
    <row r="1087">
      <c r="C1087" s="7" t="inlineStr">
        <is>
          <t>Health Services Indirect Effect (% Total Consumption)</t>
        </is>
      </c>
      <c r="G1087" s="6" t="inlineStr">
        <is>
          <t>hea</t>
        </is>
      </c>
      <c r="O1087" s="8" t="inlineStr">
        <is>
          <t>Decile --&gt;</t>
        </is>
      </c>
      <c r="Q1087" s="8" t="n">
        <v>1</v>
      </c>
      <c r="R1087" s="8" t="n">
        <v>2</v>
      </c>
      <c r="S1087" s="8" t="n">
        <v>3</v>
      </c>
      <c r="T1087" s="8" t="n">
        <v>4</v>
      </c>
      <c r="U1087" s="8" t="n">
        <v>5</v>
      </c>
      <c r="V1087" s="8" t="n">
        <v>6</v>
      </c>
      <c r="W1087" s="8" t="n">
        <v>7</v>
      </c>
      <c r="X1087" s="8" t="n">
        <v>8</v>
      </c>
      <c r="Y1087" s="8" t="n">
        <v>9</v>
      </c>
      <c r="Z1087" s="8" t="n">
        <v>10</v>
      </c>
    </row>
    <row r="1088">
      <c r="D1088" s="6" t="inlineStr">
        <is>
          <t>mean</t>
        </is>
      </c>
      <c r="E1088" s="6" t="inlineStr">
        <is>
          <t>Overall</t>
        </is>
      </c>
      <c r="F1088" s="6" t="inlineStr">
        <is>
          <t>Basket</t>
        </is>
      </c>
      <c r="G1088" s="6" t="inlineStr">
        <is>
          <t>hea</t>
        </is>
      </c>
      <c r="H1088" s="6" t="inlineStr">
        <is>
          <t>%</t>
        </is>
      </c>
      <c r="P1088" s="12">
        <f>INDIRECT_EFFECT("hea","health_srv_share","health_srv_elasticity",0,"Overall","mean")</f>
        <v/>
      </c>
    </row>
    <row r="1089">
      <c r="D1089" s="6" t="inlineStr">
        <is>
          <t>mean</t>
        </is>
      </c>
      <c r="E1089" s="6" t="inlineStr">
        <is>
          <t>Overall</t>
        </is>
      </c>
      <c r="F1089" s="6" t="inlineStr">
        <is>
          <t>Deciles</t>
        </is>
      </c>
      <c r="G1089" s="6" t="inlineStr">
        <is>
          <t>hea</t>
        </is>
      </c>
      <c r="H1089" s="6" t="inlineStr">
        <is>
          <t>%</t>
        </is>
      </c>
      <c r="Q1089" s="12">
        <f>INDIRECT_EFFECT("hea","health_srv_share","health_srv_elasticity",DECILE_ARRAY,"Overall","mean")</f>
        <v/>
      </c>
    </row>
    <row r="1090">
      <c r="D1090" s="6" t="inlineStr">
        <is>
          <t>mean</t>
        </is>
      </c>
      <c r="E1090" s="6" t="inlineStr">
        <is>
          <t>Urban</t>
        </is>
      </c>
      <c r="F1090" s="6" t="inlineStr">
        <is>
          <t>Basket</t>
        </is>
      </c>
      <c r="G1090" s="6" t="inlineStr">
        <is>
          <t>hea</t>
        </is>
      </c>
      <c r="H1090" s="6" t="inlineStr">
        <is>
          <t>%</t>
        </is>
      </c>
      <c r="P1090" s="12">
        <f>INDIRECT_EFFECT("hea","health_srv_share","health_srv_elasticity",0,"Urban","mean")</f>
        <v/>
      </c>
    </row>
    <row r="1091">
      <c r="D1091" s="6" t="inlineStr">
        <is>
          <t>mean</t>
        </is>
      </c>
      <c r="E1091" s="6" t="inlineStr">
        <is>
          <t>Urban</t>
        </is>
      </c>
      <c r="F1091" s="6" t="inlineStr">
        <is>
          <t>Deciles</t>
        </is>
      </c>
      <c r="G1091" s="6" t="inlineStr">
        <is>
          <t>hea</t>
        </is>
      </c>
      <c r="H1091" s="6" t="inlineStr">
        <is>
          <t>%</t>
        </is>
      </c>
      <c r="Q1091" s="12">
        <f>INDIRECT_EFFECT("hea","health_srv_share","health_srv_elasticity",DECILE_ARRAY,"Urban","mean")</f>
        <v/>
      </c>
    </row>
    <row r="1092">
      <c r="D1092" s="6" t="inlineStr">
        <is>
          <t>mean</t>
        </is>
      </c>
      <c r="E1092" s="6" t="inlineStr">
        <is>
          <t>Rural</t>
        </is>
      </c>
      <c r="F1092" s="6" t="inlineStr">
        <is>
          <t>Basket</t>
        </is>
      </c>
      <c r="G1092" s="6" t="inlineStr">
        <is>
          <t>hea</t>
        </is>
      </c>
      <c r="H1092" s="6" t="inlineStr">
        <is>
          <t>%</t>
        </is>
      </c>
      <c r="P1092" s="12">
        <f>INDIRECT_EFFECT("hea","health_srv_share","health_srv_elasticity",0,"Rural","mean")</f>
        <v/>
      </c>
    </row>
    <row r="1093">
      <c r="D1093" s="6" t="inlineStr">
        <is>
          <t>mean</t>
        </is>
      </c>
      <c r="E1093" s="6" t="inlineStr">
        <is>
          <t>Rural</t>
        </is>
      </c>
      <c r="F1093" s="6" t="inlineStr">
        <is>
          <t>Deciles</t>
        </is>
      </c>
      <c r="G1093" s="6" t="inlineStr">
        <is>
          <t>hea</t>
        </is>
      </c>
      <c r="H1093" s="6" t="inlineStr">
        <is>
          <t>%</t>
        </is>
      </c>
      <c r="Q1093" s="12">
        <f>INDIRECT_EFFECT("hea","health_srv_share","health_srv_elasticity",DECILE_ARRAY,"Rural","mean")</f>
        <v/>
      </c>
    </row>
    <row r="1094">
      <c r="D1094" s="6" t="inlineStr">
        <is>
          <t>median</t>
        </is>
      </c>
      <c r="E1094" s="6" t="inlineStr">
        <is>
          <t>Overall</t>
        </is>
      </c>
      <c r="F1094" s="6" t="inlineStr">
        <is>
          <t>Basket</t>
        </is>
      </c>
      <c r="G1094" s="6" t="inlineStr">
        <is>
          <t>hea</t>
        </is>
      </c>
      <c r="H1094" s="6" t="inlineStr">
        <is>
          <t>%</t>
        </is>
      </c>
      <c r="P1094" s="12">
        <f>INDIRECT_EFFECT("hea","health_srv_share","health_srv_elasticity",0,"Overall","median")</f>
        <v/>
      </c>
    </row>
    <row r="1095">
      <c r="D1095" s="6" t="inlineStr">
        <is>
          <t>median</t>
        </is>
      </c>
      <c r="E1095" s="6" t="inlineStr">
        <is>
          <t>Overall</t>
        </is>
      </c>
      <c r="F1095" s="6" t="inlineStr">
        <is>
          <t>Deciles</t>
        </is>
      </c>
      <c r="G1095" s="6" t="inlineStr">
        <is>
          <t>hea</t>
        </is>
      </c>
      <c r="H1095" s="6" t="inlineStr">
        <is>
          <t>%</t>
        </is>
      </c>
      <c r="Q1095" s="12">
        <f>INDIRECT_EFFECT("hea","health_srv_share","health_srv_elasticity",DECILE_ARRAY,"Overall","median")</f>
        <v/>
      </c>
    </row>
    <row r="1096">
      <c r="D1096" s="6" t="inlineStr">
        <is>
          <t>median</t>
        </is>
      </c>
      <c r="E1096" s="6" t="inlineStr">
        <is>
          <t>Urban</t>
        </is>
      </c>
      <c r="F1096" s="6" t="inlineStr">
        <is>
          <t>Basket</t>
        </is>
      </c>
      <c r="G1096" s="6" t="inlineStr">
        <is>
          <t>hea</t>
        </is>
      </c>
      <c r="H1096" s="6" t="inlineStr">
        <is>
          <t>%</t>
        </is>
      </c>
      <c r="P1096" s="12">
        <f>INDIRECT_EFFECT("hea","health_srv_share","health_srv_elasticity",0,"Urban","median")</f>
        <v/>
      </c>
    </row>
    <row r="1097">
      <c r="D1097" s="6" t="inlineStr">
        <is>
          <t>median</t>
        </is>
      </c>
      <c r="E1097" s="6" t="inlineStr">
        <is>
          <t>Urban</t>
        </is>
      </c>
      <c r="F1097" s="6" t="inlineStr">
        <is>
          <t>Deciles</t>
        </is>
      </c>
      <c r="G1097" s="6" t="inlineStr">
        <is>
          <t>hea</t>
        </is>
      </c>
      <c r="H1097" s="6" t="inlineStr">
        <is>
          <t>%</t>
        </is>
      </c>
      <c r="Q1097" s="12">
        <f>INDIRECT_EFFECT("hea","health_srv_share","health_srv_elasticity",DECILE_ARRAY,"Urban","median")</f>
        <v/>
      </c>
    </row>
    <row r="1098">
      <c r="D1098" s="6" t="inlineStr">
        <is>
          <t>median</t>
        </is>
      </c>
      <c r="E1098" s="6" t="inlineStr">
        <is>
          <t>Rural</t>
        </is>
      </c>
      <c r="F1098" s="6" t="inlineStr">
        <is>
          <t>Basket</t>
        </is>
      </c>
      <c r="G1098" s="6" t="inlineStr">
        <is>
          <t>hea</t>
        </is>
      </c>
      <c r="H1098" s="6" t="inlineStr">
        <is>
          <t>%</t>
        </is>
      </c>
      <c r="P1098" s="12">
        <f>INDIRECT_EFFECT("hea","health_srv_share","health_srv_elasticity",0,"Rural","median")</f>
        <v/>
      </c>
    </row>
    <row r="1099">
      <c r="D1099" s="6" t="inlineStr">
        <is>
          <t>median</t>
        </is>
      </c>
      <c r="E1099" s="6" t="inlineStr">
        <is>
          <t>Rural</t>
        </is>
      </c>
      <c r="F1099" s="6" t="inlineStr">
        <is>
          <t>Deciles</t>
        </is>
      </c>
      <c r="G1099" s="6" t="inlineStr">
        <is>
          <t>hea</t>
        </is>
      </c>
      <c r="H1099" s="6" t="inlineStr">
        <is>
          <t>%</t>
        </is>
      </c>
      <c r="Q1099" s="12">
        <f>INDIRECT_EFFECT("hea","health_srv_share","health_srv_elasticity",DECILE_ARRAY,"Rural","median")</f>
        <v/>
      </c>
    </row>
    <row r="1100">
      <c r="D1100" s="6" t="inlineStr">
        <is>
          <t>p25</t>
        </is>
      </c>
      <c r="E1100" s="6" t="inlineStr">
        <is>
          <t>Overall</t>
        </is>
      </c>
      <c r="F1100" s="6" t="inlineStr">
        <is>
          <t>Basket</t>
        </is>
      </c>
      <c r="G1100" s="6" t="inlineStr">
        <is>
          <t>hea</t>
        </is>
      </c>
      <c r="H1100" s="6" t="inlineStr">
        <is>
          <t>%</t>
        </is>
      </c>
      <c r="P1100" s="12">
        <f>INDIRECT_EFFECT("hea","health_srv_share","health_srv_elasticity",0,"Overall","p25")</f>
        <v/>
      </c>
    </row>
    <row r="1101">
      <c r="D1101" s="6" t="inlineStr">
        <is>
          <t>p25</t>
        </is>
      </c>
      <c r="E1101" s="6" t="inlineStr">
        <is>
          <t>Overall</t>
        </is>
      </c>
      <c r="F1101" s="6" t="inlineStr">
        <is>
          <t>Deciles</t>
        </is>
      </c>
      <c r="G1101" s="6" t="inlineStr">
        <is>
          <t>hea</t>
        </is>
      </c>
      <c r="H1101" s="6" t="inlineStr">
        <is>
          <t>%</t>
        </is>
      </c>
      <c r="Q1101" s="12">
        <f>INDIRECT_EFFECT("hea","health_srv_share","health_srv_elasticity",DECILE_ARRAY,"Overall","p25")</f>
        <v/>
      </c>
    </row>
    <row r="1102">
      <c r="D1102" s="6" t="inlineStr">
        <is>
          <t>p25</t>
        </is>
      </c>
      <c r="E1102" s="6" t="inlineStr">
        <is>
          <t>Urban</t>
        </is>
      </c>
      <c r="F1102" s="6" t="inlineStr">
        <is>
          <t>Basket</t>
        </is>
      </c>
      <c r="G1102" s="6" t="inlineStr">
        <is>
          <t>hea</t>
        </is>
      </c>
      <c r="H1102" s="6" t="inlineStr">
        <is>
          <t>%</t>
        </is>
      </c>
      <c r="P1102" s="12">
        <f>INDIRECT_EFFECT("hea","health_srv_share","health_srv_elasticity",0,"Urban","p25")</f>
        <v/>
      </c>
    </row>
    <row r="1103">
      <c r="D1103" s="6" t="inlineStr">
        <is>
          <t>p25</t>
        </is>
      </c>
      <c r="E1103" s="6" t="inlineStr">
        <is>
          <t>Urban</t>
        </is>
      </c>
      <c r="F1103" s="6" t="inlineStr">
        <is>
          <t>Deciles</t>
        </is>
      </c>
      <c r="G1103" s="6" t="inlineStr">
        <is>
          <t>hea</t>
        </is>
      </c>
      <c r="H1103" s="6" t="inlineStr">
        <is>
          <t>%</t>
        </is>
      </c>
      <c r="Q1103" s="12">
        <f>INDIRECT_EFFECT("hea","health_srv_share","health_srv_elasticity",DECILE_ARRAY,"Urban","p25")</f>
        <v/>
      </c>
    </row>
    <row r="1104">
      <c r="D1104" s="6" t="inlineStr">
        <is>
          <t>p25</t>
        </is>
      </c>
      <c r="E1104" s="6" t="inlineStr">
        <is>
          <t>Rural</t>
        </is>
      </c>
      <c r="F1104" s="6" t="inlineStr">
        <is>
          <t>Basket</t>
        </is>
      </c>
      <c r="G1104" s="6" t="inlineStr">
        <is>
          <t>hea</t>
        </is>
      </c>
      <c r="H1104" s="6" t="inlineStr">
        <is>
          <t>%</t>
        </is>
      </c>
      <c r="P1104" s="12">
        <f>INDIRECT_EFFECT("hea","health_srv_share","health_srv_elasticity",0,"Rural","p25")</f>
        <v/>
      </c>
    </row>
    <row r="1105">
      <c r="D1105" s="6" t="inlineStr">
        <is>
          <t>p25</t>
        </is>
      </c>
      <c r="E1105" s="6" t="inlineStr">
        <is>
          <t>Rural</t>
        </is>
      </c>
      <c r="F1105" s="6" t="inlineStr">
        <is>
          <t>Deciles</t>
        </is>
      </c>
      <c r="G1105" s="6" t="inlineStr">
        <is>
          <t>hea</t>
        </is>
      </c>
      <c r="H1105" s="6" t="inlineStr">
        <is>
          <t>%</t>
        </is>
      </c>
      <c r="Q1105" s="12">
        <f>INDIRECT_EFFECT("hea","health_srv_share","health_srv_elasticity",DECILE_ARRAY,"Rural","p25")</f>
        <v/>
      </c>
    </row>
    <row r="1106">
      <c r="D1106" s="6" t="inlineStr">
        <is>
          <t>p75</t>
        </is>
      </c>
      <c r="E1106" s="6" t="inlineStr">
        <is>
          <t>Overall</t>
        </is>
      </c>
      <c r="F1106" s="6" t="inlineStr">
        <is>
          <t>Basket</t>
        </is>
      </c>
      <c r="G1106" s="6" t="inlineStr">
        <is>
          <t>hea</t>
        </is>
      </c>
      <c r="H1106" s="6" t="inlineStr">
        <is>
          <t>%</t>
        </is>
      </c>
      <c r="P1106" s="12">
        <f>INDIRECT_EFFECT("hea","health_srv_share","health_srv_elasticity",0,"Overall","p75")</f>
        <v/>
      </c>
    </row>
    <row r="1107">
      <c r="D1107" s="6" t="inlineStr">
        <is>
          <t>p75</t>
        </is>
      </c>
      <c r="E1107" s="6" t="inlineStr">
        <is>
          <t>Overall</t>
        </is>
      </c>
      <c r="F1107" s="6" t="inlineStr">
        <is>
          <t>Deciles</t>
        </is>
      </c>
      <c r="G1107" s="6" t="inlineStr">
        <is>
          <t>hea</t>
        </is>
      </c>
      <c r="H1107" s="6" t="inlineStr">
        <is>
          <t>%</t>
        </is>
      </c>
      <c r="Q1107" s="12">
        <f>INDIRECT_EFFECT("hea","health_srv_share","health_srv_elasticity",DECILE_ARRAY,"Overall","p75")</f>
        <v/>
      </c>
    </row>
    <row r="1108">
      <c r="D1108" s="6" t="inlineStr">
        <is>
          <t>p75</t>
        </is>
      </c>
      <c r="E1108" s="6" t="inlineStr">
        <is>
          <t>Urban</t>
        </is>
      </c>
      <c r="F1108" s="6" t="inlineStr">
        <is>
          <t>Basket</t>
        </is>
      </c>
      <c r="G1108" s="6" t="inlineStr">
        <is>
          <t>hea</t>
        </is>
      </c>
      <c r="H1108" s="6" t="inlineStr">
        <is>
          <t>%</t>
        </is>
      </c>
      <c r="P1108" s="12">
        <f>INDIRECT_EFFECT("hea","health_srv_share","health_srv_elasticity",0,"Urban","p75")</f>
        <v/>
      </c>
    </row>
    <row r="1109">
      <c r="D1109" s="6" t="inlineStr">
        <is>
          <t>p75</t>
        </is>
      </c>
      <c r="E1109" s="6" t="inlineStr">
        <is>
          <t>Urban</t>
        </is>
      </c>
      <c r="F1109" s="6" t="inlineStr">
        <is>
          <t>Deciles</t>
        </is>
      </c>
      <c r="G1109" s="6" t="inlineStr">
        <is>
          <t>hea</t>
        </is>
      </c>
      <c r="H1109" s="6" t="inlineStr">
        <is>
          <t>%</t>
        </is>
      </c>
      <c r="Q1109" s="12">
        <f>INDIRECT_EFFECT("hea","health_srv_share","health_srv_elasticity",DECILE_ARRAY,"Urban","p75")</f>
        <v/>
      </c>
    </row>
    <row r="1110">
      <c r="D1110" s="6" t="inlineStr">
        <is>
          <t>p75</t>
        </is>
      </c>
      <c r="E1110" s="6" t="inlineStr">
        <is>
          <t>Rural</t>
        </is>
      </c>
      <c r="F1110" s="6" t="inlineStr">
        <is>
          <t>Basket</t>
        </is>
      </c>
      <c r="G1110" s="6" t="inlineStr">
        <is>
          <t>hea</t>
        </is>
      </c>
      <c r="H1110" s="6" t="inlineStr">
        <is>
          <t>%</t>
        </is>
      </c>
      <c r="P1110" s="12">
        <f>INDIRECT_EFFECT("hea","health_srv_share","health_srv_elasticity",0,"Rural","p75")</f>
        <v/>
      </c>
    </row>
    <row r="1111">
      <c r="D1111" s="6" t="inlineStr">
        <is>
          <t>p75</t>
        </is>
      </c>
      <c r="E1111" s="6" t="inlineStr">
        <is>
          <t>Rural</t>
        </is>
      </c>
      <c r="F1111" s="6" t="inlineStr">
        <is>
          <t>Deciles</t>
        </is>
      </c>
      <c r="G1111" s="6" t="inlineStr">
        <is>
          <t>hea</t>
        </is>
      </c>
      <c r="H1111" s="6" t="inlineStr">
        <is>
          <t>%</t>
        </is>
      </c>
      <c r="Q1111" s="12">
        <f>INDIRECT_EFFECT("hea","health_srv_share","health_srv_elasticity",DECILE_ARRAY,"Rural","p75")</f>
        <v/>
      </c>
    </row>
    <row r="1112"/>
    <row r="1113">
      <c r="C1113" s="7" t="inlineStr">
        <is>
          <t>Housing Indirect Effect (% Total Consumption)</t>
        </is>
      </c>
      <c r="G1113" s="6" t="inlineStr">
        <is>
          <t>hou</t>
        </is>
      </c>
      <c r="O1113" s="8" t="inlineStr">
        <is>
          <t>Decile --&gt;</t>
        </is>
      </c>
      <c r="Q1113" s="8" t="n">
        <v>1</v>
      </c>
      <c r="R1113" s="8" t="n">
        <v>2</v>
      </c>
      <c r="S1113" s="8" t="n">
        <v>3</v>
      </c>
      <c r="T1113" s="8" t="n">
        <v>4</v>
      </c>
      <c r="U1113" s="8" t="n">
        <v>5</v>
      </c>
      <c r="V1113" s="8" t="n">
        <v>6</v>
      </c>
      <c r="W1113" s="8" t="n">
        <v>7</v>
      </c>
      <c r="X1113" s="8" t="n">
        <v>8</v>
      </c>
      <c r="Y1113" s="8" t="n">
        <v>9</v>
      </c>
      <c r="Z1113" s="8" t="n">
        <v>10</v>
      </c>
    </row>
    <row r="1114">
      <c r="D1114" s="6" t="inlineStr">
        <is>
          <t>mean</t>
        </is>
      </c>
      <c r="E1114" s="6" t="inlineStr">
        <is>
          <t>Overall</t>
        </is>
      </c>
      <c r="F1114" s="6" t="inlineStr">
        <is>
          <t>Basket</t>
        </is>
      </c>
      <c r="G1114" s="6" t="inlineStr">
        <is>
          <t>hou</t>
        </is>
      </c>
      <c r="H1114" s="6" t="inlineStr">
        <is>
          <t>%</t>
        </is>
      </c>
      <c r="P1114" s="12">
        <f>INDIRECT_EFFECT("hou","housing_share","housing_elasticity",0,"Overall","mean")</f>
        <v/>
      </c>
    </row>
    <row r="1115">
      <c r="D1115" s="6" t="inlineStr">
        <is>
          <t>mean</t>
        </is>
      </c>
      <c r="E1115" s="6" t="inlineStr">
        <is>
          <t>Overall</t>
        </is>
      </c>
      <c r="F1115" s="6" t="inlineStr">
        <is>
          <t>Deciles</t>
        </is>
      </c>
      <c r="G1115" s="6" t="inlineStr">
        <is>
          <t>hou</t>
        </is>
      </c>
      <c r="H1115" s="6" t="inlineStr">
        <is>
          <t>%</t>
        </is>
      </c>
      <c r="Q1115" s="12">
        <f>INDIRECT_EFFECT("hou","housing_share","housing_elasticity",DECILE_ARRAY,"Overall","mean")</f>
        <v/>
      </c>
    </row>
    <row r="1116">
      <c r="D1116" s="6" t="inlineStr">
        <is>
          <t>mean</t>
        </is>
      </c>
      <c r="E1116" s="6" t="inlineStr">
        <is>
          <t>Urban</t>
        </is>
      </c>
      <c r="F1116" s="6" t="inlineStr">
        <is>
          <t>Basket</t>
        </is>
      </c>
      <c r="G1116" s="6" t="inlineStr">
        <is>
          <t>hou</t>
        </is>
      </c>
      <c r="H1116" s="6" t="inlineStr">
        <is>
          <t>%</t>
        </is>
      </c>
      <c r="P1116" s="12">
        <f>INDIRECT_EFFECT("hou","housing_share","housing_elasticity",0,"Urban","mean")</f>
        <v/>
      </c>
    </row>
    <row r="1117">
      <c r="D1117" s="6" t="inlineStr">
        <is>
          <t>mean</t>
        </is>
      </c>
      <c r="E1117" s="6" t="inlineStr">
        <is>
          <t>Urban</t>
        </is>
      </c>
      <c r="F1117" s="6" t="inlineStr">
        <is>
          <t>Deciles</t>
        </is>
      </c>
      <c r="G1117" s="6" t="inlineStr">
        <is>
          <t>hou</t>
        </is>
      </c>
      <c r="H1117" s="6" t="inlineStr">
        <is>
          <t>%</t>
        </is>
      </c>
      <c r="Q1117" s="12">
        <f>INDIRECT_EFFECT("hou","housing_share","housing_elasticity",DECILE_ARRAY,"Urban","mean")</f>
        <v/>
      </c>
    </row>
    <row r="1118">
      <c r="D1118" s="6" t="inlineStr">
        <is>
          <t>mean</t>
        </is>
      </c>
      <c r="E1118" s="6" t="inlineStr">
        <is>
          <t>Rural</t>
        </is>
      </c>
      <c r="F1118" s="6" t="inlineStr">
        <is>
          <t>Basket</t>
        </is>
      </c>
      <c r="G1118" s="6" t="inlineStr">
        <is>
          <t>hou</t>
        </is>
      </c>
      <c r="H1118" s="6" t="inlineStr">
        <is>
          <t>%</t>
        </is>
      </c>
      <c r="P1118" s="12">
        <f>INDIRECT_EFFECT("hou","housing_share","housing_elasticity",0,"Rural","mean")</f>
        <v/>
      </c>
    </row>
    <row r="1119">
      <c r="D1119" s="6" t="inlineStr">
        <is>
          <t>mean</t>
        </is>
      </c>
      <c r="E1119" s="6" t="inlineStr">
        <is>
          <t>Rural</t>
        </is>
      </c>
      <c r="F1119" s="6" t="inlineStr">
        <is>
          <t>Deciles</t>
        </is>
      </c>
      <c r="G1119" s="6" t="inlineStr">
        <is>
          <t>hou</t>
        </is>
      </c>
      <c r="H1119" s="6" t="inlineStr">
        <is>
          <t>%</t>
        </is>
      </c>
      <c r="Q1119" s="12">
        <f>INDIRECT_EFFECT("hou","housing_share","housing_elasticity",DECILE_ARRAY,"Rural","mean")</f>
        <v/>
      </c>
    </row>
    <row r="1120">
      <c r="D1120" s="6" t="inlineStr">
        <is>
          <t>median</t>
        </is>
      </c>
      <c r="E1120" s="6" t="inlineStr">
        <is>
          <t>Overall</t>
        </is>
      </c>
      <c r="F1120" s="6" t="inlineStr">
        <is>
          <t>Basket</t>
        </is>
      </c>
      <c r="G1120" s="6" t="inlineStr">
        <is>
          <t>hou</t>
        </is>
      </c>
      <c r="H1120" s="6" t="inlineStr">
        <is>
          <t>%</t>
        </is>
      </c>
      <c r="P1120" s="12">
        <f>INDIRECT_EFFECT("hou","housing_share","housing_elasticity",0,"Overall","median")</f>
        <v/>
      </c>
    </row>
    <row r="1121">
      <c r="D1121" s="6" t="inlineStr">
        <is>
          <t>median</t>
        </is>
      </c>
      <c r="E1121" s="6" t="inlineStr">
        <is>
          <t>Overall</t>
        </is>
      </c>
      <c r="F1121" s="6" t="inlineStr">
        <is>
          <t>Deciles</t>
        </is>
      </c>
      <c r="G1121" s="6" t="inlineStr">
        <is>
          <t>hou</t>
        </is>
      </c>
      <c r="H1121" s="6" t="inlineStr">
        <is>
          <t>%</t>
        </is>
      </c>
      <c r="Q1121" s="12">
        <f>INDIRECT_EFFECT("hou","housing_share","housing_elasticity",DECILE_ARRAY,"Overall","median")</f>
        <v/>
      </c>
    </row>
    <row r="1122">
      <c r="D1122" s="6" t="inlineStr">
        <is>
          <t>median</t>
        </is>
      </c>
      <c r="E1122" s="6" t="inlineStr">
        <is>
          <t>Urban</t>
        </is>
      </c>
      <c r="F1122" s="6" t="inlineStr">
        <is>
          <t>Basket</t>
        </is>
      </c>
      <c r="G1122" s="6" t="inlineStr">
        <is>
          <t>hou</t>
        </is>
      </c>
      <c r="H1122" s="6" t="inlineStr">
        <is>
          <t>%</t>
        </is>
      </c>
      <c r="P1122" s="12">
        <f>INDIRECT_EFFECT("hou","housing_share","housing_elasticity",0,"Urban","median")</f>
        <v/>
      </c>
    </row>
    <row r="1123">
      <c r="D1123" s="6" t="inlineStr">
        <is>
          <t>median</t>
        </is>
      </c>
      <c r="E1123" s="6" t="inlineStr">
        <is>
          <t>Urban</t>
        </is>
      </c>
      <c r="F1123" s="6" t="inlineStr">
        <is>
          <t>Deciles</t>
        </is>
      </c>
      <c r="G1123" s="6" t="inlineStr">
        <is>
          <t>hou</t>
        </is>
      </c>
      <c r="H1123" s="6" t="inlineStr">
        <is>
          <t>%</t>
        </is>
      </c>
      <c r="Q1123" s="12">
        <f>INDIRECT_EFFECT("hou","housing_share","housing_elasticity",DECILE_ARRAY,"Urban","median")</f>
        <v/>
      </c>
    </row>
    <row r="1124">
      <c r="D1124" s="6" t="inlineStr">
        <is>
          <t>median</t>
        </is>
      </c>
      <c r="E1124" s="6" t="inlineStr">
        <is>
          <t>Rural</t>
        </is>
      </c>
      <c r="F1124" s="6" t="inlineStr">
        <is>
          <t>Basket</t>
        </is>
      </c>
      <c r="G1124" s="6" t="inlineStr">
        <is>
          <t>hou</t>
        </is>
      </c>
      <c r="H1124" s="6" t="inlineStr">
        <is>
          <t>%</t>
        </is>
      </c>
      <c r="P1124" s="12">
        <f>INDIRECT_EFFECT("hou","housing_share","housing_elasticity",0,"Rural","median")</f>
        <v/>
      </c>
    </row>
    <row r="1125">
      <c r="D1125" s="6" t="inlineStr">
        <is>
          <t>median</t>
        </is>
      </c>
      <c r="E1125" s="6" t="inlineStr">
        <is>
          <t>Rural</t>
        </is>
      </c>
      <c r="F1125" s="6" t="inlineStr">
        <is>
          <t>Deciles</t>
        </is>
      </c>
      <c r="G1125" s="6" t="inlineStr">
        <is>
          <t>hou</t>
        </is>
      </c>
      <c r="H1125" s="6" t="inlineStr">
        <is>
          <t>%</t>
        </is>
      </c>
      <c r="Q1125" s="12">
        <f>INDIRECT_EFFECT("hou","housing_share","housing_elasticity",DECILE_ARRAY,"Rural","median")</f>
        <v/>
      </c>
    </row>
    <row r="1126">
      <c r="D1126" s="6" t="inlineStr">
        <is>
          <t>p25</t>
        </is>
      </c>
      <c r="E1126" s="6" t="inlineStr">
        <is>
          <t>Overall</t>
        </is>
      </c>
      <c r="F1126" s="6" t="inlineStr">
        <is>
          <t>Basket</t>
        </is>
      </c>
      <c r="G1126" s="6" t="inlineStr">
        <is>
          <t>hou</t>
        </is>
      </c>
      <c r="H1126" s="6" t="inlineStr">
        <is>
          <t>%</t>
        </is>
      </c>
      <c r="P1126" s="12">
        <f>INDIRECT_EFFECT("hou","housing_share","housing_elasticity",0,"Overall","p25")</f>
        <v/>
      </c>
    </row>
    <row r="1127">
      <c r="D1127" s="6" t="inlineStr">
        <is>
          <t>p25</t>
        </is>
      </c>
      <c r="E1127" s="6" t="inlineStr">
        <is>
          <t>Overall</t>
        </is>
      </c>
      <c r="F1127" s="6" t="inlineStr">
        <is>
          <t>Deciles</t>
        </is>
      </c>
      <c r="G1127" s="6" t="inlineStr">
        <is>
          <t>hou</t>
        </is>
      </c>
      <c r="H1127" s="6" t="inlineStr">
        <is>
          <t>%</t>
        </is>
      </c>
      <c r="Q1127" s="12">
        <f>INDIRECT_EFFECT("hou","housing_share","housing_elasticity",DECILE_ARRAY,"Overall","p25")</f>
        <v/>
      </c>
    </row>
    <row r="1128">
      <c r="D1128" s="6" t="inlineStr">
        <is>
          <t>p25</t>
        </is>
      </c>
      <c r="E1128" s="6" t="inlineStr">
        <is>
          <t>Urban</t>
        </is>
      </c>
      <c r="F1128" s="6" t="inlineStr">
        <is>
          <t>Basket</t>
        </is>
      </c>
      <c r="G1128" s="6" t="inlineStr">
        <is>
          <t>hou</t>
        </is>
      </c>
      <c r="H1128" s="6" t="inlineStr">
        <is>
          <t>%</t>
        </is>
      </c>
      <c r="P1128" s="12">
        <f>INDIRECT_EFFECT("hou","housing_share","housing_elasticity",0,"Urban","p25")</f>
        <v/>
      </c>
    </row>
    <row r="1129">
      <c r="D1129" s="6" t="inlineStr">
        <is>
          <t>p25</t>
        </is>
      </c>
      <c r="E1129" s="6" t="inlineStr">
        <is>
          <t>Urban</t>
        </is>
      </c>
      <c r="F1129" s="6" t="inlineStr">
        <is>
          <t>Deciles</t>
        </is>
      </c>
      <c r="G1129" s="6" t="inlineStr">
        <is>
          <t>hou</t>
        </is>
      </c>
      <c r="H1129" s="6" t="inlineStr">
        <is>
          <t>%</t>
        </is>
      </c>
      <c r="Q1129" s="12">
        <f>INDIRECT_EFFECT("hou","housing_share","housing_elasticity",DECILE_ARRAY,"Urban","p25")</f>
        <v/>
      </c>
    </row>
    <row r="1130">
      <c r="D1130" s="6" t="inlineStr">
        <is>
          <t>p25</t>
        </is>
      </c>
      <c r="E1130" s="6" t="inlineStr">
        <is>
          <t>Rural</t>
        </is>
      </c>
      <c r="F1130" s="6" t="inlineStr">
        <is>
          <t>Basket</t>
        </is>
      </c>
      <c r="G1130" s="6" t="inlineStr">
        <is>
          <t>hou</t>
        </is>
      </c>
      <c r="H1130" s="6" t="inlineStr">
        <is>
          <t>%</t>
        </is>
      </c>
      <c r="P1130" s="12">
        <f>INDIRECT_EFFECT("hou","housing_share","housing_elasticity",0,"Rural","p25")</f>
        <v/>
      </c>
    </row>
    <row r="1131">
      <c r="D1131" s="6" t="inlineStr">
        <is>
          <t>p25</t>
        </is>
      </c>
      <c r="E1131" s="6" t="inlineStr">
        <is>
          <t>Rural</t>
        </is>
      </c>
      <c r="F1131" s="6" t="inlineStr">
        <is>
          <t>Deciles</t>
        </is>
      </c>
      <c r="G1131" s="6" t="inlineStr">
        <is>
          <t>hou</t>
        </is>
      </c>
      <c r="H1131" s="6" t="inlineStr">
        <is>
          <t>%</t>
        </is>
      </c>
      <c r="Q1131" s="12">
        <f>INDIRECT_EFFECT("hou","housing_share","housing_elasticity",DECILE_ARRAY,"Rural","p25")</f>
        <v/>
      </c>
    </row>
    <row r="1132">
      <c r="D1132" s="6" t="inlineStr">
        <is>
          <t>p75</t>
        </is>
      </c>
      <c r="E1132" s="6" t="inlineStr">
        <is>
          <t>Overall</t>
        </is>
      </c>
      <c r="F1132" s="6" t="inlineStr">
        <is>
          <t>Basket</t>
        </is>
      </c>
      <c r="G1132" s="6" t="inlineStr">
        <is>
          <t>hou</t>
        </is>
      </c>
      <c r="H1132" s="6" t="inlineStr">
        <is>
          <t>%</t>
        </is>
      </c>
      <c r="P1132" s="12">
        <f>INDIRECT_EFFECT("hou","housing_share","housing_elasticity",0,"Overall","p75")</f>
        <v/>
      </c>
    </row>
    <row r="1133">
      <c r="D1133" s="6" t="inlineStr">
        <is>
          <t>p75</t>
        </is>
      </c>
      <c r="E1133" s="6" t="inlineStr">
        <is>
          <t>Overall</t>
        </is>
      </c>
      <c r="F1133" s="6" t="inlineStr">
        <is>
          <t>Deciles</t>
        </is>
      </c>
      <c r="G1133" s="6" t="inlineStr">
        <is>
          <t>hou</t>
        </is>
      </c>
      <c r="H1133" s="6" t="inlineStr">
        <is>
          <t>%</t>
        </is>
      </c>
      <c r="Q1133" s="12">
        <f>INDIRECT_EFFECT("hou","housing_share","housing_elasticity",DECILE_ARRAY,"Overall","p75")</f>
        <v/>
      </c>
    </row>
    <row r="1134">
      <c r="D1134" s="6" t="inlineStr">
        <is>
          <t>p75</t>
        </is>
      </c>
      <c r="E1134" s="6" t="inlineStr">
        <is>
          <t>Urban</t>
        </is>
      </c>
      <c r="F1134" s="6" t="inlineStr">
        <is>
          <t>Basket</t>
        </is>
      </c>
      <c r="G1134" s="6" t="inlineStr">
        <is>
          <t>hou</t>
        </is>
      </c>
      <c r="H1134" s="6" t="inlineStr">
        <is>
          <t>%</t>
        </is>
      </c>
      <c r="P1134" s="12">
        <f>INDIRECT_EFFECT("hou","housing_share","housing_elasticity",0,"Urban","p75")</f>
        <v/>
      </c>
    </row>
    <row r="1135">
      <c r="D1135" s="6" t="inlineStr">
        <is>
          <t>p75</t>
        </is>
      </c>
      <c r="E1135" s="6" t="inlineStr">
        <is>
          <t>Urban</t>
        </is>
      </c>
      <c r="F1135" s="6" t="inlineStr">
        <is>
          <t>Deciles</t>
        </is>
      </c>
      <c r="G1135" s="6" t="inlineStr">
        <is>
          <t>hou</t>
        </is>
      </c>
      <c r="H1135" s="6" t="inlineStr">
        <is>
          <t>%</t>
        </is>
      </c>
      <c r="Q1135" s="12">
        <f>INDIRECT_EFFECT("hou","housing_share","housing_elasticity",DECILE_ARRAY,"Urban","p75")</f>
        <v/>
      </c>
    </row>
    <row r="1136">
      <c r="D1136" s="6" t="inlineStr">
        <is>
          <t>p75</t>
        </is>
      </c>
      <c r="E1136" s="6" t="inlineStr">
        <is>
          <t>Rural</t>
        </is>
      </c>
      <c r="F1136" s="6" t="inlineStr">
        <is>
          <t>Basket</t>
        </is>
      </c>
      <c r="G1136" s="6" t="inlineStr">
        <is>
          <t>hou</t>
        </is>
      </c>
      <c r="H1136" s="6" t="inlineStr">
        <is>
          <t>%</t>
        </is>
      </c>
      <c r="P1136" s="12">
        <f>INDIRECT_EFFECT("hou","housing_share","housing_elasticity",0,"Rural","p75")</f>
        <v/>
      </c>
    </row>
    <row r="1137">
      <c r="D1137" s="6" t="inlineStr">
        <is>
          <t>p75</t>
        </is>
      </c>
      <c r="E1137" s="6" t="inlineStr">
        <is>
          <t>Rural</t>
        </is>
      </c>
      <c r="F1137" s="6" t="inlineStr">
        <is>
          <t>Deciles</t>
        </is>
      </c>
      <c r="G1137" s="6" t="inlineStr">
        <is>
          <t>hou</t>
        </is>
      </c>
      <c r="H1137" s="6" t="inlineStr">
        <is>
          <t>%</t>
        </is>
      </c>
      <c r="Q1137" s="12">
        <f>INDIRECT_EFFECT("hou","housing_share","housing_elasticity",DECILE_ARRAY,"Rural","p75")</f>
        <v/>
      </c>
    </row>
    <row r="1138"/>
    <row r="1139">
      <c r="C1139" s="7" t="inlineStr">
        <is>
          <t>Other Indirect Effect (% Total Consumption)</t>
        </is>
      </c>
      <c r="G1139" s="6" t="inlineStr">
        <is>
          <t>oth</t>
        </is>
      </c>
      <c r="O1139" s="8" t="inlineStr">
        <is>
          <t>Decile --&gt;</t>
        </is>
      </c>
      <c r="Q1139" s="8" t="n">
        <v>1</v>
      </c>
      <c r="R1139" s="8" t="n">
        <v>2</v>
      </c>
      <c r="S1139" s="8" t="n">
        <v>3</v>
      </c>
      <c r="T1139" s="8" t="n">
        <v>4</v>
      </c>
      <c r="U1139" s="8" t="n">
        <v>5</v>
      </c>
      <c r="V1139" s="8" t="n">
        <v>6</v>
      </c>
      <c r="W1139" s="8" t="n">
        <v>7</v>
      </c>
      <c r="X1139" s="8" t="n">
        <v>8</v>
      </c>
      <c r="Y1139" s="8" t="n">
        <v>9</v>
      </c>
      <c r="Z1139" s="8" t="n">
        <v>10</v>
      </c>
    </row>
    <row r="1140">
      <c r="D1140" s="6" t="inlineStr">
        <is>
          <t>mean</t>
        </is>
      </c>
      <c r="E1140" s="6" t="inlineStr">
        <is>
          <t>Overall</t>
        </is>
      </c>
      <c r="F1140" s="6" t="inlineStr">
        <is>
          <t>Basket</t>
        </is>
      </c>
      <c r="G1140" s="6" t="inlineStr">
        <is>
          <t>oth</t>
        </is>
      </c>
      <c r="H1140" s="6" t="inlineStr">
        <is>
          <t>%</t>
        </is>
      </c>
      <c r="P1140" s="12">
        <f>INDIRECT_EFFECT("oth","other_share","other_elasticity",0,"Overall","mean")</f>
        <v/>
      </c>
    </row>
    <row r="1141">
      <c r="D1141" s="6" t="inlineStr">
        <is>
          <t>mean</t>
        </is>
      </c>
      <c r="E1141" s="6" t="inlineStr">
        <is>
          <t>Overall</t>
        </is>
      </c>
      <c r="F1141" s="6" t="inlineStr">
        <is>
          <t>Deciles</t>
        </is>
      </c>
      <c r="G1141" s="6" t="inlineStr">
        <is>
          <t>oth</t>
        </is>
      </c>
      <c r="H1141" s="6" t="inlineStr">
        <is>
          <t>%</t>
        </is>
      </c>
      <c r="Q1141" s="12">
        <f>INDIRECT_EFFECT("oth","other_share","other_elasticity",DECILE_ARRAY,"Overall","mean")</f>
        <v/>
      </c>
    </row>
    <row r="1142">
      <c r="D1142" s="6" t="inlineStr">
        <is>
          <t>mean</t>
        </is>
      </c>
      <c r="E1142" s="6" t="inlineStr">
        <is>
          <t>Urban</t>
        </is>
      </c>
      <c r="F1142" s="6" t="inlineStr">
        <is>
          <t>Basket</t>
        </is>
      </c>
      <c r="G1142" s="6" t="inlineStr">
        <is>
          <t>oth</t>
        </is>
      </c>
      <c r="H1142" s="6" t="inlineStr">
        <is>
          <t>%</t>
        </is>
      </c>
      <c r="P1142" s="12">
        <f>INDIRECT_EFFECT("oth","other_share","other_elasticity",0,"Urban","mean")</f>
        <v/>
      </c>
    </row>
    <row r="1143">
      <c r="D1143" s="6" t="inlineStr">
        <is>
          <t>mean</t>
        </is>
      </c>
      <c r="E1143" s="6" t="inlineStr">
        <is>
          <t>Urban</t>
        </is>
      </c>
      <c r="F1143" s="6" t="inlineStr">
        <is>
          <t>Deciles</t>
        </is>
      </c>
      <c r="G1143" s="6" t="inlineStr">
        <is>
          <t>oth</t>
        </is>
      </c>
      <c r="H1143" s="6" t="inlineStr">
        <is>
          <t>%</t>
        </is>
      </c>
      <c r="Q1143" s="12">
        <f>INDIRECT_EFFECT("oth","other_share","other_elasticity",DECILE_ARRAY,"Urban","mean")</f>
        <v/>
      </c>
    </row>
    <row r="1144">
      <c r="D1144" s="6" t="inlineStr">
        <is>
          <t>mean</t>
        </is>
      </c>
      <c r="E1144" s="6" t="inlineStr">
        <is>
          <t>Rural</t>
        </is>
      </c>
      <c r="F1144" s="6" t="inlineStr">
        <is>
          <t>Basket</t>
        </is>
      </c>
      <c r="G1144" s="6" t="inlineStr">
        <is>
          <t>oth</t>
        </is>
      </c>
      <c r="H1144" s="6" t="inlineStr">
        <is>
          <t>%</t>
        </is>
      </c>
      <c r="P1144" s="12">
        <f>INDIRECT_EFFECT("oth","other_share","other_elasticity",0,"Rural","mean")</f>
        <v/>
      </c>
    </row>
    <row r="1145">
      <c r="D1145" s="6" t="inlineStr">
        <is>
          <t>mean</t>
        </is>
      </c>
      <c r="E1145" s="6" t="inlineStr">
        <is>
          <t>Rural</t>
        </is>
      </c>
      <c r="F1145" s="6" t="inlineStr">
        <is>
          <t>Deciles</t>
        </is>
      </c>
      <c r="G1145" s="6" t="inlineStr">
        <is>
          <t>oth</t>
        </is>
      </c>
      <c r="H1145" s="6" t="inlineStr">
        <is>
          <t>%</t>
        </is>
      </c>
      <c r="Q1145" s="12">
        <f>INDIRECT_EFFECT("oth","other_share","other_elasticity",DECILE_ARRAY,"Rural","mean")</f>
        <v/>
      </c>
    </row>
    <row r="1146">
      <c r="D1146" s="6" t="inlineStr">
        <is>
          <t>median</t>
        </is>
      </c>
      <c r="E1146" s="6" t="inlineStr">
        <is>
          <t>Overall</t>
        </is>
      </c>
      <c r="F1146" s="6" t="inlineStr">
        <is>
          <t>Basket</t>
        </is>
      </c>
      <c r="G1146" s="6" t="inlineStr">
        <is>
          <t>oth</t>
        </is>
      </c>
      <c r="H1146" s="6" t="inlineStr">
        <is>
          <t>%</t>
        </is>
      </c>
      <c r="P1146" s="12">
        <f>INDIRECT_EFFECT("oth","other_share","other_elasticity",0,"Overall","median")</f>
        <v/>
      </c>
    </row>
    <row r="1147">
      <c r="D1147" s="6" t="inlineStr">
        <is>
          <t>median</t>
        </is>
      </c>
      <c r="E1147" s="6" t="inlineStr">
        <is>
          <t>Overall</t>
        </is>
      </c>
      <c r="F1147" s="6" t="inlineStr">
        <is>
          <t>Deciles</t>
        </is>
      </c>
      <c r="G1147" s="6" t="inlineStr">
        <is>
          <t>oth</t>
        </is>
      </c>
      <c r="H1147" s="6" t="inlineStr">
        <is>
          <t>%</t>
        </is>
      </c>
      <c r="Q1147" s="12">
        <f>INDIRECT_EFFECT("oth","other_share","other_elasticity",DECILE_ARRAY,"Overall","median")</f>
        <v/>
      </c>
    </row>
    <row r="1148">
      <c r="D1148" s="6" t="inlineStr">
        <is>
          <t>median</t>
        </is>
      </c>
      <c r="E1148" s="6" t="inlineStr">
        <is>
          <t>Urban</t>
        </is>
      </c>
      <c r="F1148" s="6" t="inlineStr">
        <is>
          <t>Basket</t>
        </is>
      </c>
      <c r="G1148" s="6" t="inlineStr">
        <is>
          <t>oth</t>
        </is>
      </c>
      <c r="H1148" s="6" t="inlineStr">
        <is>
          <t>%</t>
        </is>
      </c>
      <c r="P1148" s="12">
        <f>INDIRECT_EFFECT("oth","other_share","other_elasticity",0,"Urban","median")</f>
        <v/>
      </c>
    </row>
    <row r="1149">
      <c r="D1149" s="6" t="inlineStr">
        <is>
          <t>median</t>
        </is>
      </c>
      <c r="E1149" s="6" t="inlineStr">
        <is>
          <t>Urban</t>
        </is>
      </c>
      <c r="F1149" s="6" t="inlineStr">
        <is>
          <t>Deciles</t>
        </is>
      </c>
      <c r="G1149" s="6" t="inlineStr">
        <is>
          <t>oth</t>
        </is>
      </c>
      <c r="H1149" s="6" t="inlineStr">
        <is>
          <t>%</t>
        </is>
      </c>
      <c r="Q1149" s="12">
        <f>INDIRECT_EFFECT("oth","other_share","other_elasticity",DECILE_ARRAY,"Urban","median")</f>
        <v/>
      </c>
    </row>
    <row r="1150">
      <c r="D1150" s="6" t="inlineStr">
        <is>
          <t>median</t>
        </is>
      </c>
      <c r="E1150" s="6" t="inlineStr">
        <is>
          <t>Rural</t>
        </is>
      </c>
      <c r="F1150" s="6" t="inlineStr">
        <is>
          <t>Basket</t>
        </is>
      </c>
      <c r="G1150" s="6" t="inlineStr">
        <is>
          <t>oth</t>
        </is>
      </c>
      <c r="H1150" s="6" t="inlineStr">
        <is>
          <t>%</t>
        </is>
      </c>
      <c r="P1150" s="12">
        <f>INDIRECT_EFFECT("oth","other_share","other_elasticity",0,"Rural","median")</f>
        <v/>
      </c>
    </row>
    <row r="1151">
      <c r="D1151" s="6" t="inlineStr">
        <is>
          <t>median</t>
        </is>
      </c>
      <c r="E1151" s="6" t="inlineStr">
        <is>
          <t>Rural</t>
        </is>
      </c>
      <c r="F1151" s="6" t="inlineStr">
        <is>
          <t>Deciles</t>
        </is>
      </c>
      <c r="G1151" s="6" t="inlineStr">
        <is>
          <t>oth</t>
        </is>
      </c>
      <c r="H1151" s="6" t="inlineStr">
        <is>
          <t>%</t>
        </is>
      </c>
      <c r="Q1151" s="12">
        <f>INDIRECT_EFFECT("oth","other_share","other_elasticity",DECILE_ARRAY,"Rural","median")</f>
        <v/>
      </c>
    </row>
    <row r="1152">
      <c r="D1152" s="6" t="inlineStr">
        <is>
          <t>p25</t>
        </is>
      </c>
      <c r="E1152" s="6" t="inlineStr">
        <is>
          <t>Overall</t>
        </is>
      </c>
      <c r="F1152" s="6" t="inlineStr">
        <is>
          <t>Basket</t>
        </is>
      </c>
      <c r="G1152" s="6" t="inlineStr">
        <is>
          <t>oth</t>
        </is>
      </c>
      <c r="H1152" s="6" t="inlineStr">
        <is>
          <t>%</t>
        </is>
      </c>
      <c r="P1152" s="12">
        <f>INDIRECT_EFFECT("oth","other_share","other_elasticity",0,"Overall","p25")</f>
        <v/>
      </c>
    </row>
    <row r="1153">
      <c r="D1153" s="6" t="inlineStr">
        <is>
          <t>p25</t>
        </is>
      </c>
      <c r="E1153" s="6" t="inlineStr">
        <is>
          <t>Overall</t>
        </is>
      </c>
      <c r="F1153" s="6" t="inlineStr">
        <is>
          <t>Deciles</t>
        </is>
      </c>
      <c r="G1153" s="6" t="inlineStr">
        <is>
          <t>oth</t>
        </is>
      </c>
      <c r="H1153" s="6" t="inlineStr">
        <is>
          <t>%</t>
        </is>
      </c>
      <c r="Q1153" s="12">
        <f>INDIRECT_EFFECT("oth","other_share","other_elasticity",DECILE_ARRAY,"Overall","p25")</f>
        <v/>
      </c>
    </row>
    <row r="1154">
      <c r="D1154" s="6" t="inlineStr">
        <is>
          <t>p25</t>
        </is>
      </c>
      <c r="E1154" s="6" t="inlineStr">
        <is>
          <t>Urban</t>
        </is>
      </c>
      <c r="F1154" s="6" t="inlineStr">
        <is>
          <t>Basket</t>
        </is>
      </c>
      <c r="G1154" s="6" t="inlineStr">
        <is>
          <t>oth</t>
        </is>
      </c>
      <c r="H1154" s="6" t="inlineStr">
        <is>
          <t>%</t>
        </is>
      </c>
      <c r="P1154" s="12">
        <f>INDIRECT_EFFECT("oth","other_share","other_elasticity",0,"Urban","p25")</f>
        <v/>
      </c>
    </row>
    <row r="1155">
      <c r="D1155" s="6" t="inlineStr">
        <is>
          <t>p25</t>
        </is>
      </c>
      <c r="E1155" s="6" t="inlineStr">
        <is>
          <t>Urban</t>
        </is>
      </c>
      <c r="F1155" s="6" t="inlineStr">
        <is>
          <t>Deciles</t>
        </is>
      </c>
      <c r="G1155" s="6" t="inlineStr">
        <is>
          <t>oth</t>
        </is>
      </c>
      <c r="H1155" s="6" t="inlineStr">
        <is>
          <t>%</t>
        </is>
      </c>
      <c r="Q1155" s="12">
        <f>INDIRECT_EFFECT("oth","other_share","other_elasticity",DECILE_ARRAY,"Urban","p25")</f>
        <v/>
      </c>
    </row>
    <row r="1156">
      <c r="D1156" s="6" t="inlineStr">
        <is>
          <t>p25</t>
        </is>
      </c>
      <c r="E1156" s="6" t="inlineStr">
        <is>
          <t>Rural</t>
        </is>
      </c>
      <c r="F1156" s="6" t="inlineStr">
        <is>
          <t>Basket</t>
        </is>
      </c>
      <c r="G1156" s="6" t="inlineStr">
        <is>
          <t>oth</t>
        </is>
      </c>
      <c r="H1156" s="6" t="inlineStr">
        <is>
          <t>%</t>
        </is>
      </c>
      <c r="P1156" s="12">
        <f>INDIRECT_EFFECT("oth","other_share","other_elasticity",0,"Rural","p25")</f>
        <v/>
      </c>
    </row>
    <row r="1157">
      <c r="D1157" s="6" t="inlineStr">
        <is>
          <t>p25</t>
        </is>
      </c>
      <c r="E1157" s="6" t="inlineStr">
        <is>
          <t>Rural</t>
        </is>
      </c>
      <c r="F1157" s="6" t="inlineStr">
        <is>
          <t>Deciles</t>
        </is>
      </c>
      <c r="G1157" s="6" t="inlineStr">
        <is>
          <t>oth</t>
        </is>
      </c>
      <c r="H1157" s="6" t="inlineStr">
        <is>
          <t>%</t>
        </is>
      </c>
      <c r="Q1157" s="12">
        <f>INDIRECT_EFFECT("oth","other_share","other_elasticity",DECILE_ARRAY,"Rural","p25")</f>
        <v/>
      </c>
    </row>
    <row r="1158">
      <c r="D1158" s="6" t="inlineStr">
        <is>
          <t>p75</t>
        </is>
      </c>
      <c r="E1158" s="6" t="inlineStr">
        <is>
          <t>Overall</t>
        </is>
      </c>
      <c r="F1158" s="6" t="inlineStr">
        <is>
          <t>Basket</t>
        </is>
      </c>
      <c r="G1158" s="6" t="inlineStr">
        <is>
          <t>oth</t>
        </is>
      </c>
      <c r="H1158" s="6" t="inlineStr">
        <is>
          <t>%</t>
        </is>
      </c>
      <c r="P1158" s="12">
        <f>INDIRECT_EFFECT("oth","other_share","other_elasticity",0,"Overall","p75")</f>
        <v/>
      </c>
    </row>
    <row r="1159">
      <c r="D1159" s="6" t="inlineStr">
        <is>
          <t>p75</t>
        </is>
      </c>
      <c r="E1159" s="6" t="inlineStr">
        <is>
          <t>Overall</t>
        </is>
      </c>
      <c r="F1159" s="6" t="inlineStr">
        <is>
          <t>Deciles</t>
        </is>
      </c>
      <c r="G1159" s="6" t="inlineStr">
        <is>
          <t>oth</t>
        </is>
      </c>
      <c r="H1159" s="6" t="inlineStr">
        <is>
          <t>%</t>
        </is>
      </c>
      <c r="Q1159" s="12">
        <f>INDIRECT_EFFECT("oth","other_share","other_elasticity",DECILE_ARRAY,"Overall","p75")</f>
        <v/>
      </c>
    </row>
    <row r="1160">
      <c r="D1160" s="6" t="inlineStr">
        <is>
          <t>p75</t>
        </is>
      </c>
      <c r="E1160" s="6" t="inlineStr">
        <is>
          <t>Urban</t>
        </is>
      </c>
      <c r="F1160" s="6" t="inlineStr">
        <is>
          <t>Basket</t>
        </is>
      </c>
      <c r="G1160" s="6" t="inlineStr">
        <is>
          <t>oth</t>
        </is>
      </c>
      <c r="H1160" s="6" t="inlineStr">
        <is>
          <t>%</t>
        </is>
      </c>
      <c r="P1160" s="12">
        <f>INDIRECT_EFFECT("oth","other_share","other_elasticity",0,"Urban","p75")</f>
        <v/>
      </c>
    </row>
    <row r="1161">
      <c r="D1161" s="6" t="inlineStr">
        <is>
          <t>p75</t>
        </is>
      </c>
      <c r="E1161" s="6" t="inlineStr">
        <is>
          <t>Urban</t>
        </is>
      </c>
      <c r="F1161" s="6" t="inlineStr">
        <is>
          <t>Deciles</t>
        </is>
      </c>
      <c r="G1161" s="6" t="inlineStr">
        <is>
          <t>oth</t>
        </is>
      </c>
      <c r="H1161" s="6" t="inlineStr">
        <is>
          <t>%</t>
        </is>
      </c>
      <c r="Q1161" s="12">
        <f>INDIRECT_EFFECT("oth","other_share","other_elasticity",DECILE_ARRAY,"Urban","p75")</f>
        <v/>
      </c>
    </row>
    <row r="1162">
      <c r="D1162" s="6" t="inlineStr">
        <is>
          <t>p75</t>
        </is>
      </c>
      <c r="E1162" s="6" t="inlineStr">
        <is>
          <t>Rural</t>
        </is>
      </c>
      <c r="F1162" s="6" t="inlineStr">
        <is>
          <t>Basket</t>
        </is>
      </c>
      <c r="G1162" s="6" t="inlineStr">
        <is>
          <t>oth</t>
        </is>
      </c>
      <c r="H1162" s="6" t="inlineStr">
        <is>
          <t>%</t>
        </is>
      </c>
      <c r="P1162" s="12">
        <f>INDIRECT_EFFECT("oth","other_share","other_elasticity",0,"Rural","p75")</f>
        <v/>
      </c>
    </row>
    <row r="1163">
      <c r="D1163" s="6" t="inlineStr">
        <is>
          <t>p75</t>
        </is>
      </c>
      <c r="E1163" s="6" t="inlineStr">
        <is>
          <t>Rural</t>
        </is>
      </c>
      <c r="F1163" s="6" t="inlineStr">
        <is>
          <t>Deciles</t>
        </is>
      </c>
      <c r="G1163" s="6" t="inlineStr">
        <is>
          <t>oth</t>
        </is>
      </c>
      <c r="H1163" s="6" t="inlineStr">
        <is>
          <t>%</t>
        </is>
      </c>
      <c r="Q1163" s="12">
        <f>INDIRECT_EFFECT("oth","other_share","other_elasticity",DECILE_ARRAY,"Rural","p75")</f>
        <v/>
      </c>
    </row>
    <row r="1164"/>
    <row r="1165">
      <c r="C1165" s="7" t="inlineStr">
        <is>
          <t>Paper Indirect Effect (% Total Consumption)</t>
        </is>
      </c>
      <c r="G1165" s="6" t="inlineStr">
        <is>
          <t>pap</t>
        </is>
      </c>
      <c r="O1165" s="8" t="inlineStr">
        <is>
          <t>Decile --&gt;</t>
        </is>
      </c>
      <c r="Q1165" s="8" t="n">
        <v>1</v>
      </c>
      <c r="R1165" s="8" t="n">
        <v>2</v>
      </c>
      <c r="S1165" s="8" t="n">
        <v>3</v>
      </c>
      <c r="T1165" s="8" t="n">
        <v>4</v>
      </c>
      <c r="U1165" s="8" t="n">
        <v>5</v>
      </c>
      <c r="V1165" s="8" t="n">
        <v>6</v>
      </c>
      <c r="W1165" s="8" t="n">
        <v>7</v>
      </c>
      <c r="X1165" s="8" t="n">
        <v>8</v>
      </c>
      <c r="Y1165" s="8" t="n">
        <v>9</v>
      </c>
      <c r="Z1165" s="8" t="n">
        <v>10</v>
      </c>
    </row>
    <row r="1166">
      <c r="D1166" s="6" t="inlineStr">
        <is>
          <t>mean</t>
        </is>
      </c>
      <c r="E1166" s="6" t="inlineStr">
        <is>
          <t>Overall</t>
        </is>
      </c>
      <c r="F1166" s="6" t="inlineStr">
        <is>
          <t>Basket</t>
        </is>
      </c>
      <c r="G1166" s="6" t="inlineStr">
        <is>
          <t>pap</t>
        </is>
      </c>
      <c r="H1166" s="6" t="inlineStr">
        <is>
          <t>%</t>
        </is>
      </c>
      <c r="P1166" s="12">
        <f>INDIRECT_EFFECT("pap","paper_share","paper_elasticity",0,"Overall","mean")</f>
        <v/>
      </c>
    </row>
    <row r="1167">
      <c r="D1167" s="6" t="inlineStr">
        <is>
          <t>mean</t>
        </is>
      </c>
      <c r="E1167" s="6" t="inlineStr">
        <is>
          <t>Overall</t>
        </is>
      </c>
      <c r="F1167" s="6" t="inlineStr">
        <is>
          <t>Deciles</t>
        </is>
      </c>
      <c r="G1167" s="6" t="inlineStr">
        <is>
          <t>pap</t>
        </is>
      </c>
      <c r="H1167" s="6" t="inlineStr">
        <is>
          <t>%</t>
        </is>
      </c>
      <c r="Q1167" s="12">
        <f>INDIRECT_EFFECT("pap","paper_share","paper_elasticity",DECILE_ARRAY,"Overall","mean")</f>
        <v/>
      </c>
    </row>
    <row r="1168">
      <c r="D1168" s="6" t="inlineStr">
        <is>
          <t>mean</t>
        </is>
      </c>
      <c r="E1168" s="6" t="inlineStr">
        <is>
          <t>Urban</t>
        </is>
      </c>
      <c r="F1168" s="6" t="inlineStr">
        <is>
          <t>Basket</t>
        </is>
      </c>
      <c r="G1168" s="6" t="inlineStr">
        <is>
          <t>pap</t>
        </is>
      </c>
      <c r="H1168" s="6" t="inlineStr">
        <is>
          <t>%</t>
        </is>
      </c>
      <c r="P1168" s="12">
        <f>INDIRECT_EFFECT("pap","paper_share","paper_elasticity",0,"Urban","mean")</f>
        <v/>
      </c>
    </row>
    <row r="1169">
      <c r="D1169" s="6" t="inlineStr">
        <is>
          <t>mean</t>
        </is>
      </c>
      <c r="E1169" s="6" t="inlineStr">
        <is>
          <t>Urban</t>
        </is>
      </c>
      <c r="F1169" s="6" t="inlineStr">
        <is>
          <t>Deciles</t>
        </is>
      </c>
      <c r="G1169" s="6" t="inlineStr">
        <is>
          <t>pap</t>
        </is>
      </c>
      <c r="H1169" s="6" t="inlineStr">
        <is>
          <t>%</t>
        </is>
      </c>
      <c r="Q1169" s="12">
        <f>INDIRECT_EFFECT("pap","paper_share","paper_elasticity",DECILE_ARRAY,"Urban","mean")</f>
        <v/>
      </c>
    </row>
    <row r="1170">
      <c r="D1170" s="6" t="inlineStr">
        <is>
          <t>mean</t>
        </is>
      </c>
      <c r="E1170" s="6" t="inlineStr">
        <is>
          <t>Rural</t>
        </is>
      </c>
      <c r="F1170" s="6" t="inlineStr">
        <is>
          <t>Basket</t>
        </is>
      </c>
      <c r="G1170" s="6" t="inlineStr">
        <is>
          <t>pap</t>
        </is>
      </c>
      <c r="H1170" s="6" t="inlineStr">
        <is>
          <t>%</t>
        </is>
      </c>
      <c r="P1170" s="12">
        <f>INDIRECT_EFFECT("pap","paper_share","paper_elasticity",0,"Rural","mean")</f>
        <v/>
      </c>
    </row>
    <row r="1171">
      <c r="D1171" s="6" t="inlineStr">
        <is>
          <t>mean</t>
        </is>
      </c>
      <c r="E1171" s="6" t="inlineStr">
        <is>
          <t>Rural</t>
        </is>
      </c>
      <c r="F1171" s="6" t="inlineStr">
        <is>
          <t>Deciles</t>
        </is>
      </c>
      <c r="G1171" s="6" t="inlineStr">
        <is>
          <t>pap</t>
        </is>
      </c>
      <c r="H1171" s="6" t="inlineStr">
        <is>
          <t>%</t>
        </is>
      </c>
      <c r="Q1171" s="12">
        <f>INDIRECT_EFFECT("pap","paper_share","paper_elasticity",DECILE_ARRAY,"Rural","mean")</f>
        <v/>
      </c>
    </row>
    <row r="1172">
      <c r="D1172" s="6" t="inlineStr">
        <is>
          <t>median</t>
        </is>
      </c>
      <c r="E1172" s="6" t="inlineStr">
        <is>
          <t>Overall</t>
        </is>
      </c>
      <c r="F1172" s="6" t="inlineStr">
        <is>
          <t>Basket</t>
        </is>
      </c>
      <c r="G1172" s="6" t="inlineStr">
        <is>
          <t>pap</t>
        </is>
      </c>
      <c r="H1172" s="6" t="inlineStr">
        <is>
          <t>%</t>
        </is>
      </c>
      <c r="P1172" s="12">
        <f>INDIRECT_EFFECT("pap","paper_share","paper_elasticity",0,"Overall","median")</f>
        <v/>
      </c>
    </row>
    <row r="1173">
      <c r="D1173" s="6" t="inlineStr">
        <is>
          <t>median</t>
        </is>
      </c>
      <c r="E1173" s="6" t="inlineStr">
        <is>
          <t>Overall</t>
        </is>
      </c>
      <c r="F1173" s="6" t="inlineStr">
        <is>
          <t>Deciles</t>
        </is>
      </c>
      <c r="G1173" s="6" t="inlineStr">
        <is>
          <t>pap</t>
        </is>
      </c>
      <c r="H1173" s="6" t="inlineStr">
        <is>
          <t>%</t>
        </is>
      </c>
      <c r="Q1173" s="12">
        <f>INDIRECT_EFFECT("pap","paper_share","paper_elasticity",DECILE_ARRAY,"Overall","median")</f>
        <v/>
      </c>
    </row>
    <row r="1174">
      <c r="D1174" s="6" t="inlineStr">
        <is>
          <t>median</t>
        </is>
      </c>
      <c r="E1174" s="6" t="inlineStr">
        <is>
          <t>Urban</t>
        </is>
      </c>
      <c r="F1174" s="6" t="inlineStr">
        <is>
          <t>Basket</t>
        </is>
      </c>
      <c r="G1174" s="6" t="inlineStr">
        <is>
          <t>pap</t>
        </is>
      </c>
      <c r="H1174" s="6" t="inlineStr">
        <is>
          <t>%</t>
        </is>
      </c>
      <c r="P1174" s="12">
        <f>INDIRECT_EFFECT("pap","paper_share","paper_elasticity",0,"Urban","median")</f>
        <v/>
      </c>
    </row>
    <row r="1175">
      <c r="D1175" s="6" t="inlineStr">
        <is>
          <t>median</t>
        </is>
      </c>
      <c r="E1175" s="6" t="inlineStr">
        <is>
          <t>Urban</t>
        </is>
      </c>
      <c r="F1175" s="6" t="inlineStr">
        <is>
          <t>Deciles</t>
        </is>
      </c>
      <c r="G1175" s="6" t="inlineStr">
        <is>
          <t>pap</t>
        </is>
      </c>
      <c r="H1175" s="6" t="inlineStr">
        <is>
          <t>%</t>
        </is>
      </c>
      <c r="Q1175" s="12">
        <f>INDIRECT_EFFECT("pap","paper_share","paper_elasticity",DECILE_ARRAY,"Urban","median")</f>
        <v/>
      </c>
    </row>
    <row r="1176">
      <c r="D1176" s="6" t="inlineStr">
        <is>
          <t>median</t>
        </is>
      </c>
      <c r="E1176" s="6" t="inlineStr">
        <is>
          <t>Rural</t>
        </is>
      </c>
      <c r="F1176" s="6" t="inlineStr">
        <is>
          <t>Basket</t>
        </is>
      </c>
      <c r="G1176" s="6" t="inlineStr">
        <is>
          <t>pap</t>
        </is>
      </c>
      <c r="H1176" s="6" t="inlineStr">
        <is>
          <t>%</t>
        </is>
      </c>
      <c r="P1176" s="12">
        <f>INDIRECT_EFFECT("pap","paper_share","paper_elasticity",0,"Rural","median")</f>
        <v/>
      </c>
    </row>
    <row r="1177">
      <c r="D1177" s="6" t="inlineStr">
        <is>
          <t>median</t>
        </is>
      </c>
      <c r="E1177" s="6" t="inlineStr">
        <is>
          <t>Rural</t>
        </is>
      </c>
      <c r="F1177" s="6" t="inlineStr">
        <is>
          <t>Deciles</t>
        </is>
      </c>
      <c r="G1177" s="6" t="inlineStr">
        <is>
          <t>pap</t>
        </is>
      </c>
      <c r="H1177" s="6" t="inlineStr">
        <is>
          <t>%</t>
        </is>
      </c>
      <c r="Q1177" s="12">
        <f>INDIRECT_EFFECT("pap","paper_share","paper_elasticity",DECILE_ARRAY,"Rural","median")</f>
        <v/>
      </c>
    </row>
    <row r="1178">
      <c r="D1178" s="6" t="inlineStr">
        <is>
          <t>p25</t>
        </is>
      </c>
      <c r="E1178" s="6" t="inlineStr">
        <is>
          <t>Overall</t>
        </is>
      </c>
      <c r="F1178" s="6" t="inlineStr">
        <is>
          <t>Basket</t>
        </is>
      </c>
      <c r="G1178" s="6" t="inlineStr">
        <is>
          <t>pap</t>
        </is>
      </c>
      <c r="H1178" s="6" t="inlineStr">
        <is>
          <t>%</t>
        </is>
      </c>
      <c r="P1178" s="12">
        <f>INDIRECT_EFFECT("pap","paper_share","paper_elasticity",0,"Overall","p25")</f>
        <v/>
      </c>
    </row>
    <row r="1179">
      <c r="D1179" s="6" t="inlineStr">
        <is>
          <t>p25</t>
        </is>
      </c>
      <c r="E1179" s="6" t="inlineStr">
        <is>
          <t>Overall</t>
        </is>
      </c>
      <c r="F1179" s="6" t="inlineStr">
        <is>
          <t>Deciles</t>
        </is>
      </c>
      <c r="G1179" s="6" t="inlineStr">
        <is>
          <t>pap</t>
        </is>
      </c>
      <c r="H1179" s="6" t="inlineStr">
        <is>
          <t>%</t>
        </is>
      </c>
      <c r="Q1179" s="12">
        <f>INDIRECT_EFFECT("pap","paper_share","paper_elasticity",DECILE_ARRAY,"Overall","p25")</f>
        <v/>
      </c>
    </row>
    <row r="1180">
      <c r="D1180" s="6" t="inlineStr">
        <is>
          <t>p25</t>
        </is>
      </c>
      <c r="E1180" s="6" t="inlineStr">
        <is>
          <t>Urban</t>
        </is>
      </c>
      <c r="F1180" s="6" t="inlineStr">
        <is>
          <t>Basket</t>
        </is>
      </c>
      <c r="G1180" s="6" t="inlineStr">
        <is>
          <t>pap</t>
        </is>
      </c>
      <c r="H1180" s="6" t="inlineStr">
        <is>
          <t>%</t>
        </is>
      </c>
      <c r="P1180" s="12">
        <f>INDIRECT_EFFECT("pap","paper_share","paper_elasticity",0,"Urban","p25")</f>
        <v/>
      </c>
    </row>
    <row r="1181">
      <c r="D1181" s="6" t="inlineStr">
        <is>
          <t>p25</t>
        </is>
      </c>
      <c r="E1181" s="6" t="inlineStr">
        <is>
          <t>Urban</t>
        </is>
      </c>
      <c r="F1181" s="6" t="inlineStr">
        <is>
          <t>Deciles</t>
        </is>
      </c>
      <c r="G1181" s="6" t="inlineStr">
        <is>
          <t>pap</t>
        </is>
      </c>
      <c r="H1181" s="6" t="inlineStr">
        <is>
          <t>%</t>
        </is>
      </c>
      <c r="Q1181" s="12">
        <f>INDIRECT_EFFECT("pap","paper_share","paper_elasticity",DECILE_ARRAY,"Urban","p25")</f>
        <v/>
      </c>
    </row>
    <row r="1182">
      <c r="D1182" s="6" t="inlineStr">
        <is>
          <t>p25</t>
        </is>
      </c>
      <c r="E1182" s="6" t="inlineStr">
        <is>
          <t>Rural</t>
        </is>
      </c>
      <c r="F1182" s="6" t="inlineStr">
        <is>
          <t>Basket</t>
        </is>
      </c>
      <c r="G1182" s="6" t="inlineStr">
        <is>
          <t>pap</t>
        </is>
      </c>
      <c r="H1182" s="6" t="inlineStr">
        <is>
          <t>%</t>
        </is>
      </c>
      <c r="P1182" s="12">
        <f>INDIRECT_EFFECT("pap","paper_share","paper_elasticity",0,"Rural","p25")</f>
        <v/>
      </c>
    </row>
    <row r="1183">
      <c r="D1183" s="6" t="inlineStr">
        <is>
          <t>p25</t>
        </is>
      </c>
      <c r="E1183" s="6" t="inlineStr">
        <is>
          <t>Rural</t>
        </is>
      </c>
      <c r="F1183" s="6" t="inlineStr">
        <is>
          <t>Deciles</t>
        </is>
      </c>
      <c r="G1183" s="6" t="inlineStr">
        <is>
          <t>pap</t>
        </is>
      </c>
      <c r="H1183" s="6" t="inlineStr">
        <is>
          <t>%</t>
        </is>
      </c>
      <c r="Q1183" s="12">
        <f>INDIRECT_EFFECT("pap","paper_share","paper_elasticity",DECILE_ARRAY,"Rural","p25")</f>
        <v/>
      </c>
    </row>
    <row r="1184">
      <c r="D1184" s="6" t="inlineStr">
        <is>
          <t>p75</t>
        </is>
      </c>
      <c r="E1184" s="6" t="inlineStr">
        <is>
          <t>Overall</t>
        </is>
      </c>
      <c r="F1184" s="6" t="inlineStr">
        <is>
          <t>Basket</t>
        </is>
      </c>
      <c r="G1184" s="6" t="inlineStr">
        <is>
          <t>pap</t>
        </is>
      </c>
      <c r="H1184" s="6" t="inlineStr">
        <is>
          <t>%</t>
        </is>
      </c>
      <c r="P1184" s="12">
        <f>INDIRECT_EFFECT("pap","paper_share","paper_elasticity",0,"Overall","p75")</f>
        <v/>
      </c>
    </row>
    <row r="1185">
      <c r="D1185" s="6" t="inlineStr">
        <is>
          <t>p75</t>
        </is>
      </c>
      <c r="E1185" s="6" t="inlineStr">
        <is>
          <t>Overall</t>
        </is>
      </c>
      <c r="F1185" s="6" t="inlineStr">
        <is>
          <t>Deciles</t>
        </is>
      </c>
      <c r="G1185" s="6" t="inlineStr">
        <is>
          <t>pap</t>
        </is>
      </c>
      <c r="H1185" s="6" t="inlineStr">
        <is>
          <t>%</t>
        </is>
      </c>
      <c r="Q1185" s="12">
        <f>INDIRECT_EFFECT("pap","paper_share","paper_elasticity",DECILE_ARRAY,"Overall","p75")</f>
        <v/>
      </c>
    </row>
    <row r="1186">
      <c r="D1186" s="6" t="inlineStr">
        <is>
          <t>p75</t>
        </is>
      </c>
      <c r="E1186" s="6" t="inlineStr">
        <is>
          <t>Urban</t>
        </is>
      </c>
      <c r="F1186" s="6" t="inlineStr">
        <is>
          <t>Basket</t>
        </is>
      </c>
      <c r="G1186" s="6" t="inlineStr">
        <is>
          <t>pap</t>
        </is>
      </c>
      <c r="H1186" s="6" t="inlineStr">
        <is>
          <t>%</t>
        </is>
      </c>
      <c r="P1186" s="12">
        <f>INDIRECT_EFFECT("pap","paper_share","paper_elasticity",0,"Urban","p75")</f>
        <v/>
      </c>
    </row>
    <row r="1187">
      <c r="D1187" s="6" t="inlineStr">
        <is>
          <t>p75</t>
        </is>
      </c>
      <c r="E1187" s="6" t="inlineStr">
        <is>
          <t>Urban</t>
        </is>
      </c>
      <c r="F1187" s="6" t="inlineStr">
        <is>
          <t>Deciles</t>
        </is>
      </c>
      <c r="G1187" s="6" t="inlineStr">
        <is>
          <t>pap</t>
        </is>
      </c>
      <c r="H1187" s="6" t="inlineStr">
        <is>
          <t>%</t>
        </is>
      </c>
      <c r="Q1187" s="12">
        <f>INDIRECT_EFFECT("pap","paper_share","paper_elasticity",DECILE_ARRAY,"Urban","p75")</f>
        <v/>
      </c>
    </row>
    <row r="1188">
      <c r="D1188" s="6" t="inlineStr">
        <is>
          <t>p75</t>
        </is>
      </c>
      <c r="E1188" s="6" t="inlineStr">
        <is>
          <t>Rural</t>
        </is>
      </c>
      <c r="F1188" s="6" t="inlineStr">
        <is>
          <t>Basket</t>
        </is>
      </c>
      <c r="G1188" s="6" t="inlineStr">
        <is>
          <t>pap</t>
        </is>
      </c>
      <c r="H1188" s="6" t="inlineStr">
        <is>
          <t>%</t>
        </is>
      </c>
      <c r="P1188" s="12">
        <f>INDIRECT_EFFECT("pap","paper_share","paper_elasticity",0,"Rural","p75")</f>
        <v/>
      </c>
    </row>
    <row r="1189">
      <c r="D1189" s="6" t="inlineStr">
        <is>
          <t>p75</t>
        </is>
      </c>
      <c r="E1189" s="6" t="inlineStr">
        <is>
          <t>Rural</t>
        </is>
      </c>
      <c r="F1189" s="6" t="inlineStr">
        <is>
          <t>Deciles</t>
        </is>
      </c>
      <c r="G1189" s="6" t="inlineStr">
        <is>
          <t>pap</t>
        </is>
      </c>
      <c r="H1189" s="6" t="inlineStr">
        <is>
          <t>%</t>
        </is>
      </c>
      <c r="Q1189" s="12">
        <f>INDIRECT_EFFECT("pap","paper_share","paper_elasticity",DECILE_ARRAY,"Rural","p75")</f>
        <v/>
      </c>
    </row>
    <row r="1190"/>
    <row r="1191">
      <c r="C1191" s="7" t="inlineStr">
        <is>
          <t>Pharmaceuticals Indirect Effect (% Total Consumption)</t>
        </is>
      </c>
      <c r="G1191" s="6" t="inlineStr">
        <is>
          <t>pha</t>
        </is>
      </c>
      <c r="O1191" s="8" t="inlineStr">
        <is>
          <t>Decile --&gt;</t>
        </is>
      </c>
      <c r="Q1191" s="8" t="n">
        <v>1</v>
      </c>
      <c r="R1191" s="8" t="n">
        <v>2</v>
      </c>
      <c r="S1191" s="8" t="n">
        <v>3</v>
      </c>
      <c r="T1191" s="8" t="n">
        <v>4</v>
      </c>
      <c r="U1191" s="8" t="n">
        <v>5</v>
      </c>
      <c r="V1191" s="8" t="n">
        <v>6</v>
      </c>
      <c r="W1191" s="8" t="n">
        <v>7</v>
      </c>
      <c r="X1191" s="8" t="n">
        <v>8</v>
      </c>
      <c r="Y1191" s="8" t="n">
        <v>9</v>
      </c>
      <c r="Z1191" s="8" t="n">
        <v>10</v>
      </c>
    </row>
    <row r="1192">
      <c r="D1192" s="6" t="inlineStr">
        <is>
          <t>mean</t>
        </is>
      </c>
      <c r="E1192" s="6" t="inlineStr">
        <is>
          <t>Overall</t>
        </is>
      </c>
      <c r="F1192" s="6" t="inlineStr">
        <is>
          <t>Basket</t>
        </is>
      </c>
      <c r="G1192" s="6" t="inlineStr">
        <is>
          <t>pha</t>
        </is>
      </c>
      <c r="H1192" s="6" t="inlineStr">
        <is>
          <t>%</t>
        </is>
      </c>
      <c r="P1192" s="12">
        <f>INDIRECT_EFFECT("pha","pharma_share","pharma_elasticity",0,"Overall","mean")</f>
        <v/>
      </c>
    </row>
    <row r="1193">
      <c r="D1193" s="6" t="inlineStr">
        <is>
          <t>mean</t>
        </is>
      </c>
      <c r="E1193" s="6" t="inlineStr">
        <is>
          <t>Overall</t>
        </is>
      </c>
      <c r="F1193" s="6" t="inlineStr">
        <is>
          <t>Deciles</t>
        </is>
      </c>
      <c r="G1193" s="6" t="inlineStr">
        <is>
          <t>pha</t>
        </is>
      </c>
      <c r="H1193" s="6" t="inlineStr">
        <is>
          <t>%</t>
        </is>
      </c>
      <c r="Q1193" s="12">
        <f>INDIRECT_EFFECT("pha","pharma_share","pharma_elasticity",DECILE_ARRAY,"Overall","mean")</f>
        <v/>
      </c>
    </row>
    <row r="1194">
      <c r="D1194" s="6" t="inlineStr">
        <is>
          <t>mean</t>
        </is>
      </c>
      <c r="E1194" s="6" t="inlineStr">
        <is>
          <t>Urban</t>
        </is>
      </c>
      <c r="F1194" s="6" t="inlineStr">
        <is>
          <t>Basket</t>
        </is>
      </c>
      <c r="G1194" s="6" t="inlineStr">
        <is>
          <t>pha</t>
        </is>
      </c>
      <c r="H1194" s="6" t="inlineStr">
        <is>
          <t>%</t>
        </is>
      </c>
      <c r="P1194" s="12">
        <f>INDIRECT_EFFECT("pha","pharma_share","pharma_elasticity",0,"Urban","mean")</f>
        <v/>
      </c>
    </row>
    <row r="1195">
      <c r="D1195" s="6" t="inlineStr">
        <is>
          <t>mean</t>
        </is>
      </c>
      <c r="E1195" s="6" t="inlineStr">
        <is>
          <t>Urban</t>
        </is>
      </c>
      <c r="F1195" s="6" t="inlineStr">
        <is>
          <t>Deciles</t>
        </is>
      </c>
      <c r="G1195" s="6" t="inlineStr">
        <is>
          <t>pha</t>
        </is>
      </c>
      <c r="H1195" s="6" t="inlineStr">
        <is>
          <t>%</t>
        </is>
      </c>
      <c r="Q1195" s="12">
        <f>INDIRECT_EFFECT("pha","pharma_share","pharma_elasticity",DECILE_ARRAY,"Urban","mean")</f>
        <v/>
      </c>
    </row>
    <row r="1196">
      <c r="D1196" s="6" t="inlineStr">
        <is>
          <t>mean</t>
        </is>
      </c>
      <c r="E1196" s="6" t="inlineStr">
        <is>
          <t>Rural</t>
        </is>
      </c>
      <c r="F1196" s="6" t="inlineStr">
        <is>
          <t>Basket</t>
        </is>
      </c>
      <c r="G1196" s="6" t="inlineStr">
        <is>
          <t>pha</t>
        </is>
      </c>
      <c r="H1196" s="6" t="inlineStr">
        <is>
          <t>%</t>
        </is>
      </c>
      <c r="P1196" s="12">
        <f>INDIRECT_EFFECT("pha","pharma_share","pharma_elasticity",0,"Rural","mean")</f>
        <v/>
      </c>
    </row>
    <row r="1197">
      <c r="D1197" s="6" t="inlineStr">
        <is>
          <t>mean</t>
        </is>
      </c>
      <c r="E1197" s="6" t="inlineStr">
        <is>
          <t>Rural</t>
        </is>
      </c>
      <c r="F1197" s="6" t="inlineStr">
        <is>
          <t>Deciles</t>
        </is>
      </c>
      <c r="G1197" s="6" t="inlineStr">
        <is>
          <t>pha</t>
        </is>
      </c>
      <c r="H1197" s="6" t="inlineStr">
        <is>
          <t>%</t>
        </is>
      </c>
      <c r="Q1197" s="12">
        <f>INDIRECT_EFFECT("pha","pharma_share","pharma_elasticity",DECILE_ARRAY,"Rural","mean")</f>
        <v/>
      </c>
    </row>
    <row r="1198">
      <c r="D1198" s="6" t="inlineStr">
        <is>
          <t>median</t>
        </is>
      </c>
      <c r="E1198" s="6" t="inlineStr">
        <is>
          <t>Overall</t>
        </is>
      </c>
      <c r="F1198" s="6" t="inlineStr">
        <is>
          <t>Basket</t>
        </is>
      </c>
      <c r="G1198" s="6" t="inlineStr">
        <is>
          <t>pha</t>
        </is>
      </c>
      <c r="H1198" s="6" t="inlineStr">
        <is>
          <t>%</t>
        </is>
      </c>
      <c r="P1198" s="12">
        <f>INDIRECT_EFFECT("pha","pharma_share","pharma_elasticity",0,"Overall","median")</f>
        <v/>
      </c>
    </row>
    <row r="1199">
      <c r="D1199" s="6" t="inlineStr">
        <is>
          <t>median</t>
        </is>
      </c>
      <c r="E1199" s="6" t="inlineStr">
        <is>
          <t>Overall</t>
        </is>
      </c>
      <c r="F1199" s="6" t="inlineStr">
        <is>
          <t>Deciles</t>
        </is>
      </c>
      <c r="G1199" s="6" t="inlineStr">
        <is>
          <t>pha</t>
        </is>
      </c>
      <c r="H1199" s="6" t="inlineStr">
        <is>
          <t>%</t>
        </is>
      </c>
      <c r="Q1199" s="12">
        <f>INDIRECT_EFFECT("pha","pharma_share","pharma_elasticity",DECILE_ARRAY,"Overall","median")</f>
        <v/>
      </c>
    </row>
    <row r="1200">
      <c r="D1200" s="6" t="inlineStr">
        <is>
          <t>median</t>
        </is>
      </c>
      <c r="E1200" s="6" t="inlineStr">
        <is>
          <t>Urban</t>
        </is>
      </c>
      <c r="F1200" s="6" t="inlineStr">
        <is>
          <t>Basket</t>
        </is>
      </c>
      <c r="G1200" s="6" t="inlineStr">
        <is>
          <t>pha</t>
        </is>
      </c>
      <c r="H1200" s="6" t="inlineStr">
        <is>
          <t>%</t>
        </is>
      </c>
      <c r="P1200" s="12">
        <f>INDIRECT_EFFECT("pha","pharma_share","pharma_elasticity",0,"Urban","median")</f>
        <v/>
      </c>
    </row>
    <row r="1201">
      <c r="D1201" s="6" t="inlineStr">
        <is>
          <t>median</t>
        </is>
      </c>
      <c r="E1201" s="6" t="inlineStr">
        <is>
          <t>Urban</t>
        </is>
      </c>
      <c r="F1201" s="6" t="inlineStr">
        <is>
          <t>Deciles</t>
        </is>
      </c>
      <c r="G1201" s="6" t="inlineStr">
        <is>
          <t>pha</t>
        </is>
      </c>
      <c r="H1201" s="6" t="inlineStr">
        <is>
          <t>%</t>
        </is>
      </c>
      <c r="Q1201" s="12">
        <f>INDIRECT_EFFECT("pha","pharma_share","pharma_elasticity",DECILE_ARRAY,"Urban","median")</f>
        <v/>
      </c>
    </row>
    <row r="1202">
      <c r="D1202" s="6" t="inlineStr">
        <is>
          <t>median</t>
        </is>
      </c>
      <c r="E1202" s="6" t="inlineStr">
        <is>
          <t>Rural</t>
        </is>
      </c>
      <c r="F1202" s="6" t="inlineStr">
        <is>
          <t>Basket</t>
        </is>
      </c>
      <c r="G1202" s="6" t="inlineStr">
        <is>
          <t>pha</t>
        </is>
      </c>
      <c r="H1202" s="6" t="inlineStr">
        <is>
          <t>%</t>
        </is>
      </c>
      <c r="P1202" s="12">
        <f>INDIRECT_EFFECT("pha","pharma_share","pharma_elasticity",0,"Rural","median")</f>
        <v/>
      </c>
    </row>
    <row r="1203">
      <c r="D1203" s="6" t="inlineStr">
        <is>
          <t>median</t>
        </is>
      </c>
      <c r="E1203" s="6" t="inlineStr">
        <is>
          <t>Rural</t>
        </is>
      </c>
      <c r="F1203" s="6" t="inlineStr">
        <is>
          <t>Deciles</t>
        </is>
      </c>
      <c r="G1203" s="6" t="inlineStr">
        <is>
          <t>pha</t>
        </is>
      </c>
      <c r="H1203" s="6" t="inlineStr">
        <is>
          <t>%</t>
        </is>
      </c>
      <c r="Q1203" s="12">
        <f>INDIRECT_EFFECT("pha","pharma_share","pharma_elasticity",DECILE_ARRAY,"Rural","median")</f>
        <v/>
      </c>
    </row>
    <row r="1204">
      <c r="D1204" s="6" t="inlineStr">
        <is>
          <t>p25</t>
        </is>
      </c>
      <c r="E1204" s="6" t="inlineStr">
        <is>
          <t>Overall</t>
        </is>
      </c>
      <c r="F1204" s="6" t="inlineStr">
        <is>
          <t>Basket</t>
        </is>
      </c>
      <c r="G1204" s="6" t="inlineStr">
        <is>
          <t>pha</t>
        </is>
      </c>
      <c r="H1204" s="6" t="inlineStr">
        <is>
          <t>%</t>
        </is>
      </c>
      <c r="P1204" s="12">
        <f>INDIRECT_EFFECT("pha","pharma_share","pharma_elasticity",0,"Overall","p25")</f>
        <v/>
      </c>
    </row>
    <row r="1205">
      <c r="D1205" s="6" t="inlineStr">
        <is>
          <t>p25</t>
        </is>
      </c>
      <c r="E1205" s="6" t="inlineStr">
        <is>
          <t>Overall</t>
        </is>
      </c>
      <c r="F1205" s="6" t="inlineStr">
        <is>
          <t>Deciles</t>
        </is>
      </c>
      <c r="G1205" s="6" t="inlineStr">
        <is>
          <t>pha</t>
        </is>
      </c>
      <c r="H1205" s="6" t="inlineStr">
        <is>
          <t>%</t>
        </is>
      </c>
      <c r="Q1205" s="12">
        <f>INDIRECT_EFFECT("pha","pharma_share","pharma_elasticity",DECILE_ARRAY,"Overall","p25")</f>
        <v/>
      </c>
    </row>
    <row r="1206">
      <c r="D1206" s="6" t="inlineStr">
        <is>
          <t>p25</t>
        </is>
      </c>
      <c r="E1206" s="6" t="inlineStr">
        <is>
          <t>Urban</t>
        </is>
      </c>
      <c r="F1206" s="6" t="inlineStr">
        <is>
          <t>Basket</t>
        </is>
      </c>
      <c r="G1206" s="6" t="inlineStr">
        <is>
          <t>pha</t>
        </is>
      </c>
      <c r="H1206" s="6" t="inlineStr">
        <is>
          <t>%</t>
        </is>
      </c>
      <c r="P1206" s="12">
        <f>INDIRECT_EFFECT("pha","pharma_share","pharma_elasticity",0,"Urban","p25")</f>
        <v/>
      </c>
    </row>
    <row r="1207">
      <c r="D1207" s="6" t="inlineStr">
        <is>
          <t>p25</t>
        </is>
      </c>
      <c r="E1207" s="6" t="inlineStr">
        <is>
          <t>Urban</t>
        </is>
      </c>
      <c r="F1207" s="6" t="inlineStr">
        <is>
          <t>Deciles</t>
        </is>
      </c>
      <c r="G1207" s="6" t="inlineStr">
        <is>
          <t>pha</t>
        </is>
      </c>
      <c r="H1207" s="6" t="inlineStr">
        <is>
          <t>%</t>
        </is>
      </c>
      <c r="Q1207" s="12">
        <f>INDIRECT_EFFECT("pha","pharma_share","pharma_elasticity",DECILE_ARRAY,"Urban","p25")</f>
        <v/>
      </c>
    </row>
    <row r="1208">
      <c r="D1208" s="6" t="inlineStr">
        <is>
          <t>p25</t>
        </is>
      </c>
      <c r="E1208" s="6" t="inlineStr">
        <is>
          <t>Rural</t>
        </is>
      </c>
      <c r="F1208" s="6" t="inlineStr">
        <is>
          <t>Basket</t>
        </is>
      </c>
      <c r="G1208" s="6" t="inlineStr">
        <is>
          <t>pha</t>
        </is>
      </c>
      <c r="H1208" s="6" t="inlineStr">
        <is>
          <t>%</t>
        </is>
      </c>
      <c r="P1208" s="12">
        <f>INDIRECT_EFFECT("pha","pharma_share","pharma_elasticity",0,"Rural","p25")</f>
        <v/>
      </c>
    </row>
    <row r="1209">
      <c r="D1209" s="6" t="inlineStr">
        <is>
          <t>p25</t>
        </is>
      </c>
      <c r="E1209" s="6" t="inlineStr">
        <is>
          <t>Rural</t>
        </is>
      </c>
      <c r="F1209" s="6" t="inlineStr">
        <is>
          <t>Deciles</t>
        </is>
      </c>
      <c r="G1209" s="6" t="inlineStr">
        <is>
          <t>pha</t>
        </is>
      </c>
      <c r="H1209" s="6" t="inlineStr">
        <is>
          <t>%</t>
        </is>
      </c>
      <c r="Q1209" s="12">
        <f>INDIRECT_EFFECT("pha","pharma_share","pharma_elasticity",DECILE_ARRAY,"Rural","p25")</f>
        <v/>
      </c>
    </row>
    <row r="1210">
      <c r="D1210" s="6" t="inlineStr">
        <is>
          <t>p75</t>
        </is>
      </c>
      <c r="E1210" s="6" t="inlineStr">
        <is>
          <t>Overall</t>
        </is>
      </c>
      <c r="F1210" s="6" t="inlineStr">
        <is>
          <t>Basket</t>
        </is>
      </c>
      <c r="G1210" s="6" t="inlineStr">
        <is>
          <t>pha</t>
        </is>
      </c>
      <c r="H1210" s="6" t="inlineStr">
        <is>
          <t>%</t>
        </is>
      </c>
      <c r="P1210" s="12">
        <f>INDIRECT_EFFECT("pha","pharma_share","pharma_elasticity",0,"Overall","p75")</f>
        <v/>
      </c>
    </row>
    <row r="1211">
      <c r="D1211" s="6" t="inlineStr">
        <is>
          <t>p75</t>
        </is>
      </c>
      <c r="E1211" s="6" t="inlineStr">
        <is>
          <t>Overall</t>
        </is>
      </c>
      <c r="F1211" s="6" t="inlineStr">
        <is>
          <t>Deciles</t>
        </is>
      </c>
      <c r="G1211" s="6" t="inlineStr">
        <is>
          <t>pha</t>
        </is>
      </c>
      <c r="H1211" s="6" t="inlineStr">
        <is>
          <t>%</t>
        </is>
      </c>
      <c r="Q1211" s="12">
        <f>INDIRECT_EFFECT("pha","pharma_share","pharma_elasticity",DECILE_ARRAY,"Overall","p75")</f>
        <v/>
      </c>
    </row>
    <row r="1212">
      <c r="D1212" s="6" t="inlineStr">
        <is>
          <t>p75</t>
        </is>
      </c>
      <c r="E1212" s="6" t="inlineStr">
        <is>
          <t>Urban</t>
        </is>
      </c>
      <c r="F1212" s="6" t="inlineStr">
        <is>
          <t>Basket</t>
        </is>
      </c>
      <c r="G1212" s="6" t="inlineStr">
        <is>
          <t>pha</t>
        </is>
      </c>
      <c r="H1212" s="6" t="inlineStr">
        <is>
          <t>%</t>
        </is>
      </c>
      <c r="P1212" s="12">
        <f>INDIRECT_EFFECT("pha","pharma_share","pharma_elasticity",0,"Urban","p75")</f>
        <v/>
      </c>
    </row>
    <row r="1213">
      <c r="D1213" s="6" t="inlineStr">
        <is>
          <t>p75</t>
        </is>
      </c>
      <c r="E1213" s="6" t="inlineStr">
        <is>
          <t>Urban</t>
        </is>
      </c>
      <c r="F1213" s="6" t="inlineStr">
        <is>
          <t>Deciles</t>
        </is>
      </c>
      <c r="G1213" s="6" t="inlineStr">
        <is>
          <t>pha</t>
        </is>
      </c>
      <c r="H1213" s="6" t="inlineStr">
        <is>
          <t>%</t>
        </is>
      </c>
      <c r="Q1213" s="12">
        <f>INDIRECT_EFFECT("pha","pharma_share","pharma_elasticity",DECILE_ARRAY,"Urban","p75")</f>
        <v/>
      </c>
    </row>
    <row r="1214">
      <c r="D1214" s="6" t="inlineStr">
        <is>
          <t>p75</t>
        </is>
      </c>
      <c r="E1214" s="6" t="inlineStr">
        <is>
          <t>Rural</t>
        </is>
      </c>
      <c r="F1214" s="6" t="inlineStr">
        <is>
          <t>Basket</t>
        </is>
      </c>
      <c r="G1214" s="6" t="inlineStr">
        <is>
          <t>pha</t>
        </is>
      </c>
      <c r="H1214" s="6" t="inlineStr">
        <is>
          <t>%</t>
        </is>
      </c>
      <c r="P1214" s="12">
        <f>INDIRECT_EFFECT("pha","pharma_share","pharma_elasticity",0,"Rural","p75")</f>
        <v/>
      </c>
    </row>
    <row r="1215">
      <c r="D1215" s="6" t="inlineStr">
        <is>
          <t>p75</t>
        </is>
      </c>
      <c r="E1215" s="6" t="inlineStr">
        <is>
          <t>Rural</t>
        </is>
      </c>
      <c r="F1215" s="6" t="inlineStr">
        <is>
          <t>Deciles</t>
        </is>
      </c>
      <c r="G1215" s="6" t="inlineStr">
        <is>
          <t>pha</t>
        </is>
      </c>
      <c r="H1215" s="6" t="inlineStr">
        <is>
          <t>%</t>
        </is>
      </c>
      <c r="Q1215" s="12">
        <f>INDIRECT_EFFECT("pha","pharma_share","pharma_elasticity",DECILE_ARRAY,"Rural","p75")</f>
        <v/>
      </c>
    </row>
    <row r="1216"/>
    <row r="1217">
      <c r="C1217" s="7" t="inlineStr">
        <is>
          <t>Recreation/Tourism Indirect Effect (% Total Consumption)</t>
        </is>
      </c>
      <c r="G1217" s="6" t="inlineStr">
        <is>
          <t>ret</t>
        </is>
      </c>
      <c r="O1217" s="8" t="inlineStr">
        <is>
          <t>Decile --&gt;</t>
        </is>
      </c>
      <c r="Q1217" s="8" t="n">
        <v>1</v>
      </c>
      <c r="R1217" s="8" t="n">
        <v>2</v>
      </c>
      <c r="S1217" s="8" t="n">
        <v>3</v>
      </c>
      <c r="T1217" s="8" t="n">
        <v>4</v>
      </c>
      <c r="U1217" s="8" t="n">
        <v>5</v>
      </c>
      <c r="V1217" s="8" t="n">
        <v>6</v>
      </c>
      <c r="W1217" s="8" t="n">
        <v>7</v>
      </c>
      <c r="X1217" s="8" t="n">
        <v>8</v>
      </c>
      <c r="Y1217" s="8" t="n">
        <v>9</v>
      </c>
      <c r="Z1217" s="8" t="n">
        <v>10</v>
      </c>
    </row>
    <row r="1218">
      <c r="D1218" s="6" t="inlineStr">
        <is>
          <t>mean</t>
        </is>
      </c>
      <c r="E1218" s="6" t="inlineStr">
        <is>
          <t>Overall</t>
        </is>
      </c>
      <c r="F1218" s="6" t="inlineStr">
        <is>
          <t>Basket</t>
        </is>
      </c>
      <c r="G1218" s="6" t="inlineStr">
        <is>
          <t>ret</t>
        </is>
      </c>
      <c r="H1218" s="6" t="inlineStr">
        <is>
          <t>%</t>
        </is>
      </c>
      <c r="P1218" s="12">
        <f>INDIRECT_EFFECT("ret","rectourism_share","rectourism_elasticity",0,"Overall","mean")</f>
        <v/>
      </c>
    </row>
    <row r="1219">
      <c r="D1219" s="6" t="inlineStr">
        <is>
          <t>mean</t>
        </is>
      </c>
      <c r="E1219" s="6" t="inlineStr">
        <is>
          <t>Overall</t>
        </is>
      </c>
      <c r="F1219" s="6" t="inlineStr">
        <is>
          <t>Deciles</t>
        </is>
      </c>
      <c r="G1219" s="6" t="inlineStr">
        <is>
          <t>ret</t>
        </is>
      </c>
      <c r="H1219" s="6" t="inlineStr">
        <is>
          <t>%</t>
        </is>
      </c>
      <c r="Q1219" s="12">
        <f>INDIRECT_EFFECT("ret","rectourism_share","rectourism_elasticity",DECILE_ARRAY,"Overall","mean")</f>
        <v/>
      </c>
    </row>
    <row r="1220">
      <c r="D1220" s="6" t="inlineStr">
        <is>
          <t>mean</t>
        </is>
      </c>
      <c r="E1220" s="6" t="inlineStr">
        <is>
          <t>Urban</t>
        </is>
      </c>
      <c r="F1220" s="6" t="inlineStr">
        <is>
          <t>Basket</t>
        </is>
      </c>
      <c r="G1220" s="6" t="inlineStr">
        <is>
          <t>ret</t>
        </is>
      </c>
      <c r="H1220" s="6" t="inlineStr">
        <is>
          <t>%</t>
        </is>
      </c>
      <c r="P1220" s="12">
        <f>INDIRECT_EFFECT("ret","rectourism_share","rectourism_elasticity",0,"Urban","mean")</f>
        <v/>
      </c>
    </row>
    <row r="1221">
      <c r="D1221" s="6" t="inlineStr">
        <is>
          <t>mean</t>
        </is>
      </c>
      <c r="E1221" s="6" t="inlineStr">
        <is>
          <t>Urban</t>
        </is>
      </c>
      <c r="F1221" s="6" t="inlineStr">
        <is>
          <t>Deciles</t>
        </is>
      </c>
      <c r="G1221" s="6" t="inlineStr">
        <is>
          <t>ret</t>
        </is>
      </c>
      <c r="H1221" s="6" t="inlineStr">
        <is>
          <t>%</t>
        </is>
      </c>
      <c r="Q1221" s="12">
        <f>INDIRECT_EFFECT("ret","rectourism_share","rectourism_elasticity",DECILE_ARRAY,"Urban","mean")</f>
        <v/>
      </c>
    </row>
    <row r="1222">
      <c r="D1222" s="6" t="inlineStr">
        <is>
          <t>mean</t>
        </is>
      </c>
      <c r="E1222" s="6" t="inlineStr">
        <is>
          <t>Rural</t>
        </is>
      </c>
      <c r="F1222" s="6" t="inlineStr">
        <is>
          <t>Basket</t>
        </is>
      </c>
      <c r="G1222" s="6" t="inlineStr">
        <is>
          <t>ret</t>
        </is>
      </c>
      <c r="H1222" s="6" t="inlineStr">
        <is>
          <t>%</t>
        </is>
      </c>
      <c r="P1222" s="12">
        <f>INDIRECT_EFFECT("ret","rectourism_share","rectourism_elasticity",0,"Rural","mean")</f>
        <v/>
      </c>
    </row>
    <row r="1223">
      <c r="D1223" s="6" t="inlineStr">
        <is>
          <t>mean</t>
        </is>
      </c>
      <c r="E1223" s="6" t="inlineStr">
        <is>
          <t>Rural</t>
        </is>
      </c>
      <c r="F1223" s="6" t="inlineStr">
        <is>
          <t>Deciles</t>
        </is>
      </c>
      <c r="G1223" s="6" t="inlineStr">
        <is>
          <t>ret</t>
        </is>
      </c>
      <c r="H1223" s="6" t="inlineStr">
        <is>
          <t>%</t>
        </is>
      </c>
      <c r="Q1223" s="12">
        <f>INDIRECT_EFFECT("ret","rectourism_share","rectourism_elasticity",DECILE_ARRAY,"Rural","mean")</f>
        <v/>
      </c>
    </row>
    <row r="1224">
      <c r="D1224" s="6" t="inlineStr">
        <is>
          <t>median</t>
        </is>
      </c>
      <c r="E1224" s="6" t="inlineStr">
        <is>
          <t>Overall</t>
        </is>
      </c>
      <c r="F1224" s="6" t="inlineStr">
        <is>
          <t>Basket</t>
        </is>
      </c>
      <c r="G1224" s="6" t="inlineStr">
        <is>
          <t>ret</t>
        </is>
      </c>
      <c r="H1224" s="6" t="inlineStr">
        <is>
          <t>%</t>
        </is>
      </c>
      <c r="P1224" s="12">
        <f>INDIRECT_EFFECT("ret","rectourism_share","rectourism_elasticity",0,"Overall","median")</f>
        <v/>
      </c>
    </row>
    <row r="1225">
      <c r="D1225" s="6" t="inlineStr">
        <is>
          <t>median</t>
        </is>
      </c>
      <c r="E1225" s="6" t="inlineStr">
        <is>
          <t>Overall</t>
        </is>
      </c>
      <c r="F1225" s="6" t="inlineStr">
        <is>
          <t>Deciles</t>
        </is>
      </c>
      <c r="G1225" s="6" t="inlineStr">
        <is>
          <t>ret</t>
        </is>
      </c>
      <c r="H1225" s="6" t="inlineStr">
        <is>
          <t>%</t>
        </is>
      </c>
      <c r="Q1225" s="12">
        <f>INDIRECT_EFFECT("ret","rectourism_share","rectourism_elasticity",DECILE_ARRAY,"Overall","median")</f>
        <v/>
      </c>
    </row>
    <row r="1226">
      <c r="D1226" s="6" t="inlineStr">
        <is>
          <t>median</t>
        </is>
      </c>
      <c r="E1226" s="6" t="inlineStr">
        <is>
          <t>Urban</t>
        </is>
      </c>
      <c r="F1226" s="6" t="inlineStr">
        <is>
          <t>Basket</t>
        </is>
      </c>
      <c r="G1226" s="6" t="inlineStr">
        <is>
          <t>ret</t>
        </is>
      </c>
      <c r="H1226" s="6" t="inlineStr">
        <is>
          <t>%</t>
        </is>
      </c>
      <c r="P1226" s="12">
        <f>INDIRECT_EFFECT("ret","rectourism_share","rectourism_elasticity",0,"Urban","median")</f>
        <v/>
      </c>
    </row>
    <row r="1227">
      <c r="D1227" s="6" t="inlineStr">
        <is>
          <t>median</t>
        </is>
      </c>
      <c r="E1227" s="6" t="inlineStr">
        <is>
          <t>Urban</t>
        </is>
      </c>
      <c r="F1227" s="6" t="inlineStr">
        <is>
          <t>Deciles</t>
        </is>
      </c>
      <c r="G1227" s="6" t="inlineStr">
        <is>
          <t>ret</t>
        </is>
      </c>
      <c r="H1227" s="6" t="inlineStr">
        <is>
          <t>%</t>
        </is>
      </c>
      <c r="Q1227" s="12">
        <f>INDIRECT_EFFECT("ret","rectourism_share","rectourism_elasticity",DECILE_ARRAY,"Urban","median")</f>
        <v/>
      </c>
    </row>
    <row r="1228">
      <c r="D1228" s="6" t="inlineStr">
        <is>
          <t>median</t>
        </is>
      </c>
      <c r="E1228" s="6" t="inlineStr">
        <is>
          <t>Rural</t>
        </is>
      </c>
      <c r="F1228" s="6" t="inlineStr">
        <is>
          <t>Basket</t>
        </is>
      </c>
      <c r="G1228" s="6" t="inlineStr">
        <is>
          <t>ret</t>
        </is>
      </c>
      <c r="H1228" s="6" t="inlineStr">
        <is>
          <t>%</t>
        </is>
      </c>
      <c r="P1228" s="12">
        <f>INDIRECT_EFFECT("ret","rectourism_share","rectourism_elasticity",0,"Rural","median")</f>
        <v/>
      </c>
    </row>
    <row r="1229">
      <c r="D1229" s="6" t="inlineStr">
        <is>
          <t>median</t>
        </is>
      </c>
      <c r="E1229" s="6" t="inlineStr">
        <is>
          <t>Rural</t>
        </is>
      </c>
      <c r="F1229" s="6" t="inlineStr">
        <is>
          <t>Deciles</t>
        </is>
      </c>
      <c r="G1229" s="6" t="inlineStr">
        <is>
          <t>ret</t>
        </is>
      </c>
      <c r="H1229" s="6" t="inlineStr">
        <is>
          <t>%</t>
        </is>
      </c>
      <c r="Q1229" s="12">
        <f>INDIRECT_EFFECT("ret","rectourism_share","rectourism_elasticity",DECILE_ARRAY,"Rural","median")</f>
        <v/>
      </c>
    </row>
    <row r="1230">
      <c r="D1230" s="6" t="inlineStr">
        <is>
          <t>p25</t>
        </is>
      </c>
      <c r="E1230" s="6" t="inlineStr">
        <is>
          <t>Overall</t>
        </is>
      </c>
      <c r="F1230" s="6" t="inlineStr">
        <is>
          <t>Basket</t>
        </is>
      </c>
      <c r="G1230" s="6" t="inlineStr">
        <is>
          <t>ret</t>
        </is>
      </c>
      <c r="H1230" s="6" t="inlineStr">
        <is>
          <t>%</t>
        </is>
      </c>
      <c r="P1230" s="12">
        <f>INDIRECT_EFFECT("ret","rectourism_share","rectourism_elasticity",0,"Overall","p25")</f>
        <v/>
      </c>
    </row>
    <row r="1231">
      <c r="D1231" s="6" t="inlineStr">
        <is>
          <t>p25</t>
        </is>
      </c>
      <c r="E1231" s="6" t="inlineStr">
        <is>
          <t>Overall</t>
        </is>
      </c>
      <c r="F1231" s="6" t="inlineStr">
        <is>
          <t>Deciles</t>
        </is>
      </c>
      <c r="G1231" s="6" t="inlineStr">
        <is>
          <t>ret</t>
        </is>
      </c>
      <c r="H1231" s="6" t="inlineStr">
        <is>
          <t>%</t>
        </is>
      </c>
      <c r="Q1231" s="12">
        <f>INDIRECT_EFFECT("ret","rectourism_share","rectourism_elasticity",DECILE_ARRAY,"Overall","p25")</f>
        <v/>
      </c>
    </row>
    <row r="1232">
      <c r="D1232" s="6" t="inlineStr">
        <is>
          <t>p25</t>
        </is>
      </c>
      <c r="E1232" s="6" t="inlineStr">
        <is>
          <t>Urban</t>
        </is>
      </c>
      <c r="F1232" s="6" t="inlineStr">
        <is>
          <t>Basket</t>
        </is>
      </c>
      <c r="G1232" s="6" t="inlineStr">
        <is>
          <t>ret</t>
        </is>
      </c>
      <c r="H1232" s="6" t="inlineStr">
        <is>
          <t>%</t>
        </is>
      </c>
      <c r="P1232" s="12">
        <f>INDIRECT_EFFECT("ret","rectourism_share","rectourism_elasticity",0,"Urban","p25")</f>
        <v/>
      </c>
    </row>
    <row r="1233">
      <c r="D1233" s="6" t="inlineStr">
        <is>
          <t>p25</t>
        </is>
      </c>
      <c r="E1233" s="6" t="inlineStr">
        <is>
          <t>Urban</t>
        </is>
      </c>
      <c r="F1233" s="6" t="inlineStr">
        <is>
          <t>Deciles</t>
        </is>
      </c>
      <c r="G1233" s="6" t="inlineStr">
        <is>
          <t>ret</t>
        </is>
      </c>
      <c r="H1233" s="6" t="inlineStr">
        <is>
          <t>%</t>
        </is>
      </c>
      <c r="Q1233" s="12">
        <f>INDIRECT_EFFECT("ret","rectourism_share","rectourism_elasticity",DECILE_ARRAY,"Urban","p25")</f>
        <v/>
      </c>
    </row>
    <row r="1234">
      <c r="D1234" s="6" t="inlineStr">
        <is>
          <t>p25</t>
        </is>
      </c>
      <c r="E1234" s="6" t="inlineStr">
        <is>
          <t>Rural</t>
        </is>
      </c>
      <c r="F1234" s="6" t="inlineStr">
        <is>
          <t>Basket</t>
        </is>
      </c>
      <c r="G1234" s="6" t="inlineStr">
        <is>
          <t>ret</t>
        </is>
      </c>
      <c r="H1234" s="6" t="inlineStr">
        <is>
          <t>%</t>
        </is>
      </c>
      <c r="P1234" s="12">
        <f>INDIRECT_EFFECT("ret","rectourism_share","rectourism_elasticity",0,"Rural","p25")</f>
        <v/>
      </c>
    </row>
    <row r="1235">
      <c r="D1235" s="6" t="inlineStr">
        <is>
          <t>p25</t>
        </is>
      </c>
      <c r="E1235" s="6" t="inlineStr">
        <is>
          <t>Rural</t>
        </is>
      </c>
      <c r="F1235" s="6" t="inlineStr">
        <is>
          <t>Deciles</t>
        </is>
      </c>
      <c r="G1235" s="6" t="inlineStr">
        <is>
          <t>ret</t>
        </is>
      </c>
      <c r="H1235" s="6" t="inlineStr">
        <is>
          <t>%</t>
        </is>
      </c>
      <c r="Q1235" s="12">
        <f>INDIRECT_EFFECT("ret","rectourism_share","rectourism_elasticity",DECILE_ARRAY,"Rural","p25")</f>
        <v/>
      </c>
    </row>
    <row r="1236">
      <c r="D1236" s="6" t="inlineStr">
        <is>
          <t>p75</t>
        </is>
      </c>
      <c r="E1236" s="6" t="inlineStr">
        <is>
          <t>Overall</t>
        </is>
      </c>
      <c r="F1236" s="6" t="inlineStr">
        <is>
          <t>Basket</t>
        </is>
      </c>
      <c r="G1236" s="6" t="inlineStr">
        <is>
          <t>ret</t>
        </is>
      </c>
      <c r="H1236" s="6" t="inlineStr">
        <is>
          <t>%</t>
        </is>
      </c>
      <c r="P1236" s="12">
        <f>INDIRECT_EFFECT("ret","rectourism_share","rectourism_elasticity",0,"Overall","p75")</f>
        <v/>
      </c>
    </row>
    <row r="1237">
      <c r="D1237" s="6" t="inlineStr">
        <is>
          <t>p75</t>
        </is>
      </c>
      <c r="E1237" s="6" t="inlineStr">
        <is>
          <t>Overall</t>
        </is>
      </c>
      <c r="F1237" s="6" t="inlineStr">
        <is>
          <t>Deciles</t>
        </is>
      </c>
      <c r="G1237" s="6" t="inlineStr">
        <is>
          <t>ret</t>
        </is>
      </c>
      <c r="H1237" s="6" t="inlineStr">
        <is>
          <t>%</t>
        </is>
      </c>
      <c r="Q1237" s="12">
        <f>INDIRECT_EFFECT("ret","rectourism_share","rectourism_elasticity",DECILE_ARRAY,"Overall","p75")</f>
        <v/>
      </c>
    </row>
    <row r="1238">
      <c r="D1238" s="6" t="inlineStr">
        <is>
          <t>p75</t>
        </is>
      </c>
      <c r="E1238" s="6" t="inlineStr">
        <is>
          <t>Urban</t>
        </is>
      </c>
      <c r="F1238" s="6" t="inlineStr">
        <is>
          <t>Basket</t>
        </is>
      </c>
      <c r="G1238" s="6" t="inlineStr">
        <is>
          <t>ret</t>
        </is>
      </c>
      <c r="H1238" s="6" t="inlineStr">
        <is>
          <t>%</t>
        </is>
      </c>
      <c r="P1238" s="12">
        <f>INDIRECT_EFFECT("ret","rectourism_share","rectourism_elasticity",0,"Urban","p75")</f>
        <v/>
      </c>
    </row>
    <row r="1239">
      <c r="D1239" s="6" t="inlineStr">
        <is>
          <t>p75</t>
        </is>
      </c>
      <c r="E1239" s="6" t="inlineStr">
        <is>
          <t>Urban</t>
        </is>
      </c>
      <c r="F1239" s="6" t="inlineStr">
        <is>
          <t>Deciles</t>
        </is>
      </c>
      <c r="G1239" s="6" t="inlineStr">
        <is>
          <t>ret</t>
        </is>
      </c>
      <c r="H1239" s="6" t="inlineStr">
        <is>
          <t>%</t>
        </is>
      </c>
      <c r="Q1239" s="12">
        <f>INDIRECT_EFFECT("ret","rectourism_share","rectourism_elasticity",DECILE_ARRAY,"Urban","p75")</f>
        <v/>
      </c>
    </row>
    <row r="1240">
      <c r="D1240" s="6" t="inlineStr">
        <is>
          <t>p75</t>
        </is>
      </c>
      <c r="E1240" s="6" t="inlineStr">
        <is>
          <t>Rural</t>
        </is>
      </c>
      <c r="F1240" s="6" t="inlineStr">
        <is>
          <t>Basket</t>
        </is>
      </c>
      <c r="G1240" s="6" t="inlineStr">
        <is>
          <t>ret</t>
        </is>
      </c>
      <c r="H1240" s="6" t="inlineStr">
        <is>
          <t>%</t>
        </is>
      </c>
      <c r="P1240" s="12">
        <f>INDIRECT_EFFECT("ret","rectourism_share","rectourism_elasticity",0,"Rural","p75")</f>
        <v/>
      </c>
    </row>
    <row r="1241">
      <c r="D1241" s="6" t="inlineStr">
        <is>
          <t>p75</t>
        </is>
      </c>
      <c r="E1241" s="6" t="inlineStr">
        <is>
          <t>Rural</t>
        </is>
      </c>
      <c r="F1241" s="6" t="inlineStr">
        <is>
          <t>Deciles</t>
        </is>
      </c>
      <c r="G1241" s="6" t="inlineStr">
        <is>
          <t>ret</t>
        </is>
      </c>
      <c r="H1241" s="6" t="inlineStr">
        <is>
          <t>%</t>
        </is>
      </c>
      <c r="Q1241" s="12">
        <f>INDIRECT_EFFECT("ret","rectourism_share","rectourism_elasticity",DECILE_ARRAY,"Rural","p75")</f>
        <v/>
      </c>
    </row>
    <row r="1242"/>
    <row r="1243">
      <c r="C1243" s="7" t="inlineStr">
        <is>
          <t>Transportation Equipment Indirect Effect (% Total Consumption)</t>
        </is>
      </c>
      <c r="G1243" s="6" t="inlineStr">
        <is>
          <t>teq</t>
        </is>
      </c>
      <c r="O1243" s="8" t="inlineStr">
        <is>
          <t>Decile --&gt;</t>
        </is>
      </c>
      <c r="Q1243" s="8" t="n">
        <v>1</v>
      </c>
      <c r="R1243" s="8" t="n">
        <v>2</v>
      </c>
      <c r="S1243" s="8" t="n">
        <v>3</v>
      </c>
      <c r="T1243" s="8" t="n">
        <v>4</v>
      </c>
      <c r="U1243" s="8" t="n">
        <v>5</v>
      </c>
      <c r="V1243" s="8" t="n">
        <v>6</v>
      </c>
      <c r="W1243" s="8" t="n">
        <v>7</v>
      </c>
      <c r="X1243" s="8" t="n">
        <v>8</v>
      </c>
      <c r="Y1243" s="8" t="n">
        <v>9</v>
      </c>
      <c r="Z1243" s="8" t="n">
        <v>10</v>
      </c>
    </row>
    <row r="1244">
      <c r="D1244" s="6" t="inlineStr">
        <is>
          <t>mean</t>
        </is>
      </c>
      <c r="E1244" s="6" t="inlineStr">
        <is>
          <t>Overall</t>
        </is>
      </c>
      <c r="F1244" s="6" t="inlineStr">
        <is>
          <t>Basket</t>
        </is>
      </c>
      <c r="G1244" s="6" t="inlineStr">
        <is>
          <t>teq</t>
        </is>
      </c>
      <c r="H1244" s="6" t="inlineStr">
        <is>
          <t>%</t>
        </is>
      </c>
      <c r="P1244" s="12">
        <f>INDIRECT_EFFECT("teq","transp_eqt_share","transp_eqt_elasticity",0,"Overall","mean")</f>
        <v/>
      </c>
    </row>
    <row r="1245">
      <c r="D1245" s="6" t="inlineStr">
        <is>
          <t>mean</t>
        </is>
      </c>
      <c r="E1245" s="6" t="inlineStr">
        <is>
          <t>Overall</t>
        </is>
      </c>
      <c r="F1245" s="6" t="inlineStr">
        <is>
          <t>Deciles</t>
        </is>
      </c>
      <c r="G1245" s="6" t="inlineStr">
        <is>
          <t>teq</t>
        </is>
      </c>
      <c r="H1245" s="6" t="inlineStr">
        <is>
          <t>%</t>
        </is>
      </c>
      <c r="Q1245" s="12">
        <f>INDIRECT_EFFECT("teq","transp_eqt_share","transp_eqt_elasticity",DECILE_ARRAY,"Overall","mean")</f>
        <v/>
      </c>
    </row>
    <row r="1246">
      <c r="D1246" s="6" t="inlineStr">
        <is>
          <t>mean</t>
        </is>
      </c>
      <c r="E1246" s="6" t="inlineStr">
        <is>
          <t>Urban</t>
        </is>
      </c>
      <c r="F1246" s="6" t="inlineStr">
        <is>
          <t>Basket</t>
        </is>
      </c>
      <c r="G1246" s="6" t="inlineStr">
        <is>
          <t>teq</t>
        </is>
      </c>
      <c r="H1246" s="6" t="inlineStr">
        <is>
          <t>%</t>
        </is>
      </c>
      <c r="P1246" s="12">
        <f>INDIRECT_EFFECT("teq","transp_eqt_share","transp_eqt_elasticity",0,"Urban","mean")</f>
        <v/>
      </c>
    </row>
    <row r="1247">
      <c r="D1247" s="6" t="inlineStr">
        <is>
          <t>mean</t>
        </is>
      </c>
      <c r="E1247" s="6" t="inlineStr">
        <is>
          <t>Urban</t>
        </is>
      </c>
      <c r="F1247" s="6" t="inlineStr">
        <is>
          <t>Deciles</t>
        </is>
      </c>
      <c r="G1247" s="6" t="inlineStr">
        <is>
          <t>teq</t>
        </is>
      </c>
      <c r="H1247" s="6" t="inlineStr">
        <is>
          <t>%</t>
        </is>
      </c>
      <c r="Q1247" s="12">
        <f>INDIRECT_EFFECT("teq","transp_eqt_share","transp_eqt_elasticity",DECILE_ARRAY,"Urban","mean")</f>
        <v/>
      </c>
    </row>
    <row r="1248">
      <c r="D1248" s="6" t="inlineStr">
        <is>
          <t>mean</t>
        </is>
      </c>
      <c r="E1248" s="6" t="inlineStr">
        <is>
          <t>Rural</t>
        </is>
      </c>
      <c r="F1248" s="6" t="inlineStr">
        <is>
          <t>Basket</t>
        </is>
      </c>
      <c r="G1248" s="6" t="inlineStr">
        <is>
          <t>teq</t>
        </is>
      </c>
      <c r="H1248" s="6" t="inlineStr">
        <is>
          <t>%</t>
        </is>
      </c>
      <c r="P1248" s="12">
        <f>INDIRECT_EFFECT("teq","transp_eqt_share","transp_eqt_elasticity",0,"Rural","mean")</f>
        <v/>
      </c>
    </row>
    <row r="1249">
      <c r="D1249" s="6" t="inlineStr">
        <is>
          <t>mean</t>
        </is>
      </c>
      <c r="E1249" s="6" t="inlineStr">
        <is>
          <t>Rural</t>
        </is>
      </c>
      <c r="F1249" s="6" t="inlineStr">
        <is>
          <t>Deciles</t>
        </is>
      </c>
      <c r="G1249" s="6" t="inlineStr">
        <is>
          <t>teq</t>
        </is>
      </c>
      <c r="H1249" s="6" t="inlineStr">
        <is>
          <t>%</t>
        </is>
      </c>
      <c r="Q1249" s="12">
        <f>INDIRECT_EFFECT("teq","transp_eqt_share","transp_eqt_elasticity",DECILE_ARRAY,"Rural","mean")</f>
        <v/>
      </c>
    </row>
    <row r="1250">
      <c r="D1250" s="6" t="inlineStr">
        <is>
          <t>median</t>
        </is>
      </c>
      <c r="E1250" s="6" t="inlineStr">
        <is>
          <t>Overall</t>
        </is>
      </c>
      <c r="F1250" s="6" t="inlineStr">
        <is>
          <t>Basket</t>
        </is>
      </c>
      <c r="G1250" s="6" t="inlineStr">
        <is>
          <t>teq</t>
        </is>
      </c>
      <c r="H1250" s="6" t="inlineStr">
        <is>
          <t>%</t>
        </is>
      </c>
      <c r="P1250" s="12">
        <f>INDIRECT_EFFECT("teq","transp_eqt_share","transp_eqt_elasticity",0,"Overall","median")</f>
        <v/>
      </c>
    </row>
    <row r="1251">
      <c r="D1251" s="6" t="inlineStr">
        <is>
          <t>median</t>
        </is>
      </c>
      <c r="E1251" s="6" t="inlineStr">
        <is>
          <t>Overall</t>
        </is>
      </c>
      <c r="F1251" s="6" t="inlineStr">
        <is>
          <t>Deciles</t>
        </is>
      </c>
      <c r="G1251" s="6" t="inlineStr">
        <is>
          <t>teq</t>
        </is>
      </c>
      <c r="H1251" s="6" t="inlineStr">
        <is>
          <t>%</t>
        </is>
      </c>
      <c r="Q1251" s="12">
        <f>INDIRECT_EFFECT("teq","transp_eqt_share","transp_eqt_elasticity",DECILE_ARRAY,"Overall","median")</f>
        <v/>
      </c>
    </row>
    <row r="1252">
      <c r="D1252" s="6" t="inlineStr">
        <is>
          <t>median</t>
        </is>
      </c>
      <c r="E1252" s="6" t="inlineStr">
        <is>
          <t>Urban</t>
        </is>
      </c>
      <c r="F1252" s="6" t="inlineStr">
        <is>
          <t>Basket</t>
        </is>
      </c>
      <c r="G1252" s="6" t="inlineStr">
        <is>
          <t>teq</t>
        </is>
      </c>
      <c r="H1252" s="6" t="inlineStr">
        <is>
          <t>%</t>
        </is>
      </c>
      <c r="P1252" s="12">
        <f>INDIRECT_EFFECT("teq","transp_eqt_share","transp_eqt_elasticity",0,"Urban","median")</f>
        <v/>
      </c>
    </row>
    <row r="1253">
      <c r="D1253" s="6" t="inlineStr">
        <is>
          <t>median</t>
        </is>
      </c>
      <c r="E1253" s="6" t="inlineStr">
        <is>
          <t>Urban</t>
        </is>
      </c>
      <c r="F1253" s="6" t="inlineStr">
        <is>
          <t>Deciles</t>
        </is>
      </c>
      <c r="G1253" s="6" t="inlineStr">
        <is>
          <t>teq</t>
        </is>
      </c>
      <c r="H1253" s="6" t="inlineStr">
        <is>
          <t>%</t>
        </is>
      </c>
      <c r="Q1253" s="12">
        <f>INDIRECT_EFFECT("teq","transp_eqt_share","transp_eqt_elasticity",DECILE_ARRAY,"Urban","median")</f>
        <v/>
      </c>
    </row>
    <row r="1254">
      <c r="D1254" s="6" t="inlineStr">
        <is>
          <t>median</t>
        </is>
      </c>
      <c r="E1254" s="6" t="inlineStr">
        <is>
          <t>Rural</t>
        </is>
      </c>
      <c r="F1254" s="6" t="inlineStr">
        <is>
          <t>Basket</t>
        </is>
      </c>
      <c r="G1254" s="6" t="inlineStr">
        <is>
          <t>teq</t>
        </is>
      </c>
      <c r="H1254" s="6" t="inlineStr">
        <is>
          <t>%</t>
        </is>
      </c>
      <c r="P1254" s="12">
        <f>INDIRECT_EFFECT("teq","transp_eqt_share","transp_eqt_elasticity",0,"Rural","median")</f>
        <v/>
      </c>
    </row>
    <row r="1255">
      <c r="D1255" s="6" t="inlineStr">
        <is>
          <t>median</t>
        </is>
      </c>
      <c r="E1255" s="6" t="inlineStr">
        <is>
          <t>Rural</t>
        </is>
      </c>
      <c r="F1255" s="6" t="inlineStr">
        <is>
          <t>Deciles</t>
        </is>
      </c>
      <c r="G1255" s="6" t="inlineStr">
        <is>
          <t>teq</t>
        </is>
      </c>
      <c r="H1255" s="6" t="inlineStr">
        <is>
          <t>%</t>
        </is>
      </c>
      <c r="Q1255" s="12">
        <f>INDIRECT_EFFECT("teq","transp_eqt_share","transp_eqt_elasticity",DECILE_ARRAY,"Rural","median")</f>
        <v/>
      </c>
    </row>
    <row r="1256">
      <c r="D1256" s="6" t="inlineStr">
        <is>
          <t>p25</t>
        </is>
      </c>
      <c r="E1256" s="6" t="inlineStr">
        <is>
          <t>Overall</t>
        </is>
      </c>
      <c r="F1256" s="6" t="inlineStr">
        <is>
          <t>Basket</t>
        </is>
      </c>
      <c r="G1256" s="6" t="inlineStr">
        <is>
          <t>teq</t>
        </is>
      </c>
      <c r="H1256" s="6" t="inlineStr">
        <is>
          <t>%</t>
        </is>
      </c>
      <c r="P1256" s="12">
        <f>INDIRECT_EFFECT("teq","transp_eqt_share","transp_eqt_elasticity",0,"Overall","p25")</f>
        <v/>
      </c>
    </row>
    <row r="1257">
      <c r="D1257" s="6" t="inlineStr">
        <is>
          <t>p25</t>
        </is>
      </c>
      <c r="E1257" s="6" t="inlineStr">
        <is>
          <t>Overall</t>
        </is>
      </c>
      <c r="F1257" s="6" t="inlineStr">
        <is>
          <t>Deciles</t>
        </is>
      </c>
      <c r="G1257" s="6" t="inlineStr">
        <is>
          <t>teq</t>
        </is>
      </c>
      <c r="H1257" s="6" t="inlineStr">
        <is>
          <t>%</t>
        </is>
      </c>
      <c r="Q1257" s="12">
        <f>INDIRECT_EFFECT("teq","transp_eqt_share","transp_eqt_elasticity",DECILE_ARRAY,"Overall","p25")</f>
        <v/>
      </c>
    </row>
    <row r="1258">
      <c r="D1258" s="6" t="inlineStr">
        <is>
          <t>p25</t>
        </is>
      </c>
      <c r="E1258" s="6" t="inlineStr">
        <is>
          <t>Urban</t>
        </is>
      </c>
      <c r="F1258" s="6" t="inlineStr">
        <is>
          <t>Basket</t>
        </is>
      </c>
      <c r="G1258" s="6" t="inlineStr">
        <is>
          <t>teq</t>
        </is>
      </c>
      <c r="H1258" s="6" t="inlineStr">
        <is>
          <t>%</t>
        </is>
      </c>
      <c r="P1258" s="12">
        <f>INDIRECT_EFFECT("teq","transp_eqt_share","transp_eqt_elasticity",0,"Urban","p25")</f>
        <v/>
      </c>
    </row>
    <row r="1259">
      <c r="D1259" s="6" t="inlineStr">
        <is>
          <t>p25</t>
        </is>
      </c>
      <c r="E1259" s="6" t="inlineStr">
        <is>
          <t>Urban</t>
        </is>
      </c>
      <c r="F1259" s="6" t="inlineStr">
        <is>
          <t>Deciles</t>
        </is>
      </c>
      <c r="G1259" s="6" t="inlineStr">
        <is>
          <t>teq</t>
        </is>
      </c>
      <c r="H1259" s="6" t="inlineStr">
        <is>
          <t>%</t>
        </is>
      </c>
      <c r="Q1259" s="12">
        <f>INDIRECT_EFFECT("teq","transp_eqt_share","transp_eqt_elasticity",DECILE_ARRAY,"Urban","p25")</f>
        <v/>
      </c>
    </row>
    <row r="1260">
      <c r="D1260" s="6" t="inlineStr">
        <is>
          <t>p25</t>
        </is>
      </c>
      <c r="E1260" s="6" t="inlineStr">
        <is>
          <t>Rural</t>
        </is>
      </c>
      <c r="F1260" s="6" t="inlineStr">
        <is>
          <t>Basket</t>
        </is>
      </c>
      <c r="G1260" s="6" t="inlineStr">
        <is>
          <t>teq</t>
        </is>
      </c>
      <c r="H1260" s="6" t="inlineStr">
        <is>
          <t>%</t>
        </is>
      </c>
      <c r="P1260" s="12">
        <f>INDIRECT_EFFECT("teq","transp_eqt_share","transp_eqt_elasticity",0,"Rural","p25")</f>
        <v/>
      </c>
    </row>
    <row r="1261">
      <c r="D1261" s="6" t="inlineStr">
        <is>
          <t>p25</t>
        </is>
      </c>
      <c r="E1261" s="6" t="inlineStr">
        <is>
          <t>Rural</t>
        </is>
      </c>
      <c r="F1261" s="6" t="inlineStr">
        <is>
          <t>Deciles</t>
        </is>
      </c>
      <c r="G1261" s="6" t="inlineStr">
        <is>
          <t>teq</t>
        </is>
      </c>
      <c r="H1261" s="6" t="inlineStr">
        <is>
          <t>%</t>
        </is>
      </c>
      <c r="Q1261" s="12">
        <f>INDIRECT_EFFECT("teq","transp_eqt_share","transp_eqt_elasticity",DECILE_ARRAY,"Rural","p25")</f>
        <v/>
      </c>
    </row>
    <row r="1262">
      <c r="D1262" s="6" t="inlineStr">
        <is>
          <t>p75</t>
        </is>
      </c>
      <c r="E1262" s="6" t="inlineStr">
        <is>
          <t>Overall</t>
        </is>
      </c>
      <c r="F1262" s="6" t="inlineStr">
        <is>
          <t>Basket</t>
        </is>
      </c>
      <c r="G1262" s="6" t="inlineStr">
        <is>
          <t>teq</t>
        </is>
      </c>
      <c r="H1262" s="6" t="inlineStr">
        <is>
          <t>%</t>
        </is>
      </c>
      <c r="P1262" s="12">
        <f>INDIRECT_EFFECT("teq","transp_eqt_share","transp_eqt_elasticity",0,"Overall","p75")</f>
        <v/>
      </c>
    </row>
    <row r="1263">
      <c r="D1263" s="6" t="inlineStr">
        <is>
          <t>p75</t>
        </is>
      </c>
      <c r="E1263" s="6" t="inlineStr">
        <is>
          <t>Overall</t>
        </is>
      </c>
      <c r="F1263" s="6" t="inlineStr">
        <is>
          <t>Deciles</t>
        </is>
      </c>
      <c r="G1263" s="6" t="inlineStr">
        <is>
          <t>teq</t>
        </is>
      </c>
      <c r="H1263" s="6" t="inlineStr">
        <is>
          <t>%</t>
        </is>
      </c>
      <c r="Q1263" s="12">
        <f>INDIRECT_EFFECT("teq","transp_eqt_share","transp_eqt_elasticity",DECILE_ARRAY,"Overall","p75")</f>
        <v/>
      </c>
    </row>
    <row r="1264">
      <c r="D1264" s="6" t="inlineStr">
        <is>
          <t>p75</t>
        </is>
      </c>
      <c r="E1264" s="6" t="inlineStr">
        <is>
          <t>Urban</t>
        </is>
      </c>
      <c r="F1264" s="6" t="inlineStr">
        <is>
          <t>Basket</t>
        </is>
      </c>
      <c r="G1264" s="6" t="inlineStr">
        <is>
          <t>teq</t>
        </is>
      </c>
      <c r="H1264" s="6" t="inlineStr">
        <is>
          <t>%</t>
        </is>
      </c>
      <c r="P1264" s="12">
        <f>INDIRECT_EFFECT("teq","transp_eqt_share","transp_eqt_elasticity",0,"Urban","p75")</f>
        <v/>
      </c>
    </row>
    <row r="1265">
      <c r="D1265" s="6" t="inlineStr">
        <is>
          <t>p75</t>
        </is>
      </c>
      <c r="E1265" s="6" t="inlineStr">
        <is>
          <t>Urban</t>
        </is>
      </c>
      <c r="F1265" s="6" t="inlineStr">
        <is>
          <t>Deciles</t>
        </is>
      </c>
      <c r="G1265" s="6" t="inlineStr">
        <is>
          <t>teq</t>
        </is>
      </c>
      <c r="H1265" s="6" t="inlineStr">
        <is>
          <t>%</t>
        </is>
      </c>
      <c r="Q1265" s="12">
        <f>INDIRECT_EFFECT("teq","transp_eqt_share","transp_eqt_elasticity",DECILE_ARRAY,"Urban","p75")</f>
        <v/>
      </c>
    </row>
    <row r="1266">
      <c r="D1266" s="6" t="inlineStr">
        <is>
          <t>p75</t>
        </is>
      </c>
      <c r="E1266" s="6" t="inlineStr">
        <is>
          <t>Rural</t>
        </is>
      </c>
      <c r="F1266" s="6" t="inlineStr">
        <is>
          <t>Basket</t>
        </is>
      </c>
      <c r="G1266" s="6" t="inlineStr">
        <is>
          <t>teq</t>
        </is>
      </c>
      <c r="H1266" s="6" t="inlineStr">
        <is>
          <t>%</t>
        </is>
      </c>
      <c r="P1266" s="12">
        <f>INDIRECT_EFFECT("teq","transp_eqt_share","transp_eqt_elasticity",0,"Rural","p75")</f>
        <v/>
      </c>
    </row>
    <row r="1267">
      <c r="D1267" s="6" t="inlineStr">
        <is>
          <t>p75</t>
        </is>
      </c>
      <c r="E1267" s="6" t="inlineStr">
        <is>
          <t>Rural</t>
        </is>
      </c>
      <c r="F1267" s="6" t="inlineStr">
        <is>
          <t>Deciles</t>
        </is>
      </c>
      <c r="G1267" s="6" t="inlineStr">
        <is>
          <t>teq</t>
        </is>
      </c>
      <c r="H1267" s="6" t="inlineStr">
        <is>
          <t>%</t>
        </is>
      </c>
      <c r="Q1267" s="12">
        <f>INDIRECT_EFFECT("teq","transp_eqt_share","transp_eqt_elasticity",DECILE_ARRAY,"Rural","p75")</f>
        <v/>
      </c>
    </row>
    <row r="1268"/>
    <row r="1269">
      <c r="C1269" s="7" t="inlineStr">
        <is>
          <t>Public Transportation Indirect Effect (% Total Consumption)</t>
        </is>
      </c>
      <c r="G1269" s="6" t="inlineStr">
        <is>
          <t>tpu</t>
        </is>
      </c>
      <c r="O1269" s="8" t="inlineStr">
        <is>
          <t>Decile --&gt;</t>
        </is>
      </c>
      <c r="Q1269" s="8" t="n">
        <v>1</v>
      </c>
      <c r="R1269" s="8" t="n">
        <v>2</v>
      </c>
      <c r="S1269" s="8" t="n">
        <v>3</v>
      </c>
      <c r="T1269" s="8" t="n">
        <v>4</v>
      </c>
      <c r="U1269" s="8" t="n">
        <v>5</v>
      </c>
      <c r="V1269" s="8" t="n">
        <v>6</v>
      </c>
      <c r="W1269" s="8" t="n">
        <v>7</v>
      </c>
      <c r="X1269" s="8" t="n">
        <v>8</v>
      </c>
      <c r="Y1269" s="8" t="n">
        <v>9</v>
      </c>
      <c r="Z1269" s="8" t="n">
        <v>10</v>
      </c>
    </row>
    <row r="1270">
      <c r="D1270" s="6" t="inlineStr">
        <is>
          <t>mean</t>
        </is>
      </c>
      <c r="E1270" s="6" t="inlineStr">
        <is>
          <t>Overall</t>
        </is>
      </c>
      <c r="F1270" s="6" t="inlineStr">
        <is>
          <t>Basket</t>
        </is>
      </c>
      <c r="G1270" s="6" t="inlineStr">
        <is>
          <t>tpu</t>
        </is>
      </c>
      <c r="H1270" s="6" t="inlineStr">
        <is>
          <t>%</t>
        </is>
      </c>
      <c r="P1270" s="12">
        <f>INDIRECT_EFFECT("tpu","transp_pub_share","transp_pub_elasticity",0,"Overall","mean")</f>
        <v/>
      </c>
    </row>
    <row r="1271">
      <c r="D1271" s="6" t="inlineStr">
        <is>
          <t>mean</t>
        </is>
      </c>
      <c r="E1271" s="6" t="inlineStr">
        <is>
          <t>Overall</t>
        </is>
      </c>
      <c r="F1271" s="6" t="inlineStr">
        <is>
          <t>Deciles</t>
        </is>
      </c>
      <c r="G1271" s="6" t="inlineStr">
        <is>
          <t>tpu</t>
        </is>
      </c>
      <c r="H1271" s="6" t="inlineStr">
        <is>
          <t>%</t>
        </is>
      </c>
      <c r="Q1271" s="12">
        <f>INDIRECT_EFFECT("tpu","transp_pub_share","transp_pub_elasticity",DECILE_ARRAY,"Overall","mean")</f>
        <v/>
      </c>
    </row>
    <row r="1272">
      <c r="D1272" s="6" t="inlineStr">
        <is>
          <t>mean</t>
        </is>
      </c>
      <c r="E1272" s="6" t="inlineStr">
        <is>
          <t>Urban</t>
        </is>
      </c>
      <c r="F1272" s="6" t="inlineStr">
        <is>
          <t>Basket</t>
        </is>
      </c>
      <c r="G1272" s="6" t="inlineStr">
        <is>
          <t>tpu</t>
        </is>
      </c>
      <c r="H1272" s="6" t="inlineStr">
        <is>
          <t>%</t>
        </is>
      </c>
      <c r="P1272" s="12">
        <f>INDIRECT_EFFECT("tpu","transp_pub_share","transp_pub_elasticity",0,"Urban","mean")</f>
        <v/>
      </c>
    </row>
    <row r="1273">
      <c r="D1273" s="6" t="inlineStr">
        <is>
          <t>mean</t>
        </is>
      </c>
      <c r="E1273" s="6" t="inlineStr">
        <is>
          <t>Urban</t>
        </is>
      </c>
      <c r="F1273" s="6" t="inlineStr">
        <is>
          <t>Deciles</t>
        </is>
      </c>
      <c r="G1273" s="6" t="inlineStr">
        <is>
          <t>tpu</t>
        </is>
      </c>
      <c r="H1273" s="6" t="inlineStr">
        <is>
          <t>%</t>
        </is>
      </c>
      <c r="Q1273" s="12">
        <f>INDIRECT_EFFECT("tpu","transp_pub_share","transp_pub_elasticity",DECILE_ARRAY,"Urban","mean")</f>
        <v/>
      </c>
    </row>
    <row r="1274">
      <c r="D1274" s="6" t="inlineStr">
        <is>
          <t>mean</t>
        </is>
      </c>
      <c r="E1274" s="6" t="inlineStr">
        <is>
          <t>Rural</t>
        </is>
      </c>
      <c r="F1274" s="6" t="inlineStr">
        <is>
          <t>Basket</t>
        </is>
      </c>
      <c r="G1274" s="6" t="inlineStr">
        <is>
          <t>tpu</t>
        </is>
      </c>
      <c r="H1274" s="6" t="inlineStr">
        <is>
          <t>%</t>
        </is>
      </c>
      <c r="P1274" s="12">
        <f>INDIRECT_EFFECT("tpu","transp_pub_share","transp_pub_elasticity",0,"Rural","mean")</f>
        <v/>
      </c>
    </row>
    <row r="1275">
      <c r="D1275" s="6" t="inlineStr">
        <is>
          <t>mean</t>
        </is>
      </c>
      <c r="E1275" s="6" t="inlineStr">
        <is>
          <t>Rural</t>
        </is>
      </c>
      <c r="F1275" s="6" t="inlineStr">
        <is>
          <t>Deciles</t>
        </is>
      </c>
      <c r="G1275" s="6" t="inlineStr">
        <is>
          <t>tpu</t>
        </is>
      </c>
      <c r="H1275" s="6" t="inlineStr">
        <is>
          <t>%</t>
        </is>
      </c>
      <c r="Q1275" s="12">
        <f>INDIRECT_EFFECT("tpu","transp_pub_share","transp_pub_elasticity",DECILE_ARRAY,"Rural","mean")</f>
        <v/>
      </c>
    </row>
    <row r="1276">
      <c r="D1276" s="6" t="inlineStr">
        <is>
          <t>median</t>
        </is>
      </c>
      <c r="E1276" s="6" t="inlineStr">
        <is>
          <t>Overall</t>
        </is>
      </c>
      <c r="F1276" s="6" t="inlineStr">
        <is>
          <t>Basket</t>
        </is>
      </c>
      <c r="G1276" s="6" t="inlineStr">
        <is>
          <t>tpu</t>
        </is>
      </c>
      <c r="H1276" s="6" t="inlineStr">
        <is>
          <t>%</t>
        </is>
      </c>
      <c r="P1276" s="12">
        <f>INDIRECT_EFFECT("tpu","transp_pub_share","transp_pub_elasticity",0,"Overall","median")</f>
        <v/>
      </c>
    </row>
    <row r="1277">
      <c r="D1277" s="6" t="inlineStr">
        <is>
          <t>median</t>
        </is>
      </c>
      <c r="E1277" s="6" t="inlineStr">
        <is>
          <t>Overall</t>
        </is>
      </c>
      <c r="F1277" s="6" t="inlineStr">
        <is>
          <t>Deciles</t>
        </is>
      </c>
      <c r="G1277" s="6" t="inlineStr">
        <is>
          <t>tpu</t>
        </is>
      </c>
      <c r="H1277" s="6" t="inlineStr">
        <is>
          <t>%</t>
        </is>
      </c>
      <c r="Q1277" s="12">
        <f>INDIRECT_EFFECT("tpu","transp_pub_share","transp_pub_elasticity",DECILE_ARRAY,"Overall","median")</f>
        <v/>
      </c>
    </row>
    <row r="1278">
      <c r="D1278" s="6" t="inlineStr">
        <is>
          <t>median</t>
        </is>
      </c>
      <c r="E1278" s="6" t="inlineStr">
        <is>
          <t>Urban</t>
        </is>
      </c>
      <c r="F1278" s="6" t="inlineStr">
        <is>
          <t>Basket</t>
        </is>
      </c>
      <c r="G1278" s="6" t="inlineStr">
        <is>
          <t>tpu</t>
        </is>
      </c>
      <c r="H1278" s="6" t="inlineStr">
        <is>
          <t>%</t>
        </is>
      </c>
      <c r="P1278" s="12">
        <f>INDIRECT_EFFECT("tpu","transp_pub_share","transp_pub_elasticity",0,"Urban","median")</f>
        <v/>
      </c>
    </row>
    <row r="1279">
      <c r="D1279" s="6" t="inlineStr">
        <is>
          <t>median</t>
        </is>
      </c>
      <c r="E1279" s="6" t="inlineStr">
        <is>
          <t>Urban</t>
        </is>
      </c>
      <c r="F1279" s="6" t="inlineStr">
        <is>
          <t>Deciles</t>
        </is>
      </c>
      <c r="G1279" s="6" t="inlineStr">
        <is>
          <t>tpu</t>
        </is>
      </c>
      <c r="H1279" s="6" t="inlineStr">
        <is>
          <t>%</t>
        </is>
      </c>
      <c r="Q1279" s="12">
        <f>INDIRECT_EFFECT("tpu","transp_pub_share","transp_pub_elasticity",DECILE_ARRAY,"Urban","median")</f>
        <v/>
      </c>
    </row>
    <row r="1280">
      <c r="D1280" s="6" t="inlineStr">
        <is>
          <t>median</t>
        </is>
      </c>
      <c r="E1280" s="6" t="inlineStr">
        <is>
          <t>Rural</t>
        </is>
      </c>
      <c r="F1280" s="6" t="inlineStr">
        <is>
          <t>Basket</t>
        </is>
      </c>
      <c r="G1280" s="6" t="inlineStr">
        <is>
          <t>tpu</t>
        </is>
      </c>
      <c r="H1280" s="6" t="inlineStr">
        <is>
          <t>%</t>
        </is>
      </c>
      <c r="P1280" s="12">
        <f>INDIRECT_EFFECT("tpu","transp_pub_share","transp_pub_elasticity",0,"Rural","median")</f>
        <v/>
      </c>
    </row>
    <row r="1281">
      <c r="D1281" s="6" t="inlineStr">
        <is>
          <t>median</t>
        </is>
      </c>
      <c r="E1281" s="6" t="inlineStr">
        <is>
          <t>Rural</t>
        </is>
      </c>
      <c r="F1281" s="6" t="inlineStr">
        <is>
          <t>Deciles</t>
        </is>
      </c>
      <c r="G1281" s="6" t="inlineStr">
        <is>
          <t>tpu</t>
        </is>
      </c>
      <c r="H1281" s="6" t="inlineStr">
        <is>
          <t>%</t>
        </is>
      </c>
      <c r="Q1281" s="12">
        <f>INDIRECT_EFFECT("tpu","transp_pub_share","transp_pub_elasticity",DECILE_ARRAY,"Rural","median")</f>
        <v/>
      </c>
    </row>
    <row r="1282">
      <c r="D1282" s="6" t="inlineStr">
        <is>
          <t>p25</t>
        </is>
      </c>
      <c r="E1282" s="6" t="inlineStr">
        <is>
          <t>Overall</t>
        </is>
      </c>
      <c r="F1282" s="6" t="inlineStr">
        <is>
          <t>Basket</t>
        </is>
      </c>
      <c r="G1282" s="6" t="inlineStr">
        <is>
          <t>tpu</t>
        </is>
      </c>
      <c r="H1282" s="6" t="inlineStr">
        <is>
          <t>%</t>
        </is>
      </c>
      <c r="P1282" s="12">
        <f>INDIRECT_EFFECT("tpu","transp_pub_share","transp_pub_elasticity",0,"Overall","p25")</f>
        <v/>
      </c>
    </row>
    <row r="1283">
      <c r="D1283" s="6" t="inlineStr">
        <is>
          <t>p25</t>
        </is>
      </c>
      <c r="E1283" s="6" t="inlineStr">
        <is>
          <t>Overall</t>
        </is>
      </c>
      <c r="F1283" s="6" t="inlineStr">
        <is>
          <t>Deciles</t>
        </is>
      </c>
      <c r="G1283" s="6" t="inlineStr">
        <is>
          <t>tpu</t>
        </is>
      </c>
      <c r="H1283" s="6" t="inlineStr">
        <is>
          <t>%</t>
        </is>
      </c>
      <c r="Q1283" s="12">
        <f>INDIRECT_EFFECT("tpu","transp_pub_share","transp_pub_elasticity",DECILE_ARRAY,"Overall","p25")</f>
        <v/>
      </c>
    </row>
    <row r="1284">
      <c r="D1284" s="6" t="inlineStr">
        <is>
          <t>p25</t>
        </is>
      </c>
      <c r="E1284" s="6" t="inlineStr">
        <is>
          <t>Urban</t>
        </is>
      </c>
      <c r="F1284" s="6" t="inlineStr">
        <is>
          <t>Basket</t>
        </is>
      </c>
      <c r="G1284" s="6" t="inlineStr">
        <is>
          <t>tpu</t>
        </is>
      </c>
      <c r="H1284" s="6" t="inlineStr">
        <is>
          <t>%</t>
        </is>
      </c>
      <c r="P1284" s="12">
        <f>INDIRECT_EFFECT("tpu","transp_pub_share","transp_pub_elasticity",0,"Urban","p25")</f>
        <v/>
      </c>
    </row>
    <row r="1285">
      <c r="D1285" s="6" t="inlineStr">
        <is>
          <t>p25</t>
        </is>
      </c>
      <c r="E1285" s="6" t="inlineStr">
        <is>
          <t>Urban</t>
        </is>
      </c>
      <c r="F1285" s="6" t="inlineStr">
        <is>
          <t>Deciles</t>
        </is>
      </c>
      <c r="G1285" s="6" t="inlineStr">
        <is>
          <t>tpu</t>
        </is>
      </c>
      <c r="H1285" s="6" t="inlineStr">
        <is>
          <t>%</t>
        </is>
      </c>
      <c r="Q1285" s="12">
        <f>INDIRECT_EFFECT("tpu","transp_pub_share","transp_pub_elasticity",DECILE_ARRAY,"Urban","p25")</f>
        <v/>
      </c>
    </row>
    <row r="1286">
      <c r="D1286" s="6" t="inlineStr">
        <is>
          <t>p25</t>
        </is>
      </c>
      <c r="E1286" s="6" t="inlineStr">
        <is>
          <t>Rural</t>
        </is>
      </c>
      <c r="F1286" s="6" t="inlineStr">
        <is>
          <t>Basket</t>
        </is>
      </c>
      <c r="G1286" s="6" t="inlineStr">
        <is>
          <t>tpu</t>
        </is>
      </c>
      <c r="H1286" s="6" t="inlineStr">
        <is>
          <t>%</t>
        </is>
      </c>
      <c r="P1286" s="12">
        <f>INDIRECT_EFFECT("tpu","transp_pub_share","transp_pub_elasticity",0,"Rural","p25")</f>
        <v/>
      </c>
    </row>
    <row r="1287">
      <c r="D1287" s="6" t="inlineStr">
        <is>
          <t>p25</t>
        </is>
      </c>
      <c r="E1287" s="6" t="inlineStr">
        <is>
          <t>Rural</t>
        </is>
      </c>
      <c r="F1287" s="6" t="inlineStr">
        <is>
          <t>Deciles</t>
        </is>
      </c>
      <c r="G1287" s="6" t="inlineStr">
        <is>
          <t>tpu</t>
        </is>
      </c>
      <c r="H1287" s="6" t="inlineStr">
        <is>
          <t>%</t>
        </is>
      </c>
      <c r="Q1287" s="12">
        <f>INDIRECT_EFFECT("tpu","transp_pub_share","transp_pub_elasticity",DECILE_ARRAY,"Rural","p25")</f>
        <v/>
      </c>
    </row>
    <row r="1288">
      <c r="D1288" s="6" t="inlineStr">
        <is>
          <t>p75</t>
        </is>
      </c>
      <c r="E1288" s="6" t="inlineStr">
        <is>
          <t>Overall</t>
        </is>
      </c>
      <c r="F1288" s="6" t="inlineStr">
        <is>
          <t>Basket</t>
        </is>
      </c>
      <c r="G1288" s="6" t="inlineStr">
        <is>
          <t>tpu</t>
        </is>
      </c>
      <c r="H1288" s="6" t="inlineStr">
        <is>
          <t>%</t>
        </is>
      </c>
      <c r="P1288" s="12">
        <f>INDIRECT_EFFECT("tpu","transp_pub_share","transp_pub_elasticity",0,"Overall","p75")</f>
        <v/>
      </c>
    </row>
    <row r="1289">
      <c r="D1289" s="6" t="inlineStr">
        <is>
          <t>p75</t>
        </is>
      </c>
      <c r="E1289" s="6" t="inlineStr">
        <is>
          <t>Overall</t>
        </is>
      </c>
      <c r="F1289" s="6" t="inlineStr">
        <is>
          <t>Deciles</t>
        </is>
      </c>
      <c r="G1289" s="6" t="inlineStr">
        <is>
          <t>tpu</t>
        </is>
      </c>
      <c r="H1289" s="6" t="inlineStr">
        <is>
          <t>%</t>
        </is>
      </c>
      <c r="Q1289" s="12">
        <f>INDIRECT_EFFECT("tpu","transp_pub_share","transp_pub_elasticity",DECILE_ARRAY,"Overall","p75")</f>
        <v/>
      </c>
    </row>
    <row r="1290">
      <c r="D1290" s="6" t="inlineStr">
        <is>
          <t>p75</t>
        </is>
      </c>
      <c r="E1290" s="6" t="inlineStr">
        <is>
          <t>Urban</t>
        </is>
      </c>
      <c r="F1290" s="6" t="inlineStr">
        <is>
          <t>Basket</t>
        </is>
      </c>
      <c r="G1290" s="6" t="inlineStr">
        <is>
          <t>tpu</t>
        </is>
      </c>
      <c r="H1290" s="6" t="inlineStr">
        <is>
          <t>%</t>
        </is>
      </c>
      <c r="P1290" s="12">
        <f>INDIRECT_EFFECT("tpu","transp_pub_share","transp_pub_elasticity",0,"Urban","p75")</f>
        <v/>
      </c>
    </row>
    <row r="1291">
      <c r="D1291" s="6" t="inlineStr">
        <is>
          <t>p75</t>
        </is>
      </c>
      <c r="E1291" s="6" t="inlineStr">
        <is>
          <t>Urban</t>
        </is>
      </c>
      <c r="F1291" s="6" t="inlineStr">
        <is>
          <t>Deciles</t>
        </is>
      </c>
      <c r="G1291" s="6" t="inlineStr">
        <is>
          <t>tpu</t>
        </is>
      </c>
      <c r="H1291" s="6" t="inlineStr">
        <is>
          <t>%</t>
        </is>
      </c>
      <c r="Q1291" s="12">
        <f>INDIRECT_EFFECT("tpu","transp_pub_share","transp_pub_elasticity",DECILE_ARRAY,"Urban","p75")</f>
        <v/>
      </c>
    </row>
    <row r="1292">
      <c r="D1292" s="6" t="inlineStr">
        <is>
          <t>p75</t>
        </is>
      </c>
      <c r="E1292" s="6" t="inlineStr">
        <is>
          <t>Rural</t>
        </is>
      </c>
      <c r="F1292" s="6" t="inlineStr">
        <is>
          <t>Basket</t>
        </is>
      </c>
      <c r="G1292" s="6" t="inlineStr">
        <is>
          <t>tpu</t>
        </is>
      </c>
      <c r="H1292" s="6" t="inlineStr">
        <is>
          <t>%</t>
        </is>
      </c>
      <c r="P1292" s="12">
        <f>INDIRECT_EFFECT("tpu","transp_pub_share","transp_pub_elasticity",0,"Rural","p75")</f>
        <v/>
      </c>
    </row>
    <row r="1293">
      <c r="D1293" s="6" t="inlineStr">
        <is>
          <t>p75</t>
        </is>
      </c>
      <c r="E1293" s="6" t="inlineStr">
        <is>
          <t>Rural</t>
        </is>
      </c>
      <c r="F1293" s="6" t="inlineStr">
        <is>
          <t>Deciles</t>
        </is>
      </c>
      <c r="G1293" s="6" t="inlineStr">
        <is>
          <t>tpu</t>
        </is>
      </c>
      <c r="H1293" s="6" t="inlineStr">
        <is>
          <t>%</t>
        </is>
      </c>
      <c r="Q1293" s="12">
        <f>INDIRECT_EFFECT("tpu","transp_pub_share","transp_pub_elasticity",DECILE_ARRAY,"Rural","p75")</f>
        <v/>
      </c>
    </row>
    <row r="1294"/>
    <row r="1295">
      <c r="C1295" s="7" t="inlineStr">
        <is>
          <t>Total Indirect Effect (% Total Consumption)</t>
        </is>
      </c>
      <c r="G1295" s="6" t="inlineStr">
        <is>
          <t>tot</t>
        </is>
      </c>
      <c r="O1295" s="8" t="inlineStr">
        <is>
          <t>Decile --&gt;</t>
        </is>
      </c>
      <c r="Q1295" s="8" t="n">
        <v>1</v>
      </c>
      <c r="R1295" s="8" t="n">
        <v>2</v>
      </c>
      <c r="S1295" s="8" t="n">
        <v>3</v>
      </c>
      <c r="T1295" s="8" t="n">
        <v>4</v>
      </c>
      <c r="U1295" s="8" t="n">
        <v>5</v>
      </c>
      <c r="V1295" s="8" t="n">
        <v>6</v>
      </c>
      <c r="W1295" s="8" t="n">
        <v>7</v>
      </c>
      <c r="X1295" s="8" t="n">
        <v>8</v>
      </c>
      <c r="Y1295" s="8" t="n">
        <v>9</v>
      </c>
      <c r="Z1295" s="8" t="n">
        <v>10</v>
      </c>
    </row>
    <row r="1296">
      <c r="D1296" s="6" t="inlineStr">
        <is>
          <t>mean</t>
        </is>
      </c>
      <c r="E1296" s="6" t="inlineStr">
        <is>
          <t>Overall</t>
        </is>
      </c>
      <c r="F1296" s="6" t="inlineStr">
        <is>
          <t>Basket</t>
        </is>
      </c>
      <c r="G1296" s="6" t="inlineStr">
        <is>
          <t>tot</t>
        </is>
      </c>
      <c r="H1296" s="6" t="inlineStr">
        <is>
          <t>%</t>
        </is>
      </c>
      <c r="P1296" s="12">
        <f>TOTAL_INDIRECT_EFFECT(0,"Overall","mean")</f>
        <v/>
      </c>
    </row>
    <row r="1297">
      <c r="D1297" s="6" t="inlineStr">
        <is>
          <t>mean</t>
        </is>
      </c>
      <c r="E1297" s="6" t="inlineStr">
        <is>
          <t>Overall</t>
        </is>
      </c>
      <c r="F1297" s="6" t="inlineStr">
        <is>
          <t>Deciles</t>
        </is>
      </c>
      <c r="G1297" s="6" t="inlineStr">
        <is>
          <t>tot</t>
        </is>
      </c>
      <c r="H1297" s="6" t="inlineStr">
        <is>
          <t>%</t>
        </is>
      </c>
      <c r="Q1297" s="12">
        <f>TOTAL_INDIRECT_EFFECT(DECILE_ARRAY,"Overall","mean")</f>
        <v/>
      </c>
    </row>
    <row r="1298">
      <c r="D1298" s="6" t="inlineStr">
        <is>
          <t>mean</t>
        </is>
      </c>
      <c r="E1298" s="6" t="inlineStr">
        <is>
          <t>Urban</t>
        </is>
      </c>
      <c r="F1298" s="6" t="inlineStr">
        <is>
          <t>Basket</t>
        </is>
      </c>
      <c r="G1298" s="6" t="inlineStr">
        <is>
          <t>tot</t>
        </is>
      </c>
      <c r="H1298" s="6" t="inlineStr">
        <is>
          <t>%</t>
        </is>
      </c>
      <c r="P1298" s="12">
        <f>TOTAL_INDIRECT_EFFECT(0,"Urban","mean")</f>
        <v/>
      </c>
    </row>
    <row r="1299">
      <c r="D1299" s="6" t="inlineStr">
        <is>
          <t>mean</t>
        </is>
      </c>
      <c r="E1299" s="6" t="inlineStr">
        <is>
          <t>Urban</t>
        </is>
      </c>
      <c r="F1299" s="6" t="inlineStr">
        <is>
          <t>Deciles</t>
        </is>
      </c>
      <c r="G1299" s="6" t="inlineStr">
        <is>
          <t>tot</t>
        </is>
      </c>
      <c r="H1299" s="6" t="inlineStr">
        <is>
          <t>%</t>
        </is>
      </c>
      <c r="Q1299" s="12">
        <f>TOTAL_INDIRECT_EFFECT(DECILE_ARRAY,"Urban","mean")</f>
        <v/>
      </c>
    </row>
    <row r="1300">
      <c r="D1300" s="6" t="inlineStr">
        <is>
          <t>mean</t>
        </is>
      </c>
      <c r="E1300" s="6" t="inlineStr">
        <is>
          <t>Rural</t>
        </is>
      </c>
      <c r="F1300" s="6" t="inlineStr">
        <is>
          <t>Basket</t>
        </is>
      </c>
      <c r="G1300" s="6" t="inlineStr">
        <is>
          <t>tot</t>
        </is>
      </c>
      <c r="H1300" s="6" t="inlineStr">
        <is>
          <t>%</t>
        </is>
      </c>
      <c r="P1300" s="12">
        <f>TOTAL_INDIRECT_EFFECT(0,"Rural","mean")</f>
        <v/>
      </c>
    </row>
    <row r="1301">
      <c r="D1301" s="6" t="inlineStr">
        <is>
          <t>mean</t>
        </is>
      </c>
      <c r="E1301" s="6" t="inlineStr">
        <is>
          <t>Rural</t>
        </is>
      </c>
      <c r="F1301" s="6" t="inlineStr">
        <is>
          <t>Deciles</t>
        </is>
      </c>
      <c r="G1301" s="6" t="inlineStr">
        <is>
          <t>tot</t>
        </is>
      </c>
      <c r="H1301" s="6" t="inlineStr">
        <is>
          <t>%</t>
        </is>
      </c>
      <c r="Q1301" s="12">
        <f>TOTAL_INDIRECT_EFFECT(DECILE_ARRAY,"Rural","mean")</f>
        <v/>
      </c>
    </row>
    <row r="1302">
      <c r="D1302" s="6" t="inlineStr">
        <is>
          <t>median</t>
        </is>
      </c>
      <c r="E1302" s="6" t="inlineStr">
        <is>
          <t>Overall</t>
        </is>
      </c>
      <c r="F1302" s="6" t="inlineStr">
        <is>
          <t>Basket</t>
        </is>
      </c>
      <c r="G1302" s="6" t="inlineStr">
        <is>
          <t>tot</t>
        </is>
      </c>
      <c r="H1302" s="6" t="inlineStr">
        <is>
          <t>%</t>
        </is>
      </c>
      <c r="P1302" s="12">
        <f>TOTAL_INDIRECT_EFFECT(0,"Overall","median")</f>
        <v/>
      </c>
    </row>
    <row r="1303">
      <c r="D1303" s="6" t="inlineStr">
        <is>
          <t>median</t>
        </is>
      </c>
      <c r="E1303" s="6" t="inlineStr">
        <is>
          <t>Overall</t>
        </is>
      </c>
      <c r="F1303" s="6" t="inlineStr">
        <is>
          <t>Deciles</t>
        </is>
      </c>
      <c r="G1303" s="6" t="inlineStr">
        <is>
          <t>tot</t>
        </is>
      </c>
      <c r="H1303" s="6" t="inlineStr">
        <is>
          <t>%</t>
        </is>
      </c>
      <c r="Q1303" s="12">
        <f>TOTAL_INDIRECT_EFFECT(DECILE_ARRAY,"Overall","median")</f>
        <v/>
      </c>
    </row>
    <row r="1304">
      <c r="D1304" s="6" t="inlineStr">
        <is>
          <t>median</t>
        </is>
      </c>
      <c r="E1304" s="6" t="inlineStr">
        <is>
          <t>Urban</t>
        </is>
      </c>
      <c r="F1304" s="6" t="inlineStr">
        <is>
          <t>Basket</t>
        </is>
      </c>
      <c r="G1304" s="6" t="inlineStr">
        <is>
          <t>tot</t>
        </is>
      </c>
      <c r="H1304" s="6" t="inlineStr">
        <is>
          <t>%</t>
        </is>
      </c>
      <c r="P1304" s="12">
        <f>TOTAL_INDIRECT_EFFECT(0,"Urban","median")</f>
        <v/>
      </c>
    </row>
    <row r="1305">
      <c r="D1305" s="6" t="inlineStr">
        <is>
          <t>median</t>
        </is>
      </c>
      <c r="E1305" s="6" t="inlineStr">
        <is>
          <t>Urban</t>
        </is>
      </c>
      <c r="F1305" s="6" t="inlineStr">
        <is>
          <t>Deciles</t>
        </is>
      </c>
      <c r="G1305" s="6" t="inlineStr">
        <is>
          <t>tot</t>
        </is>
      </c>
      <c r="H1305" s="6" t="inlineStr">
        <is>
          <t>%</t>
        </is>
      </c>
      <c r="Q1305" s="12">
        <f>TOTAL_INDIRECT_EFFECT(DECILE_ARRAY,"Urban","median")</f>
        <v/>
      </c>
    </row>
    <row r="1306">
      <c r="D1306" s="6" t="inlineStr">
        <is>
          <t>median</t>
        </is>
      </c>
      <c r="E1306" s="6" t="inlineStr">
        <is>
          <t>Rural</t>
        </is>
      </c>
      <c r="F1306" s="6" t="inlineStr">
        <is>
          <t>Basket</t>
        </is>
      </c>
      <c r="G1306" s="6" t="inlineStr">
        <is>
          <t>tot</t>
        </is>
      </c>
      <c r="H1306" s="6" t="inlineStr">
        <is>
          <t>%</t>
        </is>
      </c>
      <c r="P1306" s="12">
        <f>TOTAL_INDIRECT_EFFECT(0,"Rural","median")</f>
        <v/>
      </c>
    </row>
    <row r="1307">
      <c r="D1307" s="6" t="inlineStr">
        <is>
          <t>median</t>
        </is>
      </c>
      <c r="E1307" s="6" t="inlineStr">
        <is>
          <t>Rural</t>
        </is>
      </c>
      <c r="F1307" s="6" t="inlineStr">
        <is>
          <t>Deciles</t>
        </is>
      </c>
      <c r="G1307" s="6" t="inlineStr">
        <is>
          <t>tot</t>
        </is>
      </c>
      <c r="H1307" s="6" t="inlineStr">
        <is>
          <t>%</t>
        </is>
      </c>
      <c r="Q1307" s="12">
        <f>TOTAL_INDIRECT_EFFECT(DECILE_ARRAY,"Rural","median")</f>
        <v/>
      </c>
    </row>
    <row r="1308">
      <c r="D1308" s="6" t="inlineStr">
        <is>
          <t>p25</t>
        </is>
      </c>
      <c r="E1308" s="6" t="inlineStr">
        <is>
          <t>Overall</t>
        </is>
      </c>
      <c r="F1308" s="6" t="inlineStr">
        <is>
          <t>Basket</t>
        </is>
      </c>
      <c r="G1308" s="6" t="inlineStr">
        <is>
          <t>tot</t>
        </is>
      </c>
      <c r="H1308" s="6" t="inlineStr">
        <is>
          <t>%</t>
        </is>
      </c>
      <c r="P1308" s="12">
        <f>TOTAL_INDIRECT_EFFECT(0,"Overall","p25")</f>
        <v/>
      </c>
    </row>
    <row r="1309">
      <c r="D1309" s="6" t="inlineStr">
        <is>
          <t>p25</t>
        </is>
      </c>
      <c r="E1309" s="6" t="inlineStr">
        <is>
          <t>Overall</t>
        </is>
      </c>
      <c r="F1309" s="6" t="inlineStr">
        <is>
          <t>Deciles</t>
        </is>
      </c>
      <c r="G1309" s="6" t="inlineStr">
        <is>
          <t>tot</t>
        </is>
      </c>
      <c r="H1309" s="6" t="inlineStr">
        <is>
          <t>%</t>
        </is>
      </c>
      <c r="Q1309" s="12">
        <f>TOTAL_INDIRECT_EFFECT(DECILE_ARRAY,"Overall","p25")</f>
        <v/>
      </c>
    </row>
    <row r="1310">
      <c r="D1310" s="6" t="inlineStr">
        <is>
          <t>p25</t>
        </is>
      </c>
      <c r="E1310" s="6" t="inlineStr">
        <is>
          <t>Urban</t>
        </is>
      </c>
      <c r="F1310" s="6" t="inlineStr">
        <is>
          <t>Basket</t>
        </is>
      </c>
      <c r="G1310" s="6" t="inlineStr">
        <is>
          <t>tot</t>
        </is>
      </c>
      <c r="H1310" s="6" t="inlineStr">
        <is>
          <t>%</t>
        </is>
      </c>
      <c r="P1310" s="12">
        <f>TOTAL_INDIRECT_EFFECT(0,"Urban","p25")</f>
        <v/>
      </c>
    </row>
    <row r="1311">
      <c r="D1311" s="6" t="inlineStr">
        <is>
          <t>p25</t>
        </is>
      </c>
      <c r="E1311" s="6" t="inlineStr">
        <is>
          <t>Urban</t>
        </is>
      </c>
      <c r="F1311" s="6" t="inlineStr">
        <is>
          <t>Deciles</t>
        </is>
      </c>
      <c r="G1311" s="6" t="inlineStr">
        <is>
          <t>tot</t>
        </is>
      </c>
      <c r="H1311" s="6" t="inlineStr">
        <is>
          <t>%</t>
        </is>
      </c>
      <c r="Q1311" s="12">
        <f>TOTAL_INDIRECT_EFFECT(DECILE_ARRAY,"Urban","p25")</f>
        <v/>
      </c>
    </row>
    <row r="1312">
      <c r="D1312" s="6" t="inlineStr">
        <is>
          <t>p25</t>
        </is>
      </c>
      <c r="E1312" s="6" t="inlineStr">
        <is>
          <t>Rural</t>
        </is>
      </c>
      <c r="F1312" s="6" t="inlineStr">
        <is>
          <t>Basket</t>
        </is>
      </c>
      <c r="G1312" s="6" t="inlineStr">
        <is>
          <t>tot</t>
        </is>
      </c>
      <c r="H1312" s="6" t="inlineStr">
        <is>
          <t>%</t>
        </is>
      </c>
      <c r="P1312" s="12">
        <f>TOTAL_INDIRECT_EFFECT(0,"Rural","p25")</f>
        <v/>
      </c>
    </row>
    <row r="1313">
      <c r="D1313" s="6" t="inlineStr">
        <is>
          <t>p25</t>
        </is>
      </c>
      <c r="E1313" s="6" t="inlineStr">
        <is>
          <t>Rural</t>
        </is>
      </c>
      <c r="F1313" s="6" t="inlineStr">
        <is>
          <t>Deciles</t>
        </is>
      </c>
      <c r="G1313" s="6" t="inlineStr">
        <is>
          <t>tot</t>
        </is>
      </c>
      <c r="H1313" s="6" t="inlineStr">
        <is>
          <t>%</t>
        </is>
      </c>
      <c r="Q1313" s="12">
        <f>TOTAL_INDIRECT_EFFECT(DECILE_ARRAY,"Rural","p25")</f>
        <v/>
      </c>
    </row>
    <row r="1314">
      <c r="D1314" s="6" t="inlineStr">
        <is>
          <t>p75</t>
        </is>
      </c>
      <c r="E1314" s="6" t="inlineStr">
        <is>
          <t>Overall</t>
        </is>
      </c>
      <c r="F1314" s="6" t="inlineStr">
        <is>
          <t>Basket</t>
        </is>
      </c>
      <c r="G1314" s="6" t="inlineStr">
        <is>
          <t>tot</t>
        </is>
      </c>
      <c r="H1314" s="6" t="inlineStr">
        <is>
          <t>%</t>
        </is>
      </c>
      <c r="P1314" s="12">
        <f>TOTAL_INDIRECT_EFFECT(0,"Overall","p75")</f>
        <v/>
      </c>
    </row>
    <row r="1315">
      <c r="D1315" s="6" t="inlineStr">
        <is>
          <t>p75</t>
        </is>
      </c>
      <c r="E1315" s="6" t="inlineStr">
        <is>
          <t>Overall</t>
        </is>
      </c>
      <c r="F1315" s="6" t="inlineStr">
        <is>
          <t>Deciles</t>
        </is>
      </c>
      <c r="G1315" s="6" t="inlineStr">
        <is>
          <t>tot</t>
        </is>
      </c>
      <c r="H1315" s="6" t="inlineStr">
        <is>
          <t>%</t>
        </is>
      </c>
      <c r="Q1315" s="12">
        <f>TOTAL_INDIRECT_EFFECT(DECILE_ARRAY,"Overall","p75")</f>
        <v/>
      </c>
    </row>
    <row r="1316">
      <c r="D1316" s="6" t="inlineStr">
        <is>
          <t>p75</t>
        </is>
      </c>
      <c r="E1316" s="6" t="inlineStr">
        <is>
          <t>Urban</t>
        </is>
      </c>
      <c r="F1316" s="6" t="inlineStr">
        <is>
          <t>Basket</t>
        </is>
      </c>
      <c r="G1316" s="6" t="inlineStr">
        <is>
          <t>tot</t>
        </is>
      </c>
      <c r="H1316" s="6" t="inlineStr">
        <is>
          <t>%</t>
        </is>
      </c>
      <c r="P1316" s="12">
        <f>TOTAL_INDIRECT_EFFECT(0,"Urban","p75")</f>
        <v/>
      </c>
    </row>
    <row r="1317">
      <c r="D1317" s="6" t="inlineStr">
        <is>
          <t>p75</t>
        </is>
      </c>
      <c r="E1317" s="6" t="inlineStr">
        <is>
          <t>Urban</t>
        </is>
      </c>
      <c r="F1317" s="6" t="inlineStr">
        <is>
          <t>Deciles</t>
        </is>
      </c>
      <c r="G1317" s="6" t="inlineStr">
        <is>
          <t>tot</t>
        </is>
      </c>
      <c r="H1317" s="6" t="inlineStr">
        <is>
          <t>%</t>
        </is>
      </c>
      <c r="Q1317" s="12">
        <f>TOTAL_INDIRECT_EFFECT(DECILE_ARRAY,"Urban","p75")</f>
        <v/>
      </c>
    </row>
    <row r="1318">
      <c r="D1318" s="6" t="inlineStr">
        <is>
          <t>p75</t>
        </is>
      </c>
      <c r="E1318" s="6" t="inlineStr">
        <is>
          <t>Rural</t>
        </is>
      </c>
      <c r="F1318" s="6" t="inlineStr">
        <is>
          <t>Basket</t>
        </is>
      </c>
      <c r="G1318" s="6" t="inlineStr">
        <is>
          <t>tot</t>
        </is>
      </c>
      <c r="H1318" s="6" t="inlineStr">
        <is>
          <t>%</t>
        </is>
      </c>
      <c r="P1318" s="12">
        <f>TOTAL_INDIRECT_EFFECT(0,"Rural","p75")</f>
        <v/>
      </c>
    </row>
    <row r="1319">
      <c r="D1319" s="6" t="inlineStr">
        <is>
          <t>p75</t>
        </is>
      </c>
      <c r="E1319" s="6" t="inlineStr">
        <is>
          <t>Rural</t>
        </is>
      </c>
      <c r="F1319" s="6" t="inlineStr">
        <is>
          <t>Deciles</t>
        </is>
      </c>
      <c r="G1319" s="6" t="inlineStr">
        <is>
          <t>tot</t>
        </is>
      </c>
      <c r="H1319" s="6" t="inlineStr">
        <is>
          <t>%</t>
        </is>
      </c>
      <c r="Q1319" s="12">
        <f>TOTAL_INDIRECT_EFFECT(DECILE_ARRAY,"Rural","p75")</f>
        <v/>
      </c>
    </row>
    <row r="1320"/>
    <row r="1321">
      <c r="A1321" s="4" t="inlineStr">
        <is>
          <t>C.VII.</t>
        </is>
      </c>
      <c r="B1321" s="4" t="inlineStr">
        <is>
          <t>Consumption losses - total effect</t>
        </is>
      </c>
      <c r="C1321" s="5" t="n"/>
      <c r="D1321" s="5" t="n"/>
      <c r="E1321" s="5" t="n"/>
      <c r="F1321" s="5" t="n"/>
      <c r="G1321" s="5" t="n"/>
      <c r="H1321" s="5" t="n"/>
      <c r="I1321" s="5" t="n"/>
      <c r="J1321" s="5" t="n"/>
      <c r="K1321" s="5" t="n"/>
      <c r="L1321" s="5" t="n"/>
      <c r="M1321" s="5" t="n"/>
      <c r="N1321" s="5" t="n"/>
    </row>
    <row r="1322"/>
    <row r="1323">
      <c r="C1323" s="7" t="inlineStr">
        <is>
          <t>Total Effect - Carbon Tax Burden (% Total Consumption)</t>
        </is>
      </c>
      <c r="G1323" s="6" t="inlineStr">
        <is>
          <t>tot</t>
        </is>
      </c>
      <c r="O1323" s="8" t="inlineStr">
        <is>
          <t>Decile --&gt;</t>
        </is>
      </c>
      <c r="Q1323" s="8" t="n">
        <v>1</v>
      </c>
      <c r="R1323" s="8" t="n">
        <v>2</v>
      </c>
      <c r="S1323" s="8" t="n">
        <v>3</v>
      </c>
      <c r="T1323" s="8" t="n">
        <v>4</v>
      </c>
      <c r="U1323" s="8" t="n">
        <v>5</v>
      </c>
      <c r="V1323" s="8" t="n">
        <v>6</v>
      </c>
      <c r="W1323" s="8" t="n">
        <v>7</v>
      </c>
      <c r="X1323" s="8" t="n">
        <v>8</v>
      </c>
      <c r="Y1323" s="8" t="n">
        <v>9</v>
      </c>
      <c r="Z1323" s="8" t="n">
        <v>10</v>
      </c>
    </row>
    <row r="1324">
      <c r="D1324" s="6" t="inlineStr">
        <is>
          <t>mean</t>
        </is>
      </c>
      <c r="E1324" s="6" t="inlineStr">
        <is>
          <t>Overall</t>
        </is>
      </c>
      <c r="F1324" s="6" t="inlineStr">
        <is>
          <t>Basket</t>
        </is>
      </c>
      <c r="G1324" s="6" t="inlineStr">
        <is>
          <t>tot</t>
        </is>
      </c>
      <c r="H1324" s="6" t="inlineStr">
        <is>
          <t>%</t>
        </is>
      </c>
      <c r="P1324" s="12">
        <f>TOTAL_EFFECT(0,"Overall","mean")</f>
        <v/>
      </c>
    </row>
    <row r="1325">
      <c r="D1325" s="6" t="inlineStr">
        <is>
          <t>mean</t>
        </is>
      </c>
      <c r="E1325" s="6" t="inlineStr">
        <is>
          <t>Overall</t>
        </is>
      </c>
      <c r="F1325" s="6" t="inlineStr">
        <is>
          <t>Deciles</t>
        </is>
      </c>
      <c r="G1325" s="6" t="inlineStr">
        <is>
          <t>tot</t>
        </is>
      </c>
      <c r="H1325" s="6" t="inlineStr">
        <is>
          <t>%</t>
        </is>
      </c>
      <c r="Q1325" s="12">
        <f>TOTAL_EFFECT(DECILE_ARRAY,"Overall","mean")</f>
        <v/>
      </c>
    </row>
    <row r="1326">
      <c r="D1326" s="6" t="inlineStr">
        <is>
          <t>mean</t>
        </is>
      </c>
      <c r="E1326" s="6" t="inlineStr">
        <is>
          <t>Urban</t>
        </is>
      </c>
      <c r="F1326" s="6" t="inlineStr">
        <is>
          <t>Basket</t>
        </is>
      </c>
      <c r="G1326" s="6" t="inlineStr">
        <is>
          <t>tot</t>
        </is>
      </c>
      <c r="H1326" s="6" t="inlineStr">
        <is>
          <t>%</t>
        </is>
      </c>
      <c r="P1326" s="12">
        <f>TOTAL_EFFECT(0,"Urban","mean")</f>
        <v/>
      </c>
    </row>
    <row r="1327">
      <c r="D1327" s="6" t="inlineStr">
        <is>
          <t>mean</t>
        </is>
      </c>
      <c r="E1327" s="6" t="inlineStr">
        <is>
          <t>Urban</t>
        </is>
      </c>
      <c r="F1327" s="6" t="inlineStr">
        <is>
          <t>Deciles</t>
        </is>
      </c>
      <c r="G1327" s="6" t="inlineStr">
        <is>
          <t>tot</t>
        </is>
      </c>
      <c r="H1327" s="6" t="inlineStr">
        <is>
          <t>%</t>
        </is>
      </c>
      <c r="Q1327" s="12">
        <f>TOTAL_EFFECT(DECILE_ARRAY,"Urban","mean")</f>
        <v/>
      </c>
    </row>
    <row r="1328">
      <c r="D1328" s="6" t="inlineStr">
        <is>
          <t>mean</t>
        </is>
      </c>
      <c r="E1328" s="6" t="inlineStr">
        <is>
          <t>Rural</t>
        </is>
      </c>
      <c r="F1328" s="6" t="inlineStr">
        <is>
          <t>Basket</t>
        </is>
      </c>
      <c r="G1328" s="6" t="inlineStr">
        <is>
          <t>tot</t>
        </is>
      </c>
      <c r="H1328" s="6" t="inlineStr">
        <is>
          <t>%</t>
        </is>
      </c>
      <c r="P1328" s="12">
        <f>TOTAL_EFFECT(0,"Rural","mean")</f>
        <v/>
      </c>
    </row>
    <row r="1329">
      <c r="D1329" s="6" t="inlineStr">
        <is>
          <t>mean</t>
        </is>
      </c>
      <c r="E1329" s="6" t="inlineStr">
        <is>
          <t>Rural</t>
        </is>
      </c>
      <c r="F1329" s="6" t="inlineStr">
        <is>
          <t>Deciles</t>
        </is>
      </c>
      <c r="G1329" s="6" t="inlineStr">
        <is>
          <t>tot</t>
        </is>
      </c>
      <c r="H1329" s="6" t="inlineStr">
        <is>
          <t>%</t>
        </is>
      </c>
      <c r="Q1329" s="12">
        <f>TOTAL_EFFECT(DECILE_ARRAY,"Rural","mean")</f>
        <v/>
      </c>
    </row>
    <row r="1330">
      <c r="D1330" s="6" t="inlineStr">
        <is>
          <t>median</t>
        </is>
      </c>
      <c r="E1330" s="6" t="inlineStr">
        <is>
          <t>Overall</t>
        </is>
      </c>
      <c r="F1330" s="6" t="inlineStr">
        <is>
          <t>Basket</t>
        </is>
      </c>
      <c r="G1330" s="6" t="inlineStr">
        <is>
          <t>tot</t>
        </is>
      </c>
      <c r="H1330" s="6" t="inlineStr">
        <is>
          <t>%</t>
        </is>
      </c>
      <c r="P1330" s="12">
        <f>TOTAL_EFFECT(0,"Overall","median")</f>
        <v/>
      </c>
    </row>
    <row r="1331">
      <c r="D1331" s="6" t="inlineStr">
        <is>
          <t>median</t>
        </is>
      </c>
      <c r="E1331" s="6" t="inlineStr">
        <is>
          <t>Overall</t>
        </is>
      </c>
      <c r="F1331" s="6" t="inlineStr">
        <is>
          <t>Deciles</t>
        </is>
      </c>
      <c r="G1331" s="6" t="inlineStr">
        <is>
          <t>tot</t>
        </is>
      </c>
      <c r="H1331" s="6" t="inlineStr">
        <is>
          <t>%</t>
        </is>
      </c>
      <c r="Q1331" s="12">
        <f>TOTAL_EFFECT(DECILE_ARRAY,"Overall","median")</f>
        <v/>
      </c>
    </row>
    <row r="1332">
      <c r="D1332" s="6" t="inlineStr">
        <is>
          <t>median</t>
        </is>
      </c>
      <c r="E1332" s="6" t="inlineStr">
        <is>
          <t>Urban</t>
        </is>
      </c>
      <c r="F1332" s="6" t="inlineStr">
        <is>
          <t>Basket</t>
        </is>
      </c>
      <c r="G1332" s="6" t="inlineStr">
        <is>
          <t>tot</t>
        </is>
      </c>
      <c r="H1332" s="6" t="inlineStr">
        <is>
          <t>%</t>
        </is>
      </c>
      <c r="P1332" s="12">
        <f>TOTAL_EFFECT(0,"Urban","median")</f>
        <v/>
      </c>
    </row>
    <row r="1333">
      <c r="D1333" s="6" t="inlineStr">
        <is>
          <t>median</t>
        </is>
      </c>
      <c r="E1333" s="6" t="inlineStr">
        <is>
          <t>Urban</t>
        </is>
      </c>
      <c r="F1333" s="6" t="inlineStr">
        <is>
          <t>Deciles</t>
        </is>
      </c>
      <c r="G1333" s="6" t="inlineStr">
        <is>
          <t>tot</t>
        </is>
      </c>
      <c r="H1333" s="6" t="inlineStr">
        <is>
          <t>%</t>
        </is>
      </c>
      <c r="Q1333" s="12">
        <f>TOTAL_EFFECT(DECILE_ARRAY,"Urban","median")</f>
        <v/>
      </c>
    </row>
    <row r="1334">
      <c r="D1334" s="6" t="inlineStr">
        <is>
          <t>median</t>
        </is>
      </c>
      <c r="E1334" s="6" t="inlineStr">
        <is>
          <t>Rural</t>
        </is>
      </c>
      <c r="F1334" s="6" t="inlineStr">
        <is>
          <t>Basket</t>
        </is>
      </c>
      <c r="G1334" s="6" t="inlineStr">
        <is>
          <t>tot</t>
        </is>
      </c>
      <c r="H1334" s="6" t="inlineStr">
        <is>
          <t>%</t>
        </is>
      </c>
      <c r="P1334" s="12">
        <f>TOTAL_EFFECT(0,"Rural","median")</f>
        <v/>
      </c>
    </row>
    <row r="1335">
      <c r="D1335" s="6" t="inlineStr">
        <is>
          <t>median</t>
        </is>
      </c>
      <c r="E1335" s="6" t="inlineStr">
        <is>
          <t>Rural</t>
        </is>
      </c>
      <c r="F1335" s="6" t="inlineStr">
        <is>
          <t>Deciles</t>
        </is>
      </c>
      <c r="G1335" s="6" t="inlineStr">
        <is>
          <t>tot</t>
        </is>
      </c>
      <c r="H1335" s="6" t="inlineStr">
        <is>
          <t>%</t>
        </is>
      </c>
      <c r="Q1335" s="12">
        <f>TOTAL_EFFECT(DECILE_ARRAY,"Rural","median")</f>
        <v/>
      </c>
    </row>
    <row r="1336">
      <c r="D1336" s="6" t="inlineStr">
        <is>
          <t>p25</t>
        </is>
      </c>
      <c r="E1336" s="6" t="inlineStr">
        <is>
          <t>Overall</t>
        </is>
      </c>
      <c r="F1336" s="6" t="inlineStr">
        <is>
          <t>Basket</t>
        </is>
      </c>
      <c r="G1336" s="6" t="inlineStr">
        <is>
          <t>tot</t>
        </is>
      </c>
      <c r="H1336" s="6" t="inlineStr">
        <is>
          <t>%</t>
        </is>
      </c>
      <c r="P1336" s="12">
        <f>TOTAL_EFFECT(0,"Overall","p25")</f>
        <v/>
      </c>
    </row>
    <row r="1337">
      <c r="D1337" s="6" t="inlineStr">
        <is>
          <t>p25</t>
        </is>
      </c>
      <c r="E1337" s="6" t="inlineStr">
        <is>
          <t>Overall</t>
        </is>
      </c>
      <c r="F1337" s="6" t="inlineStr">
        <is>
          <t>Deciles</t>
        </is>
      </c>
      <c r="G1337" s="6" t="inlineStr">
        <is>
          <t>tot</t>
        </is>
      </c>
      <c r="H1337" s="6" t="inlineStr">
        <is>
          <t>%</t>
        </is>
      </c>
      <c r="Q1337" s="12">
        <f>TOTAL_EFFECT(DECILE_ARRAY,"Overall","p25")</f>
        <v/>
      </c>
    </row>
    <row r="1338">
      <c r="D1338" s="6" t="inlineStr">
        <is>
          <t>p25</t>
        </is>
      </c>
      <c r="E1338" s="6" t="inlineStr">
        <is>
          <t>Urban</t>
        </is>
      </c>
      <c r="F1338" s="6" t="inlineStr">
        <is>
          <t>Basket</t>
        </is>
      </c>
      <c r="G1338" s="6" t="inlineStr">
        <is>
          <t>tot</t>
        </is>
      </c>
      <c r="H1338" s="6" t="inlineStr">
        <is>
          <t>%</t>
        </is>
      </c>
      <c r="P1338" s="12">
        <f>TOTAL_EFFECT(0,"Urban","p25")</f>
        <v/>
      </c>
    </row>
    <row r="1339">
      <c r="D1339" s="6" t="inlineStr">
        <is>
          <t>p25</t>
        </is>
      </c>
      <c r="E1339" s="6" t="inlineStr">
        <is>
          <t>Urban</t>
        </is>
      </c>
      <c r="F1339" s="6" t="inlineStr">
        <is>
          <t>Deciles</t>
        </is>
      </c>
      <c r="G1339" s="6" t="inlineStr">
        <is>
          <t>tot</t>
        </is>
      </c>
      <c r="H1339" s="6" t="inlineStr">
        <is>
          <t>%</t>
        </is>
      </c>
      <c r="Q1339" s="12">
        <f>TOTAL_EFFECT(DECILE_ARRAY,"Urban","p25")</f>
        <v/>
      </c>
    </row>
    <row r="1340">
      <c r="D1340" s="6" t="inlineStr">
        <is>
          <t>p25</t>
        </is>
      </c>
      <c r="E1340" s="6" t="inlineStr">
        <is>
          <t>Rural</t>
        </is>
      </c>
      <c r="F1340" s="6" t="inlineStr">
        <is>
          <t>Basket</t>
        </is>
      </c>
      <c r="G1340" s="6" t="inlineStr">
        <is>
          <t>tot</t>
        </is>
      </c>
      <c r="H1340" s="6" t="inlineStr">
        <is>
          <t>%</t>
        </is>
      </c>
      <c r="P1340" s="12">
        <f>TOTAL_EFFECT(0,"Rural","p25")</f>
        <v/>
      </c>
    </row>
    <row r="1341">
      <c r="D1341" s="6" t="inlineStr">
        <is>
          <t>p25</t>
        </is>
      </c>
      <c r="E1341" s="6" t="inlineStr">
        <is>
          <t>Rural</t>
        </is>
      </c>
      <c r="F1341" s="6" t="inlineStr">
        <is>
          <t>Deciles</t>
        </is>
      </c>
      <c r="G1341" s="6" t="inlineStr">
        <is>
          <t>tot</t>
        </is>
      </c>
      <c r="H1341" s="6" t="inlineStr">
        <is>
          <t>%</t>
        </is>
      </c>
      <c r="Q1341" s="12">
        <f>TOTAL_EFFECT(DECILE_ARRAY,"Rural","p25")</f>
        <v/>
      </c>
    </row>
    <row r="1342">
      <c r="D1342" s="6" t="inlineStr">
        <is>
          <t>p75</t>
        </is>
      </c>
      <c r="E1342" s="6" t="inlineStr">
        <is>
          <t>Overall</t>
        </is>
      </c>
      <c r="F1342" s="6" t="inlineStr">
        <is>
          <t>Basket</t>
        </is>
      </c>
      <c r="G1342" s="6" t="inlineStr">
        <is>
          <t>tot</t>
        </is>
      </c>
      <c r="H1342" s="6" t="inlineStr">
        <is>
          <t>%</t>
        </is>
      </c>
      <c r="P1342" s="12">
        <f>TOTAL_EFFECT(0,"Overall","p75")</f>
        <v/>
      </c>
    </row>
    <row r="1343">
      <c r="D1343" s="6" t="inlineStr">
        <is>
          <t>p75</t>
        </is>
      </c>
      <c r="E1343" s="6" t="inlineStr">
        <is>
          <t>Overall</t>
        </is>
      </c>
      <c r="F1343" s="6" t="inlineStr">
        <is>
          <t>Deciles</t>
        </is>
      </c>
      <c r="G1343" s="6" t="inlineStr">
        <is>
          <t>tot</t>
        </is>
      </c>
      <c r="H1343" s="6" t="inlineStr">
        <is>
          <t>%</t>
        </is>
      </c>
      <c r="Q1343" s="12">
        <f>TOTAL_EFFECT(DECILE_ARRAY,"Overall","p75")</f>
        <v/>
      </c>
    </row>
    <row r="1344">
      <c r="D1344" s="6" t="inlineStr">
        <is>
          <t>p75</t>
        </is>
      </c>
      <c r="E1344" s="6" t="inlineStr">
        <is>
          <t>Urban</t>
        </is>
      </c>
      <c r="F1344" s="6" t="inlineStr">
        <is>
          <t>Basket</t>
        </is>
      </c>
      <c r="G1344" s="6" t="inlineStr">
        <is>
          <t>tot</t>
        </is>
      </c>
      <c r="H1344" s="6" t="inlineStr">
        <is>
          <t>%</t>
        </is>
      </c>
      <c r="P1344" s="12">
        <f>TOTAL_EFFECT(0,"Urban","p75")</f>
        <v/>
      </c>
    </row>
    <row r="1345">
      <c r="D1345" s="6" t="inlineStr">
        <is>
          <t>p75</t>
        </is>
      </c>
      <c r="E1345" s="6" t="inlineStr">
        <is>
          <t>Urban</t>
        </is>
      </c>
      <c r="F1345" s="6" t="inlineStr">
        <is>
          <t>Deciles</t>
        </is>
      </c>
      <c r="G1345" s="6" t="inlineStr">
        <is>
          <t>tot</t>
        </is>
      </c>
      <c r="H1345" s="6" t="inlineStr">
        <is>
          <t>%</t>
        </is>
      </c>
      <c r="Q1345" s="12">
        <f>TOTAL_EFFECT(DECILE_ARRAY,"Urban","p75")</f>
        <v/>
      </c>
    </row>
    <row r="1346">
      <c r="D1346" s="6" t="inlineStr">
        <is>
          <t>p75</t>
        </is>
      </c>
      <c r="E1346" s="6" t="inlineStr">
        <is>
          <t>Rural</t>
        </is>
      </c>
      <c r="F1346" s="6" t="inlineStr">
        <is>
          <t>Basket</t>
        </is>
      </c>
      <c r="G1346" s="6" t="inlineStr">
        <is>
          <t>tot</t>
        </is>
      </c>
      <c r="H1346" s="6" t="inlineStr">
        <is>
          <t>%</t>
        </is>
      </c>
      <c r="P1346" s="12">
        <f>TOTAL_EFFECT(0,"Rural","p75")</f>
        <v/>
      </c>
    </row>
    <row r="1347">
      <c r="D1347" s="6" t="inlineStr">
        <is>
          <t>p75</t>
        </is>
      </c>
      <c r="E1347" s="6" t="inlineStr">
        <is>
          <t>Rural</t>
        </is>
      </c>
      <c r="F1347" s="6" t="inlineStr">
        <is>
          <t>Deciles</t>
        </is>
      </c>
      <c r="G1347" s="6" t="inlineStr">
        <is>
          <t>tot</t>
        </is>
      </c>
      <c r="H1347" s="6" t="inlineStr">
        <is>
          <t>%</t>
        </is>
      </c>
      <c r="Q1347" s="12">
        <f>TOTAL_EFFECT(DECILE_ARRAY,"Rural","p75")</f>
        <v/>
      </c>
    </row>
    <row r="1348"/>
    <row r="1349">
      <c r="A1349" s="4" t="inlineStr">
        <is>
          <t>C.VIII.</t>
        </is>
      </c>
      <c r="B1349" s="4" t="inlineStr">
        <is>
          <t>Household-survey-to-national-accounts adjustments</t>
        </is>
      </c>
      <c r="C1349" s="5" t="n"/>
      <c r="D1349" s="5" t="n"/>
      <c r="E1349" s="5" t="n"/>
      <c r="F1349" s="5" t="n"/>
      <c r="G1349" s="5" t="n"/>
      <c r="H1349" s="5" t="n"/>
      <c r="I1349" s="5" t="n"/>
      <c r="J1349" s="5" t="n"/>
      <c r="K1349" s="5" t="n"/>
      <c r="L1349" s="5" t="n"/>
      <c r="M1349" s="5" t="n"/>
      <c r="N1349" s="5" t="n"/>
    </row>
    <row r="1350"/>
    <row r="1351">
      <c r="C1351" s="7" t="inlineStr">
        <is>
          <t>Adjusted population and consumption (Step 7)</t>
        </is>
      </c>
      <c r="G1351" s="6" t="inlineStr"/>
      <c r="O1351" s="8" t="inlineStr">
        <is>
          <t>Decile --&gt;</t>
        </is>
      </c>
      <c r="Q1351" s="8" t="n">
        <v>1</v>
      </c>
      <c r="R1351" s="8" t="n">
        <v>2</v>
      </c>
      <c r="S1351" s="8" t="n">
        <v>3</v>
      </c>
      <c r="T1351" s="8" t="n">
        <v>4</v>
      </c>
      <c r="U1351" s="8" t="n">
        <v>5</v>
      </c>
      <c r="V1351" s="8" t="n">
        <v>6</v>
      </c>
      <c r="W1351" s="8" t="n">
        <v>7</v>
      </c>
      <c r="X1351" s="8" t="n">
        <v>8</v>
      </c>
      <c r="Y1351" s="8" t="n">
        <v>9</v>
      </c>
      <c r="Z1351" s="8" t="n">
        <v>10</v>
      </c>
    </row>
    <row r="1352">
      <c r="C1352" s="6" t="inlineStr">
        <is>
          <t>Adjusted Population (Overall)</t>
        </is>
      </c>
      <c r="G1352" s="6" t="inlineStr">
        <is>
          <t>pop_tot_adj</t>
        </is>
      </c>
      <c r="H1352" s="6" t="inlineStr">
        <is>
          <t>Individuals</t>
        </is>
      </c>
      <c r="P1352" s="12">
        <f>SUM(ADJ_POP(DECILE_ARRAY,"Overall"))</f>
        <v/>
      </c>
      <c r="Q1352" s="12">
        <f>ADJ_POP(DECILE_ARRAY,"Overall")</f>
        <v/>
      </c>
    </row>
    <row r="1353">
      <c r="C1353" s="6" t="inlineStr">
        <is>
          <t>Adjusted Population (Urban)</t>
        </is>
      </c>
      <c r="G1353" s="6" t="inlineStr">
        <is>
          <t>pop_tot_adj</t>
        </is>
      </c>
      <c r="H1353" s="6" t="inlineStr">
        <is>
          <t>Individuals</t>
        </is>
      </c>
      <c r="P1353" s="12">
        <f>SUM(ADJ_POP(DECILE_ARRAY,"Urban"))</f>
        <v/>
      </c>
      <c r="Q1353" s="12">
        <f>ADJ_POP(DECILE_ARRAY,"Urban")</f>
        <v/>
      </c>
    </row>
    <row r="1354">
      <c r="C1354" s="6" t="inlineStr">
        <is>
          <t>Adjusted Population (Rural)</t>
        </is>
      </c>
      <c r="G1354" s="6" t="inlineStr">
        <is>
          <t>pop_tot_adj</t>
        </is>
      </c>
      <c r="H1354" s="6" t="inlineStr">
        <is>
          <t>Individuals</t>
        </is>
      </c>
      <c r="P1354" s="12">
        <f>SUM(ADJ_POP(DECILE_ARRAY,"Rural"))</f>
        <v/>
      </c>
      <c r="Q1354" s="12">
        <f>ADJ_POP(DECILE_ARRAY,"Rural")</f>
        <v/>
      </c>
    </row>
    <row r="1355">
      <c r="C1355" s="6" t="inlineStr">
        <is>
          <t>NA-Adjusted Per-Capita Consumption (Overall)</t>
        </is>
      </c>
      <c r="G1355" s="6" t="inlineStr">
        <is>
          <t>cons_pc_na</t>
        </is>
      </c>
      <c r="H1355" s="6" t="inlineStr">
        <is>
          <t>Real 2026 LCU/Individual</t>
        </is>
      </c>
      <c r="P1355" s="12">
        <f>ADJ_CONS_PC(0,"Overall")</f>
        <v/>
      </c>
      <c r="Q1355" s="12">
        <f>ADJ_CONS_PC(DECILE_ARRAY,"Overall")</f>
        <v/>
      </c>
    </row>
    <row r="1356">
      <c r="C1356" s="6" t="inlineStr">
        <is>
          <t>NA-Adjusted Per-Capita Consumption (Urban)</t>
        </is>
      </c>
      <c r="G1356" s="6" t="inlineStr">
        <is>
          <t>cons_pc_na</t>
        </is>
      </c>
      <c r="H1356" s="6" t="inlineStr">
        <is>
          <t>Real 2026 LCU/Individual</t>
        </is>
      </c>
      <c r="P1356" s="12">
        <f>ADJ_CONS_PC(0,"Urban")</f>
        <v/>
      </c>
      <c r="Q1356" s="12">
        <f>ADJ_CONS_PC(DECILE_ARRAY,"Urban")</f>
        <v/>
      </c>
    </row>
    <row r="1357">
      <c r="C1357" s="6" t="inlineStr">
        <is>
          <t>NA-Adjusted Per-Capita Consumption (Rural)</t>
        </is>
      </c>
      <c r="G1357" s="6" t="inlineStr">
        <is>
          <t>cons_pc_na</t>
        </is>
      </c>
      <c r="H1357" s="6" t="inlineStr">
        <is>
          <t>Real 2026 LCU/Individual</t>
        </is>
      </c>
      <c r="P1357" s="12">
        <f>ADJ_CONS_PC(0,"Rural")</f>
        <v/>
      </c>
      <c r="Q1357" s="12">
        <f>ADJ_CONS_PC(DECILE_ARRAY,"Rural")</f>
        <v/>
      </c>
    </row>
    <row r="1358">
      <c r="C1358" s="6" t="inlineStr">
        <is>
          <t>NA-Adjusted Total Consumption (Overall)</t>
        </is>
      </c>
      <c r="G1358" s="6" t="inlineStr">
        <is>
          <t>cons_tot_na</t>
        </is>
      </c>
      <c r="H1358" s="6" t="inlineStr">
        <is>
          <t>Real 2026 LCU</t>
        </is>
      </c>
      <c r="P1358" s="12">
        <f>SUM(ADJ_CONS_TOT(DECILE_ARRAY,"Overall"))</f>
        <v/>
      </c>
      <c r="Q1358" s="12">
        <f>ADJ_CONS_TOT(DECILE_ARRAY,"Overall")</f>
        <v/>
      </c>
    </row>
    <row r="1359">
      <c r="C1359" s="6" t="inlineStr">
        <is>
          <t>NA-Adjusted Total Consumption (Urban)</t>
        </is>
      </c>
      <c r="G1359" s="6" t="inlineStr">
        <is>
          <t>cons_tot_na</t>
        </is>
      </c>
      <c r="H1359" s="6" t="inlineStr">
        <is>
          <t>Real 2026 LCU</t>
        </is>
      </c>
      <c r="P1359" s="12">
        <f>SUM(ADJ_CONS_TOT(DECILE_ARRAY,"Urban"))</f>
        <v/>
      </c>
      <c r="Q1359" s="12">
        <f>ADJ_CONS_TOT(DECILE_ARRAY,"Urban")</f>
        <v/>
      </c>
    </row>
    <row r="1360">
      <c r="C1360" s="6" t="inlineStr">
        <is>
          <t>NA-Adjusted Total Consumption (Rural)</t>
        </is>
      </c>
      <c r="G1360" s="6" t="inlineStr">
        <is>
          <t>cons_tot_na</t>
        </is>
      </c>
      <c r="H1360" s="6" t="inlineStr">
        <is>
          <t>Real 2026 LCU</t>
        </is>
      </c>
      <c r="P1360" s="12">
        <f>SUM(ADJ_CONS_TOT(DECILE_ARRAY,"Rural"))</f>
        <v/>
      </c>
      <c r="Q1360" s="12">
        <f>ADJ_CONS_TOT(DECILE_ARRAY,"Rural")</f>
        <v/>
      </c>
    </row>
    <row r="1361">
      <c r="C1361" s="6" t="inlineStr">
        <is>
          <t>Tax Burden, Pre-Behavioral Response (Overall)</t>
        </is>
      </c>
      <c r="G1361" s="6" t="inlineStr">
        <is>
          <t>ct_bdn_pre</t>
        </is>
      </c>
      <c r="H1361" s="6" t="inlineStr">
        <is>
          <t>Real 2026 LCU</t>
        </is>
      </c>
      <c r="P1361" s="12">
        <f>SUM(TAX_BURDEN_PRE(DECILE_ARRAY,"Overall"))</f>
        <v/>
      </c>
      <c r="Q1361" s="12">
        <f>TAX_BURDEN_PRE(DECILE_ARRAY,"Overall")</f>
        <v/>
      </c>
    </row>
    <row r="1362">
      <c r="C1362" s="6" t="inlineStr">
        <is>
          <t>Tax Burden, Pre-Behavioral Response (Urban)</t>
        </is>
      </c>
      <c r="G1362" s="6" t="inlineStr">
        <is>
          <t>ct_bdn_pre</t>
        </is>
      </c>
      <c r="H1362" s="6" t="inlineStr">
        <is>
          <t>Real 2026 LCU</t>
        </is>
      </c>
      <c r="P1362" s="12">
        <f>SUM(TAX_BURDEN_PRE(DECILE_ARRAY,"Urban"))</f>
        <v/>
      </c>
      <c r="Q1362" s="12">
        <f>TAX_BURDEN_PRE(DECILE_ARRAY,"Urban")</f>
        <v/>
      </c>
    </row>
    <row r="1363">
      <c r="C1363" s="6" t="inlineStr">
        <is>
          <t>Tax Burden, Pre-Behavioral Response (Rural)</t>
        </is>
      </c>
      <c r="G1363" s="6" t="inlineStr">
        <is>
          <t>ct_bdn_pre</t>
        </is>
      </c>
      <c r="H1363" s="6" t="inlineStr">
        <is>
          <t>Real 2026 LCU</t>
        </is>
      </c>
      <c r="P1363" s="12">
        <f>SUM(TAX_BURDEN_PRE(DECILE_ARRAY,"Rural"))</f>
        <v/>
      </c>
      <c r="Q1363" s="12">
        <f>TAX_BURDEN_PRE(DECILE_ARRAY,"Rural")</f>
        <v/>
      </c>
    </row>
    <row r="1364"/>
    <row r="1365">
      <c r="A1365" s="4" t="inlineStr">
        <is>
          <t>C.IX.</t>
        </is>
      </c>
      <c r="B1365" s="4" t="inlineStr">
        <is>
          <t>Change in Gini coefficient (Lorenz curve)</t>
        </is>
      </c>
      <c r="C1365" s="5" t="n"/>
      <c r="D1365" s="5" t="n"/>
      <c r="E1365" s="5" t="n"/>
      <c r="F1365" s="5" t="n"/>
      <c r="G1365" s="5" t="n"/>
      <c r="H1365" s="5" t="n"/>
      <c r="I1365" s="5" t="n"/>
      <c r="J1365" s="5" t="n"/>
      <c r="K1365" s="5" t="n"/>
      <c r="L1365" s="5" t="n"/>
      <c r="M1365" s="5" t="n"/>
      <c r="N1365" s="5" t="n"/>
    </row>
    <row r="1366"/>
    <row r="1367">
      <c r="C1367" s="7" t="inlineStr">
        <is>
          <t>Consumption shares &amp; cumulative shares (Overall sample, mean)</t>
        </is>
      </c>
      <c r="G1367" s="6" t="inlineStr"/>
      <c r="O1367" s="8" t="inlineStr">
        <is>
          <t>Decile --&gt;</t>
        </is>
      </c>
      <c r="Q1367" s="8" t="n">
        <v>1</v>
      </c>
      <c r="R1367" s="8" t="n">
        <v>2</v>
      </c>
      <c r="S1367" s="8" t="n">
        <v>3</v>
      </c>
      <c r="T1367" s="8" t="n">
        <v>4</v>
      </c>
      <c r="U1367" s="8" t="n">
        <v>5</v>
      </c>
      <c r="V1367" s="8" t="n">
        <v>6</v>
      </c>
      <c r="W1367" s="8" t="n">
        <v>7</v>
      </c>
      <c r="X1367" s="8" t="n">
        <v>8</v>
      </c>
      <c r="Y1367" s="8" t="n">
        <v>9</v>
      </c>
      <c r="Z1367" s="8" t="n">
        <v>10</v>
      </c>
    </row>
    <row r="1368">
      <c r="C1368" s="6" t="inlineStr">
        <is>
          <t>Baseline Consumption Share per Decile</t>
        </is>
      </c>
      <c r="G1368" s="6" t="inlineStr">
        <is>
          <t>shr_base</t>
        </is>
      </c>
      <c r="H1368" s="6" t="inlineStr">
        <is>
          <t>Ratio</t>
        </is>
      </c>
      <c r="P1368" s="12" t="inlineStr"/>
      <c r="Q1368" s="12">
        <f>ADJ_CONS_TOT(DECILE_ARRAY,"Overall")/SUM(ADJ_CONS_TOT(DECILE_ARRAY,"Overall"))</f>
        <v/>
      </c>
    </row>
    <row r="1369">
      <c r="C1369" s="6" t="inlineStr">
        <is>
          <t>Post-CP Consumption Share, excl. Recycling</t>
        </is>
      </c>
      <c r="G1369" s="6" t="inlineStr">
        <is>
          <t>shr_excl</t>
        </is>
      </c>
      <c r="H1369" s="6" t="inlineStr">
        <is>
          <t>Ratio</t>
        </is>
      </c>
      <c r="P1369" s="12" t="inlineStr"/>
      <c r="Q1369" s="12">
        <f>POST_CP_EXCL_RECYCLING(DECILE_ARRAY,"Overall")/SUM(POST_CP_EXCL_RECYCLING(DECILE_ARRAY,"Overall"))</f>
        <v/>
      </c>
    </row>
    <row r="1370">
      <c r="C1370" s="6" t="inlineStr">
        <is>
          <t>Post-CP Consumption Share, incl. Recycling</t>
        </is>
      </c>
      <c r="G1370" s="6" t="inlineStr">
        <is>
          <t>shr_incl</t>
        </is>
      </c>
      <c r="H1370" s="6" t="inlineStr">
        <is>
          <t>Ratio</t>
        </is>
      </c>
      <c r="P1370" s="12" t="inlineStr"/>
      <c r="Q1370" s="12">
        <f>POST_CP_INCL_RECYCLING(DECILE_ARRAY,"Overall")/SUM(POST_CP_INCL_RECYCLING(DECILE_ARRAY,"Overall"))</f>
        <v/>
      </c>
    </row>
    <row r="1371">
      <c r="C1371" s="6" t="inlineStr">
        <is>
          <t>Cumulative Baseline Consumption Share</t>
        </is>
      </c>
      <c r="G1371" s="6" t="inlineStr">
        <is>
          <t>cum_base</t>
        </is>
      </c>
      <c r="H1371" s="6" t="inlineStr">
        <is>
          <t>Ratio</t>
        </is>
      </c>
      <c r="P1371" s="12">
        <f>0</f>
        <v/>
      </c>
      <c r="Q1371" s="12">
        <f>_xlfn._xlws.SCAN(0,Q1368:Z1368,_xlfn.LAMBDA(_xlpm.a,_xlpm.v,_xlpm.a+_xlpm.v))</f>
        <v/>
      </c>
    </row>
    <row r="1372">
      <c r="C1372" s="6" t="inlineStr">
        <is>
          <t>Cumulative Post-CP Share, excl. Recycling</t>
        </is>
      </c>
      <c r="G1372" s="6" t="inlineStr">
        <is>
          <t>cum_excl</t>
        </is>
      </c>
      <c r="H1372" s="6" t="inlineStr">
        <is>
          <t>Ratio</t>
        </is>
      </c>
      <c r="P1372" s="12">
        <f>0</f>
        <v/>
      </c>
      <c r="Q1372" s="12">
        <f>_xlfn._xlws.SCAN(0,Q1369:Z1369,_xlfn.LAMBDA(_xlpm.a,_xlpm.v,_xlpm.a+_xlpm.v))</f>
        <v/>
      </c>
    </row>
    <row r="1373">
      <c r="C1373" s="6" t="inlineStr">
        <is>
          <t>Cumulative Post-CP Share, incl. Recycling</t>
        </is>
      </c>
      <c r="G1373" s="6" t="inlineStr">
        <is>
          <t>cum_incl</t>
        </is>
      </c>
      <c r="H1373" s="6" t="inlineStr">
        <is>
          <t>Ratio</t>
        </is>
      </c>
      <c r="P1373" s="12">
        <f>0</f>
        <v/>
      </c>
      <c r="Q1373" s="12">
        <f>_xlfn._xlws.SCAN(0,Q1370:Z1370,_xlfn.LAMBDA(_xlpm.a,_xlpm.v,_xlpm.a+_xlpm.v))</f>
        <v/>
      </c>
    </row>
    <row r="1374">
      <c r="C1374" s="6" t="inlineStr">
        <is>
          <t>Cumulative Share, Perfect Equality</t>
        </is>
      </c>
      <c r="G1374" s="6" t="inlineStr">
        <is>
          <t>cum_eq</t>
        </is>
      </c>
      <c r="H1374" s="6" t="inlineStr">
        <is>
          <t>Ratio</t>
        </is>
      </c>
      <c r="P1374" s="12">
        <f>0</f>
        <v/>
      </c>
      <c r="Q1374" s="12">
        <f>DECILE_ARRAY/10</f>
        <v/>
      </c>
    </row>
    <row r="1375"/>
    <row r="1376">
      <c r="C1376" s="7" t="inlineStr">
        <is>
          <t>Gini coefficient (Baseline / Post-CP excl. / incl. recycling / Perfect equality)</t>
        </is>
      </c>
    </row>
    <row r="1377">
      <c r="C1377" s="6" t="inlineStr">
        <is>
          <t>Gini - Baseline</t>
        </is>
      </c>
      <c r="P1377" s="12">
        <f>1-2*SUMPRODUCT(ADJ_POP(DECILE_ARRAY,"Overall")/SUM(ADJ_POP(DECILE_ARRAY,"Overall"))*(_xlfn._xlws.HSTACK(0,Q1371:INDEX(Q1371:Z1371,1,9))+Q1371:Z1371)/2)</f>
        <v/>
      </c>
    </row>
    <row r="1378">
      <c r="C1378" s="6" t="inlineStr">
        <is>
          <t>Gini - Post-CP excl. recycling</t>
        </is>
      </c>
      <c r="P1378" s="12">
        <f>1-2*SUMPRODUCT(ADJ_POP(DECILE_ARRAY,"Overall")/SUM(ADJ_POP(DECILE_ARRAY,"Overall"))*(_xlfn._xlws.HSTACK(0,Q1372:INDEX(Q1372:Z1372,1,9))+Q1372:Z1372)/2)</f>
        <v/>
      </c>
    </row>
    <row r="1379">
      <c r="C1379" s="6" t="inlineStr">
        <is>
          <t>Gini - Post-CP incl. recycling</t>
        </is>
      </c>
      <c r="P1379" s="12">
        <f>1-2*SUMPRODUCT(ADJ_POP(DECILE_ARRAY,"Overall")/SUM(ADJ_POP(DECILE_ARRAY,"Overall"))*(_xlfn._xlws.HSTACK(0,Q1373:INDEX(Q1373:Z1373,1,9))+Q1373:Z1373)/2)</f>
        <v/>
      </c>
    </row>
    <row r="1380">
      <c r="C1380" s="6" t="inlineStr">
        <is>
          <t>Gini - Perfect equality</t>
        </is>
      </c>
      <c r="P1380" s="12">
        <f>1-2*SUMPRODUCT(ADJ_POP(DECILE_ARRAY,"Overall")/SUM(ADJ_POP(DECILE_ARRAY,"Overall"))*(_xlfn._xlws.HSTACK(0,Q1374:INDEX(Q1374:Z1374,1,9))+Q1374:Z1374)/2)</f>
        <v/>
      </c>
    </row>
    <row r="1381">
      <c r="C1381" s="6" t="inlineStr">
        <is>
          <t>Delta Gini (excl. recycling)</t>
        </is>
      </c>
      <c r="P1381" s="12">
        <f>P1378-P1377</f>
        <v/>
      </c>
    </row>
    <row r="1382">
      <c r="C1382" s="6" t="inlineStr">
        <is>
          <t>Delta Gini (incl. recycling)</t>
        </is>
      </c>
      <c r="P1382" s="12">
        <f>P1379-P1377</f>
        <v/>
      </c>
    </row>
    <row r="1383"/>
    <row r="1384">
      <c r="A1384" s="4" t="inlineStr">
        <is>
          <t>C.X.</t>
        </is>
      </c>
      <c r="B1384" s="4" t="inlineStr">
        <is>
          <t>Targeted transfers, public investment and current spending</t>
        </is>
      </c>
      <c r="C1384" s="5" t="n"/>
      <c r="D1384" s="5" t="n"/>
      <c r="E1384" s="5" t="n"/>
      <c r="F1384" s="5" t="n"/>
      <c r="G1384" s="5" t="n"/>
      <c r="H1384" s="5" t="n"/>
      <c r="I1384" s="5" t="n"/>
      <c r="J1384" s="5" t="n"/>
      <c r="K1384" s="5" t="n"/>
      <c r="L1384" s="5" t="n"/>
      <c r="M1384" s="5" t="n"/>
      <c r="N1384" s="5"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6" t="inlineStr">
        <is>
          <t>Labor Tax / PIT Reduction</t>
        </is>
      </c>
      <c r="G1391" s="6" t="inlineStr">
        <is>
          <t>pit</t>
        </is>
      </c>
      <c r="H1391" s="6" t="inlineStr">
        <is>
          <t>Real 2026 LCU</t>
        </is>
      </c>
      <c r="P1391" s="12">
        <f>SUM(PIT_REDUCTION(DECILE_ARRAY))</f>
        <v/>
      </c>
      <c r="Q1391" s="12">
        <f>PIT_REDUCTION(DECILE_ARRAY)</f>
        <v/>
      </c>
    </row>
    <row r="1392">
      <c r="C1392" s="6" t="inlineStr">
        <is>
          <t>Targeted Transfers Received</t>
        </is>
      </c>
      <c r="G1392" s="6" t="inlineStr">
        <is>
          <t>trns</t>
        </is>
      </c>
      <c r="H1392" s="6" t="inlineStr">
        <is>
          <t>Real 2026 LCU</t>
        </is>
      </c>
      <c r="P1392" s="12">
        <f>SUM(TARGETED_TRANSFER(DECILE_ARRAY))</f>
        <v/>
      </c>
      <c r="Q1392" s="12">
        <f>TARGETED_TRANSFER(DECILE_ARRAY)</f>
        <v/>
      </c>
    </row>
    <row r="1393">
      <c r="C1393" s="6" t="inlineStr">
        <is>
          <t>Public Investment Received</t>
        </is>
      </c>
      <c r="G1393" s="6" t="inlineStr">
        <is>
          <t>inv</t>
        </is>
      </c>
      <c r="H1393" s="6" t="inlineStr">
        <is>
          <t>Real 2026 LCU</t>
        </is>
      </c>
      <c r="P1393" s="12">
        <f>SUM(PUBLIC_INVESTMENT(DECILE_ARRAY))</f>
        <v/>
      </c>
      <c r="Q1393" s="12">
        <f>PUBLIC_INVESTMENT(DECILE_ARRAY)</f>
        <v/>
      </c>
    </row>
    <row r="1394">
      <c r="C1394" s="6" t="inlineStr">
        <is>
          <t>Current Spending Received</t>
        </is>
      </c>
      <c r="G1394" s="6" t="inlineStr">
        <is>
          <t>spnd</t>
        </is>
      </c>
      <c r="H1394" s="6" t="inlineStr">
        <is>
          <t>Real 2026 LCU</t>
        </is>
      </c>
      <c r="P1394" s="12">
        <f>SUM(CURRENT_SPENDING(DECILE_ARRAY))</f>
        <v/>
      </c>
      <c r="Q1394" s="12">
        <f>CURRENT_SPENDING(DECILE_ARRAY)</f>
        <v/>
      </c>
    </row>
    <row r="1395">
      <c r="C1395" s="6" t="inlineStr">
        <is>
          <t>Total Amount Recycled</t>
        </is>
      </c>
      <c r="G1395" s="6" t="inlineStr">
        <is>
          <t>tot</t>
        </is>
      </c>
      <c r="H1395" s="6" t="inlineStr">
        <is>
          <t>Real 2026 LCU</t>
        </is>
      </c>
      <c r="P1395" s="12">
        <f>SUM(AMOUNT_RECYCLED(DECILE_ARRAY))</f>
        <v/>
      </c>
      <c r="Q1395" s="12">
        <f>AMOUNT_RECYCLED(DECILE_ARRAY)</f>
        <v/>
      </c>
    </row>
    <row r="1396"/>
    <row r="1397">
      <c r="A1397" s="4" t="inlineStr">
        <is>
          <t>C.XI.</t>
        </is>
      </c>
      <c r="B1397" s="4" t="inlineStr">
        <is>
          <t>Personal income tax (PIT) reductions</t>
        </is>
      </c>
      <c r="C1397" s="5" t="n"/>
      <c r="D1397" s="5" t="n"/>
      <c r="E1397" s="5" t="n"/>
      <c r="F1397" s="5" t="n"/>
      <c r="G1397" s="5" t="n"/>
      <c r="H1397" s="5" t="n"/>
      <c r="I1397" s="5" t="n"/>
      <c r="J1397" s="5" t="n"/>
      <c r="K1397" s="5" t="n"/>
      <c r="L1397" s="5" t="n"/>
      <c r="M1397" s="5" t="n"/>
      <c r="N1397" s="5"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6" t="inlineStr">
        <is>
          <t>PIT Liability (baseline)</t>
        </is>
      </c>
      <c r="G1402" s="6" t="inlineStr">
        <is>
          <t>liab</t>
        </is>
      </c>
      <c r="H1402" s="6" t="inlineStr">
        <is>
          <t>Real 2026 LCU</t>
        </is>
      </c>
      <c r="P1402" s="12">
        <f>SUM(PIT_LIABILITY(DECILE_ARRAY))</f>
        <v/>
      </c>
      <c r="Q1402" s="12">
        <f>PIT_LIABILITY(DECILE_ARRAY)</f>
        <v/>
      </c>
    </row>
    <row r="1403">
      <c r="C1403" s="6" t="inlineStr">
        <is>
          <t>PIT Reduction Received</t>
        </is>
      </c>
      <c r="G1403" s="6" t="inlineStr">
        <is>
          <t>pit</t>
        </is>
      </c>
      <c r="H1403" s="6" t="inlineStr">
        <is>
          <t>Real 2026 LCU</t>
        </is>
      </c>
      <c r="P1403" s="12">
        <f>SUM(PIT_REDUCTION(DECILE_ARRAY))</f>
        <v/>
      </c>
      <c r="Q1403" s="12">
        <f>PIT_REDUCTION(DECILE_ARRAY)</f>
        <v/>
      </c>
    </row>
    <row r="1404"/>
    <row r="1405">
      <c r="A1405" s="4" t="inlineStr">
        <is>
          <t>C.XII.</t>
        </is>
      </c>
      <c r="B1405" s="4" t="inlineStr">
        <is>
          <t>Net effect and post-CP consumption (Step 9)</t>
        </is>
      </c>
      <c r="C1405" s="5" t="n"/>
      <c r="D1405" s="5" t="n"/>
      <c r="E1405" s="5" t="n"/>
      <c r="F1405" s="5" t="n"/>
      <c r="G1405" s="5" t="n"/>
      <c r="H1405" s="5" t="n"/>
      <c r="I1405" s="5" t="n"/>
      <c r="J1405" s="5" t="n"/>
      <c r="K1405" s="5" t="n"/>
      <c r="L1405" s="5" t="n"/>
      <c r="M1405" s="5" t="n"/>
      <c r="N1405" s="5" t="n"/>
    </row>
    <row r="1406"/>
    <row r="1407">
      <c r="C1407" s="7" t="inlineStr">
        <is>
          <t>Net Effect, Post-Recycling (Overall, % Total Consumption)</t>
        </is>
      </c>
      <c r="G1407" s="6" t="inlineStr">
        <is>
          <t>tot</t>
        </is>
      </c>
      <c r="O1407" s="8" t="inlineStr">
        <is>
          <t>Decile --&gt;</t>
        </is>
      </c>
      <c r="Q1407" s="8" t="n">
        <v>1</v>
      </c>
      <c r="R1407" s="8" t="n">
        <v>2</v>
      </c>
      <c r="S1407" s="8" t="n">
        <v>3</v>
      </c>
      <c r="T1407" s="8" t="n">
        <v>4</v>
      </c>
      <c r="U1407" s="8" t="n">
        <v>5</v>
      </c>
      <c r="V1407" s="8" t="n">
        <v>6</v>
      </c>
      <c r="W1407" s="8" t="n">
        <v>7</v>
      </c>
      <c r="X1407" s="8" t="n">
        <v>8</v>
      </c>
      <c r="Y1407" s="8" t="n">
        <v>9</v>
      </c>
      <c r="Z1407" s="8" t="n">
        <v>10</v>
      </c>
    </row>
    <row r="1408">
      <c r="P1408" s="12">
        <f>NET_EFFECT(0,"Overall")</f>
        <v/>
      </c>
      <c r="Q1408" s="12">
        <f>NET_EFFECT(DECILE_ARRAY,"Overall")</f>
        <v/>
      </c>
    </row>
    <row r="1409"/>
    <row r="1410">
      <c r="C1410" s="7" t="inlineStr">
        <is>
          <t>Net Effect, Post-Recycling (Urban, % Total Consumption)</t>
        </is>
      </c>
      <c r="G1410" s="6" t="inlineStr">
        <is>
          <t>tot</t>
        </is>
      </c>
      <c r="O1410" s="8" t="inlineStr">
        <is>
          <t>Decile --&gt;</t>
        </is>
      </c>
      <c r="Q1410" s="8" t="n">
        <v>1</v>
      </c>
      <c r="R1410" s="8" t="n">
        <v>2</v>
      </c>
      <c r="S1410" s="8" t="n">
        <v>3</v>
      </c>
      <c r="T1410" s="8" t="n">
        <v>4</v>
      </c>
      <c r="U1410" s="8" t="n">
        <v>5</v>
      </c>
      <c r="V1410" s="8" t="n">
        <v>6</v>
      </c>
      <c r="W1410" s="8" t="n">
        <v>7</v>
      </c>
      <c r="X1410" s="8" t="n">
        <v>8</v>
      </c>
      <c r="Y1410" s="8" t="n">
        <v>9</v>
      </c>
      <c r="Z1410" s="8" t="n">
        <v>10</v>
      </c>
    </row>
    <row r="1411">
      <c r="P1411" s="12">
        <f>NET_EFFECT(0,"Urban")</f>
        <v/>
      </c>
      <c r="Q1411" s="12">
        <f>NET_EFFECT(DECILE_ARRAY,"Urban")</f>
        <v/>
      </c>
    </row>
    <row r="1412"/>
    <row r="1413">
      <c r="C1413" s="7" t="inlineStr">
        <is>
          <t>Net Effect, Post-Recycling (Rural, % Total Consumption)</t>
        </is>
      </c>
      <c r="G1413" s="6" t="inlineStr">
        <is>
          <t>tot</t>
        </is>
      </c>
      <c r="O1413" s="8" t="inlineStr">
        <is>
          <t>Decile --&gt;</t>
        </is>
      </c>
      <c r="Q1413" s="8" t="n">
        <v>1</v>
      </c>
      <c r="R1413" s="8" t="n">
        <v>2</v>
      </c>
      <c r="S1413" s="8" t="n">
        <v>3</v>
      </c>
      <c r="T1413" s="8" t="n">
        <v>4</v>
      </c>
      <c r="U1413" s="8" t="n">
        <v>5</v>
      </c>
      <c r="V1413" s="8" t="n">
        <v>6</v>
      </c>
      <c r="W1413" s="8" t="n">
        <v>7</v>
      </c>
      <c r="X1413" s="8" t="n">
        <v>8</v>
      </c>
      <c r="Y1413" s="8" t="n">
        <v>9</v>
      </c>
      <c r="Z1413" s="8" t="n">
        <v>10</v>
      </c>
    </row>
    <row r="1414">
      <c r="P1414" s="12">
        <f>NET_EFFECT(0,"Rural")</f>
        <v/>
      </c>
      <c r="Q1414" s="12">
        <f>NET_EFFECT(DECILE_ARRAY,"Rural")</f>
        <v/>
      </c>
    </row>
    <row r="1415"/>
    <row r="1416">
      <c r="C1416" s="6" t="inlineStr">
        <is>
          <t>Post-CP Consumption, excl. Recycling (Overall)</t>
        </is>
      </c>
      <c r="G1416" s="6" t="inlineStr">
        <is>
          <t>cons_excl</t>
        </is>
      </c>
      <c r="H1416" s="6" t="inlineStr">
        <is>
          <t>Real 2026 LCU</t>
        </is>
      </c>
      <c r="P1416" s="12">
        <f>SUM(POST_CP_EXCL_RECYCLING(DECILE_ARRAY,"Overall"))</f>
        <v/>
      </c>
      <c r="Q1416" s="12">
        <f>POST_CP_EXCL_RECYCLING(DECILE_ARRAY,"Overall")</f>
        <v/>
      </c>
    </row>
    <row r="1417">
      <c r="C1417" s="6" t="inlineStr">
        <is>
          <t>Post-CP Consumption, excl. Recycling (Urban)</t>
        </is>
      </c>
      <c r="G1417" s="6" t="inlineStr">
        <is>
          <t>cons_excl</t>
        </is>
      </c>
      <c r="H1417" s="6" t="inlineStr">
        <is>
          <t>Real 2026 LCU</t>
        </is>
      </c>
      <c r="P1417" s="12">
        <f>SUM(POST_CP_EXCL_RECYCLING(DECILE_ARRAY,"Urban"))</f>
        <v/>
      </c>
      <c r="Q1417" s="12">
        <f>POST_CP_EXCL_RECYCLING(DECILE_ARRAY,"Urban")</f>
        <v/>
      </c>
    </row>
    <row r="1418">
      <c r="C1418" s="6" t="inlineStr">
        <is>
          <t>Post-CP Consumption, excl. Recycling (Rural)</t>
        </is>
      </c>
      <c r="G1418" s="6" t="inlineStr">
        <is>
          <t>cons_excl</t>
        </is>
      </c>
      <c r="H1418" s="6" t="inlineStr">
        <is>
          <t>Real 2026 LCU</t>
        </is>
      </c>
      <c r="P1418" s="12">
        <f>SUM(POST_CP_EXCL_RECYCLING(DECILE_ARRAY,"Rural"))</f>
        <v/>
      </c>
      <c r="Q1418" s="12">
        <f>POST_CP_EXCL_RECYCLING(DECILE_ARRAY,"Rural")</f>
        <v/>
      </c>
    </row>
    <row r="1419">
      <c r="C1419" s="6" t="inlineStr">
        <is>
          <t>Post-CP Consumption, incl. Recycling (Overall)</t>
        </is>
      </c>
      <c r="G1419" s="6" t="inlineStr">
        <is>
          <t>cons_incl</t>
        </is>
      </c>
      <c r="H1419" s="6" t="inlineStr">
        <is>
          <t>Real 2026 LCU</t>
        </is>
      </c>
      <c r="P1419" s="12">
        <f>SUM(POST_CP_INCL_RECYCLING(DECILE_ARRAY,"Overall"))</f>
        <v/>
      </c>
      <c r="Q1419" s="12">
        <f>POST_CP_INCL_RECYCLING(DECILE_ARRAY,"Overall")</f>
        <v/>
      </c>
    </row>
    <row r="1420">
      <c r="C1420" s="6" t="inlineStr">
        <is>
          <t>Post-CP Consumption, incl. Recycling (Urban)</t>
        </is>
      </c>
      <c r="G1420" s="6" t="inlineStr">
        <is>
          <t>cons_incl</t>
        </is>
      </c>
      <c r="H1420" s="6" t="inlineStr">
        <is>
          <t>Real 2026 LCU</t>
        </is>
      </c>
      <c r="P1420" s="12">
        <f>SUM(POST_CP_INCL_RECYCLING(DECILE_ARRAY,"Urban"))</f>
        <v/>
      </c>
      <c r="Q1420" s="12">
        <f>POST_CP_INCL_RECYCLING(DECILE_ARRAY,"Urban")</f>
        <v/>
      </c>
    </row>
    <row r="1421">
      <c r="C1421" s="6" t="inlineStr">
        <is>
          <t>Post-CP Consumption, incl. Recycling (Rural)</t>
        </is>
      </c>
      <c r="G1421" s="6" t="inlineStr">
        <is>
          <t>cons_incl</t>
        </is>
      </c>
      <c r="H1421" s="6" t="inlineStr">
        <is>
          <t>Real 2026 LCU</t>
        </is>
      </c>
      <c r="P1421" s="12">
        <f>SUM(POST_CP_INCL_RECYCLING(DECILE_ARRAY,"Rural"))</f>
        <v/>
      </c>
      <c r="Q1421" s="12">
        <f>POST_CP_INCL_RECYCLING(DECILE_ARRAY,"Rural")</f>
        <v/>
      </c>
    </row>
    <row r="1422"/>
    <row r="1423">
      <c r="A1423" s="4" t="inlineStr">
        <is>
          <t>C.XIII.</t>
        </is>
      </c>
      <c r="B1423" s="4" t="inlineStr">
        <is>
          <t>Compensation requirement (share of CP revenue needed per decile)</t>
        </is>
      </c>
      <c r="C1423" s="5" t="n"/>
      <c r="D1423" s="5" t="n"/>
      <c r="E1423" s="5" t="n"/>
      <c r="F1423" s="5" t="n"/>
      <c r="G1423" s="5" t="n"/>
      <c r="H1423" s="5" t="n"/>
      <c r="I1423" s="5" t="n"/>
      <c r="J1423" s="5" t="n"/>
      <c r="K1423" s="5" t="n"/>
      <c r="L1423" s="5" t="n"/>
      <c r="M1423" s="5" t="n"/>
      <c r="N1423" s="5" t="n"/>
    </row>
    <row r="1424"/>
    <row r="1425">
      <c r="C1425" s="6" t="inlineStr">
        <is>
          <t>Loss Amount (Total Effect x Baseline Consumption Share)</t>
        </is>
      </c>
      <c r="G1425" s="6" t="inlineStr">
        <is>
          <t>loss</t>
        </is>
      </c>
      <c r="H1425" s="6" t="inlineStr">
        <is>
          <t>Real 2026 LCU</t>
        </is>
      </c>
      <c r="P1425" s="12">
        <f>SUM(TOTAL_EFFECT(DECILE_ARRAY,"Overall","mean")/100*ADJ_CONS_TOT(DECILE_ARRAY,"Overall"))</f>
        <v/>
      </c>
      <c r="Q1425" s="12">
        <f>TOTAL_EFFECT(DECILE_ARRAY,"Overall","mean")/100*ADJ_CONS_TOT(DECILE_ARRAY,"Overall")</f>
        <v/>
      </c>
    </row>
    <row r="1426">
      <c r="C1426" s="6" t="inlineStr">
        <is>
          <t>Share of CP Revenue Required to Compensate Decile</t>
        </is>
      </c>
      <c r="Q1426" s="12">
        <f>Q1425:Z1425/P1425</f>
        <v/>
      </c>
    </row>
    <row r="1427">
      <c r="C1427" s="6" t="inlineStr">
        <is>
          <t>Cumulative Share of CP Revenue Required (poorest -&gt; richest)</t>
        </is>
      </c>
      <c r="P1427" s="6">
        <f>0</f>
        <v/>
      </c>
      <c r="Q1427" s="12">
        <f>_xlfn._xlws.SCAN(0,Q1426:Z1426,_xlfn.LAMBDA(_xlpm.a,_xlpm.v,_xlpm.a+_xlpm.v))</f>
        <v/>
      </c>
    </row>
    <row r="1428"/>
    <row r="1429">
      <c r="A1429" s="4" t="inlineStr">
        <is>
          <t>D.</t>
        </is>
      </c>
      <c r="B1429" s="4" t="inlineStr">
        <is>
          <t>Outputs for charts</t>
        </is>
      </c>
      <c r="C1429" s="5" t="n"/>
      <c r="D1429" s="5" t="n"/>
      <c r="E1429" s="5" t="n"/>
      <c r="F1429" s="5" t="n"/>
      <c r="G1429" s="5" t="n"/>
      <c r="H1429" s="5" t="n"/>
      <c r="I1429" s="5" t="n"/>
      <c r="J1429" s="5" t="n"/>
      <c r="K1429" s="5" t="n"/>
      <c r="L1429" s="5" t="n"/>
      <c r="M1429" s="5" t="n"/>
      <c r="N1429" s="5"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4" t="inlineStr">
        <is>
          <t>E.</t>
        </is>
      </c>
      <c r="B1437" s="4" t="inlineStr">
        <is>
          <t>Notes</t>
        </is>
      </c>
      <c r="C1437" s="5" t="n"/>
      <c r="D1437" s="5" t="n"/>
      <c r="E1437" s="5" t="n"/>
      <c r="F1437" s="5" t="n"/>
      <c r="G1437" s="5" t="n"/>
      <c r="H1437" s="5" t="n"/>
      <c r="I1437" s="5" t="n"/>
      <c r="J1437" s="5" t="n"/>
      <c r="K1437" s="5" t="n"/>
      <c r="L1437" s="5" t="n"/>
      <c r="M1437" s="5" t="n"/>
      <c r="N1437" s="5" t="n"/>
    </row>
    <row r="1438"/>
    <row r="1439">
      <c r="C1439" s="7" t="inlineStr">
        <is>
          <t>Direct effect</t>
        </is>
      </c>
    </row>
    <row r="1440">
      <c r="C1440" s="11" t="inlineStr">
        <is>
          <t>budget_share x price_change_direct x behavior_adj - DWL, summed over the 8 taxed fuels. See LAMBDA DIRECT_EFFECT / TOTAL_DIRECT_EFFECT.</t>
        </is>
      </c>
    </row>
    <row r="1441"/>
    <row r="1442">
      <c r="C1442" s="7" t="inlineStr">
        <is>
          <t>Indirect effect</t>
        </is>
      </c>
    </row>
    <row r="1443">
      <c r="C1443" s="11" t="inlineStr">
        <is>
          <t>budget_share x price_change_indirect x behavior_adj - DWL, summed over the 14 CPAT consumption categories. See LAMBDA INDIRECT_EFFECT / TOTAL_INDIRECT_EFFECT.</t>
        </is>
      </c>
    </row>
    <row r="1444"/>
    <row r="1445">
      <c r="C1445" s="7" t="inlineStr">
        <is>
          <t>Deadweight loss (Harberger triangle)</t>
        </is>
      </c>
    </row>
    <row r="1446">
      <c r="C1446" s="11" t="inlineStr">
        <is>
          <t>0.5 x elasticity x price_change^2 x budget_share (only applied if Distribution_Inputs 'Adjust for deadweight losses?' = Yes).</t>
        </is>
      </c>
    </row>
    <row r="1447"/>
    <row r="1448">
      <c r="C1448" s="7"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7" t="inlineStr">
        <is>
          <t>Gini coefficient</t>
        </is>
      </c>
    </row>
    <row r="1452">
      <c r="C1452" s="11" t="inlineStr">
        <is>
          <t>1 - 2 x (population-share-weighted trapezoidal area under the Lorenz curve), using each decile's actual survey-weighted population share as the trapezoid width.</t>
        </is>
      </c>
    </row>
    <row r="1453"/>
    <row r="1454">
      <c r="C1454" s="7"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4" t="inlineStr">
        <is>
          <t>F.</t>
        </is>
      </c>
      <c r="B1457" s="4" t="inlineStr">
        <is>
          <t>Results for MT (handoff to Mitigation module)</t>
        </is>
      </c>
      <c r="C1457" s="5" t="n"/>
      <c r="D1457" s="5" t="n"/>
      <c r="E1457" s="5" t="n"/>
      <c r="F1457" s="5" t="n"/>
      <c r="G1457" s="5" t="n"/>
      <c r="H1457" s="5" t="n"/>
      <c r="I1457" s="5" t="n"/>
      <c r="J1457" s="5" t="n"/>
      <c r="K1457" s="5" t="n"/>
      <c r="L1457" s="5" t="n"/>
      <c r="M1457" s="5" t="n"/>
      <c r="N1457" s="5"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7" t="inlineStr">
        <is>
          <t>Direct price changes by fuel (%)</t>
        </is>
      </c>
    </row>
    <row r="1464">
      <c r="C1464" s="6" t="inlineStr">
        <is>
          <t>Coal</t>
        </is>
      </c>
      <c r="G1464" s="6" t="inlineStr">
        <is>
          <t>coa</t>
        </is>
      </c>
      <c r="P1464" s="12">
        <f>PCHANGE_DIRECT("coa")</f>
        <v/>
      </c>
    </row>
    <row r="1465">
      <c r="C1465" s="6" t="inlineStr">
        <is>
          <t>Electricity</t>
        </is>
      </c>
      <c r="G1465" s="6" t="inlineStr">
        <is>
          <t>ely</t>
        </is>
      </c>
      <c r="P1465" s="12">
        <f>PCHANGE_DIRECT("ely")</f>
        <v/>
      </c>
    </row>
    <row r="1466">
      <c r="C1466" s="6" t="inlineStr">
        <is>
          <t>Natural Gas</t>
        </is>
      </c>
      <c r="G1466" s="6" t="inlineStr">
        <is>
          <t>nga</t>
        </is>
      </c>
      <c r="P1466" s="12">
        <f>PCHANGE_DIRECT("nga")</f>
        <v/>
      </c>
    </row>
    <row r="1467">
      <c r="C1467" s="6" t="inlineStr">
        <is>
          <t>Non-Road Oil</t>
        </is>
      </c>
      <c r="G1467" s="6" t="inlineStr">
        <is>
          <t>oil</t>
        </is>
      </c>
      <c r="P1467" s="12">
        <f>PCHANGE_DIRECT("oil")</f>
        <v/>
      </c>
    </row>
    <row r="1468">
      <c r="C1468" s="6" t="inlineStr">
        <is>
          <t>Gasoline</t>
        </is>
      </c>
      <c r="G1468" s="6" t="inlineStr">
        <is>
          <t>gso</t>
        </is>
      </c>
      <c r="P1468" s="12">
        <f>PCHANGE_DIRECT("gso")</f>
        <v/>
      </c>
    </row>
    <row r="1469">
      <c r="C1469" s="6" t="inlineStr">
        <is>
          <t>Diesel</t>
        </is>
      </c>
      <c r="G1469" s="6" t="inlineStr">
        <is>
          <t>die</t>
        </is>
      </c>
      <c r="P1469" s="12">
        <f>PCHANGE_DIRECT("die")</f>
        <v/>
      </c>
    </row>
    <row r="1470">
      <c r="C1470" s="6" t="inlineStr">
        <is>
          <t>Kerosene</t>
        </is>
      </c>
      <c r="G1470" s="6" t="inlineStr">
        <is>
          <t>ker</t>
        </is>
      </c>
      <c r="P1470" s="12">
        <f>PCHANGE_DIRECT("ker")</f>
        <v/>
      </c>
    </row>
    <row r="1471">
      <c r="C1471" s="6" t="inlineStr">
        <is>
          <t>LPG</t>
        </is>
      </c>
      <c r="G1471" s="6" t="inlineStr">
        <is>
          <t>lpg</t>
        </is>
      </c>
      <c r="P1471" s="12">
        <f>PCHANGE_DIRECT("lpg")</f>
        <v/>
      </c>
    </row>
    <row r="1472"/>
    <row r="1473">
      <c r="C1473" s="7" t="inlineStr">
        <is>
          <t>Indirect price changes by CPAT category (%)</t>
        </is>
      </c>
    </row>
    <row r="1474">
      <c r="C1474" s="6" t="inlineStr">
        <is>
          <t>Appliances</t>
        </is>
      </c>
      <c r="G1474" s="6" t="inlineStr">
        <is>
          <t>app</t>
        </is>
      </c>
      <c r="P1474" s="12">
        <f>PCHANGE_INDIRECT("app")</f>
        <v/>
      </c>
    </row>
    <row r="1475">
      <c r="C1475" s="6" t="inlineStr">
        <is>
          <t>Chemicals</t>
        </is>
      </c>
      <c r="G1475" s="6" t="inlineStr">
        <is>
          <t>che</t>
        </is>
      </c>
      <c r="P1475" s="12">
        <f>PCHANGE_INDIRECT("che")</f>
        <v/>
      </c>
    </row>
    <row r="1476">
      <c r="C1476" s="6" t="inlineStr">
        <is>
          <t>Clothing</t>
        </is>
      </c>
      <c r="G1476" s="6" t="inlineStr">
        <is>
          <t>clo</t>
        </is>
      </c>
      <c r="P1476" s="12">
        <f>PCHANGE_INDIRECT("clo")</f>
        <v/>
      </c>
    </row>
    <row r="1477">
      <c r="C1477" s="6" t="inlineStr">
        <is>
          <t>Communications</t>
        </is>
      </c>
      <c r="G1477" s="6" t="inlineStr">
        <is>
          <t>com</t>
        </is>
      </c>
      <c r="P1477" s="12">
        <f>PCHANGE_INDIRECT("com")</f>
        <v/>
      </c>
    </row>
    <row r="1478">
      <c r="C1478" s="6" t="inlineStr">
        <is>
          <t>Education</t>
        </is>
      </c>
      <c r="G1478" s="6" t="inlineStr">
        <is>
          <t>edu</t>
        </is>
      </c>
      <c r="P1478" s="12">
        <f>PCHANGE_INDIRECT("edu")</f>
        <v/>
      </c>
    </row>
    <row r="1479">
      <c r="C1479" s="6" t="inlineStr">
        <is>
          <t>Food</t>
        </is>
      </c>
      <c r="G1479" s="6" t="inlineStr">
        <is>
          <t>food</t>
        </is>
      </c>
      <c r="P1479" s="12">
        <f>PCHANGE_INDIRECT("food")</f>
        <v/>
      </c>
    </row>
    <row r="1480">
      <c r="C1480" s="6" t="inlineStr">
        <is>
          <t>Health Services</t>
        </is>
      </c>
      <c r="G1480" s="6" t="inlineStr">
        <is>
          <t>hea</t>
        </is>
      </c>
      <c r="P1480" s="12">
        <f>PCHANGE_INDIRECT("hea")</f>
        <v/>
      </c>
    </row>
    <row r="1481">
      <c r="C1481" s="6" t="inlineStr">
        <is>
          <t>Housing</t>
        </is>
      </c>
      <c r="G1481" s="6" t="inlineStr">
        <is>
          <t>hou</t>
        </is>
      </c>
      <c r="P1481" s="12">
        <f>PCHANGE_INDIRECT("hou")</f>
        <v/>
      </c>
    </row>
    <row r="1482">
      <c r="C1482" s="6" t="inlineStr">
        <is>
          <t>Other</t>
        </is>
      </c>
      <c r="G1482" s="6" t="inlineStr">
        <is>
          <t>oth</t>
        </is>
      </c>
      <c r="P1482" s="12">
        <f>PCHANGE_INDIRECT("oth")</f>
        <v/>
      </c>
    </row>
    <row r="1483">
      <c r="C1483" s="6" t="inlineStr">
        <is>
          <t>Paper</t>
        </is>
      </c>
      <c r="G1483" s="6" t="inlineStr">
        <is>
          <t>pap</t>
        </is>
      </c>
      <c r="P1483" s="12">
        <f>PCHANGE_INDIRECT("pap")</f>
        <v/>
      </c>
    </row>
    <row r="1484">
      <c r="C1484" s="6" t="inlineStr">
        <is>
          <t>Pharmaceuticals</t>
        </is>
      </c>
      <c r="G1484" s="6" t="inlineStr">
        <is>
          <t>pha</t>
        </is>
      </c>
      <c r="P1484" s="12">
        <f>PCHANGE_INDIRECT("pha")</f>
        <v/>
      </c>
    </row>
    <row r="1485">
      <c r="C1485" s="6" t="inlineStr">
        <is>
          <t>Recreation/Tourism</t>
        </is>
      </c>
      <c r="G1485" s="6" t="inlineStr">
        <is>
          <t>ret</t>
        </is>
      </c>
      <c r="P1485" s="12">
        <f>PCHANGE_INDIRECT("ret")</f>
        <v/>
      </c>
    </row>
    <row r="1486">
      <c r="C1486" s="6" t="inlineStr">
        <is>
          <t>Transportation Equipment</t>
        </is>
      </c>
      <c r="G1486" s="6" t="inlineStr">
        <is>
          <t>teq</t>
        </is>
      </c>
      <c r="P1486" s="12">
        <f>PCHANGE_INDIRECT("teq")</f>
        <v/>
      </c>
    </row>
    <row r="1487">
      <c r="C1487" s="6" t="inlineStr">
        <is>
          <t>Public Transportation</t>
        </is>
      </c>
      <c r="G1487" s="6" t="inlineStr">
        <is>
          <t>tpu</t>
        </is>
      </c>
      <c r="P1487" s="12">
        <f>PCHANGE_INDIRECT("tpu")</f>
        <v/>
      </c>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2"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2"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2"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2"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2"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2" t="inlineStr">
        <is>
          <t>CPAT sectors to ISIC</t>
        </is>
      </c>
    </row>
    <row r="168">
      <c r="A168" s="13" t="inlineStr">
        <is>
          <t>CPAT_main_sectors_5</t>
        </is>
      </c>
      <c r="B168" s="13" t="inlineStr">
        <is>
          <t>CPAT_code</t>
        </is>
      </c>
      <c r="C168" s="13" t="inlineStr">
        <is>
          <t>CPAT_sub_sectors_15_inc_10_ind__subsectors</t>
        </is>
      </c>
      <c r="D168" s="13" t="inlineStr">
        <is>
          <t>CPAT_code_2</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2"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2"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2"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2026-09-21T23:50:24Z</dcterms:created>
  <dcterms:modified xmlns:dcterms="http://purl.org/dc/terms/" xmlns:xsi="http://www.w3.org/2001/XMLSchema-instance" xsi:type="dcterms:W3CDTF">2026-09-21T23:50:24Z</dcterms:modified>
</cp:coreProperties>
</file>