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\supporting\AdHocRebuild\"/>
    </mc:Choice>
  </mc:AlternateContent>
  <xr:revisionPtr revIDLastSave="0" documentId="13_ncr:1_{28DDD80E-DC28-4CAF-BC48-D32553E290C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Inputs" sheetId="2" r:id="rId2"/>
    <sheet name="CPAT_Outputs" sheetId="3" r:id="rId3"/>
    <sheet name="CBAM_Products" sheetId="4" r:id="rId4"/>
    <sheet name="Results" sheetId="5" r:id="rId5"/>
    <sheet name="PolicyMatrix" sheetId="6" r:id="rId6"/>
    <sheet name="Comparison" sheetId="7" r:id="rId7"/>
    <sheet name="Issues resolved" sheetId="8" r:id="rId8"/>
    <sheet name="Checks" sheetId="9" r:id="rId9"/>
  </sheets>
  <definedNames>
    <definedName name="BaseYr">Inputs!$D$37</definedName>
    <definedName name="BetaSet">Inputs!$D$10</definedName>
    <definedName name="Bf">Inputs!$D$33</definedName>
    <definedName name="BfScen">Inputs!$D$12</definedName>
    <definedName name="BT_Code">Inputs!$A$74:$A$79</definedName>
    <definedName name="BT_Flag">Inputs!$D$74:$D$79</definedName>
    <definedName name="BT_Phi">Inputs!$F$74:$F$79</definedName>
    <definedName name="BT_Recyc">Inputs!$H$74:$H$79</definedName>
    <definedName name="BT_Scen">Inputs!$B$74:$B$79</definedName>
    <definedName name="BT_Scope">Inputs!$C$74:$C$79</definedName>
    <definedName name="BT_Tau">Inputs!$G$74:$G$79</definedName>
    <definedName name="BT_Theta">Inputs!$E$74:$E$79</definedName>
    <definedName name="BT_Traj">Inputs!$I$74:$I$79</definedName>
    <definedName name="CBFsel">Inputs!$D$35</definedName>
    <definedName name="CBFyr">Inputs!$D$34</definedName>
    <definedName name="ChecksOverall">Checks!$D$23</definedName>
    <definedName name="Conv">Inputs!$D$7</definedName>
    <definedName name="CPO_Data">CPAT_Outputs!$E$4:$X$131</definedName>
    <definedName name="CPO_Keys">CPAT_Outputs!$C$4:$C$131</definedName>
    <definedName name="CPO_Years">CPAT_Outputs!$E$3:$X$3</definedName>
    <definedName name="CV_cptraj">Inputs!$C$49:$F$49</definedName>
    <definedName name="CV_deaths">Inputs!$C$64:$F$64</definedName>
    <definedName name="CV_denr">Inputs!$C$68:$F$68</definedName>
    <definedName name="CV_dghg">Inputs!$C$66:$F$66</definedName>
    <definedName name="CV_dind">Inputs!$C$69:$F$69</definedName>
    <definedName name="CV_dippu">Inputs!$C$67:$F$67</definedName>
    <definedName name="CV_drev">Inputs!$C$70:$F$70</definedName>
    <definedName name="CV_effcp">Inputs!$C$50:$F$50</definedName>
    <definedName name="CV_enr0">Inputs!$C$45:$F$45</definedName>
    <definedName name="CV_enr1">Inputs!$C$46:$F$46</definedName>
    <definedName name="CV_ghg0">Inputs!$C$41:$F$41</definedName>
    <definedName name="CV_ghg1">Inputs!$C$42:$F$42</definedName>
    <definedName name="CV_Hdr">Inputs!$C$40:$F$40</definedName>
    <definedName name="CV_ind0">Inputs!$C$47:$F$47</definedName>
    <definedName name="CV_ind1">Inputs!$C$48:$F$48</definedName>
    <definedName name="CV_ippu0">Inputs!$C$43:$F$43</definedName>
    <definedName name="CV_ippu1">Inputs!$C$44:$F$44</definedName>
    <definedName name="CV_kappa">Inputs!$C$65:$F$65</definedName>
    <definedName name="CV_mort">Inputs!$C$62:$F$62</definedName>
    <definedName name="CV_revctax">Inputs!$C$63:$F$63</definedName>
    <definedName name="CV_revnew0">Inputs!$C$51:$F$51</definedName>
    <definedName name="CV_revnew1">Inputs!$C$52:$F$52</definedName>
    <definedName name="EFSet">Inputs!$D$11</definedName>
    <definedName name="EpsF">Inputs!$D$20</definedName>
    <definedName name="EpsQ">Inputs!$D$22</definedName>
    <definedName name="EpsQ1">Inputs!$D$23</definedName>
    <definedName name="EpsQ2">Inputs!$D$24</definedName>
    <definedName name="EpsQ3">Inputs!$D$25</definedName>
    <definedName name="EpsQ4">Inputs!$D$26</definedName>
    <definedName name="EpsQ5">Inputs!$D$27</definedName>
    <definedName name="EpsQ6">Inputs!$D$28</definedName>
    <definedName name="EpsQ7">Inputs!$D$29</definedName>
    <definedName name="EpsQ8">Inputs!$D$30</definedName>
    <definedName name="EpsU">Inputs!$D$19</definedName>
    <definedName name="IppuOther">Inputs!$D$14</definedName>
    <definedName name="KappaMode">Inputs!$D$15</definedName>
    <definedName name="Mode">Inputs!$D$6</definedName>
    <definedName name="PEU">Inputs!$D$31</definedName>
    <definedName name="ProtoFail">Comparison!$D$208</definedName>
    <definedName name="ProtoPass">Comparison!$C$208</definedName>
    <definedName name="PStar">Inputs!$D$32</definedName>
    <definedName name="PT_Beta">Inputs!$Q$83:$Q$90</definedName>
    <definedName name="PT_ER">Inputs!$P$83:$P$90</definedName>
    <definedName name="PT_FuelFac">Inputs!$J$83:$J$90</definedName>
    <definedName name="PT_Growth">Inputs!$C$83:$C$90</definedName>
    <definedName name="PT_Name">Inputs!$A$83:$A$90</definedName>
    <definedName name="PT_P">Inputs!$E$83:$E$90</definedName>
    <definedName name="PT_ProcFac">Inputs!$K$83:$K$90</definedName>
    <definedName name="PT_Q0">Inputs!$B$83:$B$90</definedName>
    <definedName name="PT_X">Inputs!$D$83:$D$90</definedName>
    <definedName name="SigmaEff">Inputs!$D$9</definedName>
    <definedName name="SInt">Inputs!$D$21</definedName>
    <definedName name="Ssel">Inputs!$D$36</definedName>
    <definedName name="SumHdr">Results!$C$4:$H$4</definedName>
    <definedName name="SumKeys">Results!$B$5:$B$107</definedName>
    <definedName name="SumTbl">Results!$C$5:$H$107</definedName>
    <definedName name="ThetaOther">Inputs!$D$13</definedName>
    <definedName name="Yr">Inputs!$D$8</definedName>
    <definedName name="YV_CBF">Inputs!$B$95:$U$95</definedName>
    <definedName name="YV_EG1">Inputs!$B$98:$U$98</definedName>
    <definedName name="YV_FLAT">Inputs!$B$96:$U$96</definedName>
    <definedName name="YV_RAMP">Inputs!$B$97:$U$97</definedName>
    <definedName name="YV_Years">Inputs!$B$94:$U$94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7" l="1"/>
  <c r="H77" i="7"/>
  <c r="I76" i="7"/>
  <c r="I75" i="7"/>
  <c r="I74" i="7"/>
  <c r="I73" i="7"/>
  <c r="I72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9" i="6"/>
  <c r="L29" i="6"/>
  <c r="K29" i="6"/>
  <c r="J29" i="6"/>
  <c r="I29" i="6"/>
  <c r="H29" i="6"/>
  <c r="G29" i="6"/>
  <c r="F29" i="6"/>
  <c r="M27" i="6"/>
  <c r="L27" i="6"/>
  <c r="K27" i="6"/>
  <c r="J27" i="6"/>
  <c r="I27" i="6"/>
  <c r="H27" i="6"/>
  <c r="G27" i="6"/>
  <c r="F27" i="6"/>
  <c r="G15" i="6"/>
  <c r="G14" i="6"/>
  <c r="B12" i="6"/>
  <c r="B11" i="6"/>
  <c r="B10" i="6"/>
  <c r="B9" i="6"/>
  <c r="B8" i="6"/>
  <c r="B7" i="6"/>
  <c r="D99" i="5"/>
  <c r="E83" i="5"/>
  <c r="AL9" i="6" s="1"/>
  <c r="H10" i="5"/>
  <c r="G10" i="5"/>
  <c r="F10" i="5"/>
  <c r="E10" i="5"/>
  <c r="D10" i="5"/>
  <c r="D83" i="5" s="1"/>
  <c r="AL8" i="6" s="1"/>
  <c r="C10" i="5"/>
  <c r="C83" i="5" s="1"/>
  <c r="AL7" i="6" s="1"/>
  <c r="H9" i="5"/>
  <c r="H82" i="5" s="1"/>
  <c r="AK12" i="6" s="1"/>
  <c r="G9" i="5"/>
  <c r="F9" i="5"/>
  <c r="F82" i="5" s="1"/>
  <c r="AK10" i="6" s="1"/>
  <c r="E9" i="5"/>
  <c r="E82" i="5" s="1"/>
  <c r="AK9" i="6" s="1"/>
  <c r="D9" i="5"/>
  <c r="C9" i="5"/>
  <c r="C82" i="5" s="1"/>
  <c r="AK7" i="6" s="1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H90" i="4" s="1"/>
  <c r="A90" i="4"/>
  <c r="E89" i="4"/>
  <c r="D89" i="4"/>
  <c r="C89" i="4"/>
  <c r="B89" i="4"/>
  <c r="A89" i="4"/>
  <c r="E88" i="4"/>
  <c r="D88" i="4"/>
  <c r="C88" i="4"/>
  <c r="B88" i="4"/>
  <c r="A88" i="4"/>
  <c r="O86" i="4"/>
  <c r="G86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O70" i="4"/>
  <c r="G70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H58" i="4" s="1"/>
  <c r="A58" i="4"/>
  <c r="E57" i="4"/>
  <c r="D57" i="4"/>
  <c r="C57" i="4"/>
  <c r="B57" i="4"/>
  <c r="A57" i="4"/>
  <c r="E56" i="4"/>
  <c r="D56" i="4"/>
  <c r="C56" i="4"/>
  <c r="B56" i="4"/>
  <c r="A56" i="4"/>
  <c r="O54" i="4"/>
  <c r="G54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O38" i="4"/>
  <c r="G38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H26" i="4" s="1"/>
  <c r="A26" i="4"/>
  <c r="E25" i="4"/>
  <c r="D25" i="4"/>
  <c r="C25" i="4"/>
  <c r="B25" i="4"/>
  <c r="A25" i="4"/>
  <c r="E24" i="4"/>
  <c r="D24" i="4"/>
  <c r="C24" i="4"/>
  <c r="B24" i="4"/>
  <c r="A24" i="4"/>
  <c r="O22" i="4"/>
  <c r="G22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H10" i="4" s="1"/>
  <c r="A10" i="4"/>
  <c r="E9" i="4"/>
  <c r="D9" i="4"/>
  <c r="C9" i="4"/>
  <c r="B9" i="4"/>
  <c r="A9" i="4"/>
  <c r="E8" i="4"/>
  <c r="D8" i="4"/>
  <c r="C8" i="4"/>
  <c r="B8" i="4"/>
  <c r="A8" i="4"/>
  <c r="O6" i="4"/>
  <c r="G6" i="4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U97" i="2"/>
  <c r="T97" i="2"/>
  <c r="S97" i="2"/>
  <c r="R97" i="2"/>
  <c r="Q97" i="2"/>
  <c r="P97" i="2"/>
  <c r="O97" i="2"/>
  <c r="N97" i="2"/>
  <c r="M28" i="6" s="1"/>
  <c r="M97" i="2"/>
  <c r="L28" i="6" s="1"/>
  <c r="L97" i="2"/>
  <c r="K28" i="6" s="1"/>
  <c r="K97" i="2"/>
  <c r="J28" i="6" s="1"/>
  <c r="J97" i="2"/>
  <c r="I28" i="6" s="1"/>
  <c r="I97" i="2"/>
  <c r="H28" i="6" s="1"/>
  <c r="H97" i="2"/>
  <c r="G28" i="6" s="1"/>
  <c r="G97" i="2"/>
  <c r="F28" i="6" s="1"/>
  <c r="F97" i="2"/>
  <c r="E97" i="2"/>
  <c r="D97" i="2"/>
  <c r="C97" i="2"/>
  <c r="B97" i="2"/>
  <c r="E60" i="2"/>
  <c r="C51" i="2"/>
  <c r="F50" i="2"/>
  <c r="D50" i="2"/>
  <c r="C50" i="2"/>
  <c r="F49" i="2"/>
  <c r="E49" i="2"/>
  <c r="D46" i="2"/>
  <c r="C46" i="2"/>
  <c r="D37" i="2"/>
  <c r="D32" i="2"/>
  <c r="D31" i="2"/>
  <c r="J54" i="4" s="1"/>
  <c r="D22" i="2"/>
  <c r="D20" i="2"/>
  <c r="D19" i="2"/>
  <c r="D15" i="2"/>
  <c r="D14" i="2"/>
  <c r="D12" i="2"/>
  <c r="D8" i="2"/>
  <c r="C62" i="2" s="1"/>
  <c r="D7" i="2"/>
  <c r="D36" i="2" s="1"/>
  <c r="D6" i="2"/>
  <c r="R22" i="4" s="1"/>
  <c r="E50" i="2" l="1"/>
  <c r="C54" i="2"/>
  <c r="D34" i="2"/>
  <c r="L54" i="4" s="1"/>
  <c r="E55" i="2"/>
  <c r="C56" i="2"/>
  <c r="E41" i="2"/>
  <c r="E56" i="2"/>
  <c r="F56" i="2"/>
  <c r="C59" i="2"/>
  <c r="E46" i="2"/>
  <c r="H58" i="5" s="1"/>
  <c r="E59" i="2"/>
  <c r="C60" i="2"/>
  <c r="D60" i="2"/>
  <c r="D26" i="2"/>
  <c r="D28" i="2"/>
  <c r="F60" i="2"/>
  <c r="C61" i="2"/>
  <c r="D54" i="2"/>
  <c r="D61" i="2"/>
  <c r="N38" i="4"/>
  <c r="I44" i="4" s="1"/>
  <c r="E54" i="2"/>
  <c r="C44" i="2"/>
  <c r="D56" i="5" s="1"/>
  <c r="D44" i="2"/>
  <c r="C45" i="2"/>
  <c r="C57" i="5" s="1"/>
  <c r="E45" i="2"/>
  <c r="H57" i="5" s="1"/>
  <c r="F54" i="2"/>
  <c r="R38" i="4"/>
  <c r="E52" i="2"/>
  <c r="F42" i="2"/>
  <c r="C53" i="2"/>
  <c r="I41" i="4"/>
  <c r="I40" i="4"/>
  <c r="C57" i="2"/>
  <c r="D57" i="2"/>
  <c r="E47" i="2"/>
  <c r="H59" i="5" s="1"/>
  <c r="F47" i="2"/>
  <c r="C42" i="2"/>
  <c r="C54" i="5" s="1"/>
  <c r="F46" i="2"/>
  <c r="D51" i="2"/>
  <c r="E42" i="2"/>
  <c r="E66" i="2" s="1"/>
  <c r="G61" i="5" s="1"/>
  <c r="C47" i="2"/>
  <c r="E61" i="2"/>
  <c r="E64" i="2" s="1"/>
  <c r="D47" i="2"/>
  <c r="F61" i="2"/>
  <c r="C43" i="2"/>
  <c r="C55" i="5" s="1"/>
  <c r="E57" i="2"/>
  <c r="D43" i="2"/>
  <c r="F57" i="2"/>
  <c r="D21" i="2"/>
  <c r="E43" i="2"/>
  <c r="F55" i="5" s="1"/>
  <c r="E48" i="2"/>
  <c r="E69" i="2" s="1"/>
  <c r="F64" i="5" s="1"/>
  <c r="E53" i="2"/>
  <c r="C58" i="2"/>
  <c r="L6" i="4"/>
  <c r="C52" i="2"/>
  <c r="C70" i="2" s="1"/>
  <c r="E62" i="2"/>
  <c r="G68" i="5" s="1"/>
  <c r="D53" i="2"/>
  <c r="F43" i="2"/>
  <c r="C49" i="2"/>
  <c r="F53" i="2"/>
  <c r="D58" i="2"/>
  <c r="N22" i="4"/>
  <c r="I26" i="4" s="1"/>
  <c r="K6" i="4"/>
  <c r="K22" i="4"/>
  <c r="K38" i="4"/>
  <c r="D35" i="2"/>
  <c r="I70" i="4" s="1"/>
  <c r="D30" i="2"/>
  <c r="D9" i="2"/>
  <c r="E54" i="4" s="1"/>
  <c r="F14" i="5" s="1"/>
  <c r="D11" i="2"/>
  <c r="K84" i="2" s="1"/>
  <c r="R6" i="4"/>
  <c r="D13" i="2"/>
  <c r="D95" i="5" s="1"/>
  <c r="J86" i="4"/>
  <c r="J70" i="4"/>
  <c r="J22" i="4"/>
  <c r="J38" i="4"/>
  <c r="I42" i="4"/>
  <c r="AH42" i="4"/>
  <c r="I43" i="4"/>
  <c r="AH74" i="4"/>
  <c r="G79" i="2"/>
  <c r="B86" i="4" s="1"/>
  <c r="G78" i="2"/>
  <c r="B70" i="4" s="1"/>
  <c r="L86" i="4"/>
  <c r="L70" i="4"/>
  <c r="L38" i="4"/>
  <c r="G77" i="2"/>
  <c r="B54" i="4" s="1"/>
  <c r="L22" i="4"/>
  <c r="F95" i="5"/>
  <c r="E95" i="5"/>
  <c r="D80" i="5"/>
  <c r="AH8" i="6" s="1"/>
  <c r="C80" i="5"/>
  <c r="AH7" i="6" s="1"/>
  <c r="H80" i="5"/>
  <c r="AH12" i="6" s="1"/>
  <c r="G80" i="5"/>
  <c r="AH11" i="6" s="1"/>
  <c r="F80" i="5"/>
  <c r="AH10" i="6" s="1"/>
  <c r="E80" i="5"/>
  <c r="AH9" i="6" s="1"/>
  <c r="J6" i="4"/>
  <c r="G54" i="5"/>
  <c r="F54" i="5"/>
  <c r="G57" i="5"/>
  <c r="H53" i="5"/>
  <c r="X12" i="6" s="1"/>
  <c r="F53" i="5"/>
  <c r="X10" i="6" s="1"/>
  <c r="G53" i="5"/>
  <c r="X11" i="6" s="1"/>
  <c r="I46" i="4"/>
  <c r="K86" i="4"/>
  <c r="K54" i="4"/>
  <c r="K70" i="4"/>
  <c r="N6" i="4"/>
  <c r="I13" i="4" s="1"/>
  <c r="D4" i="9"/>
  <c r="C4" i="9"/>
  <c r="R54" i="4"/>
  <c r="R70" i="4"/>
  <c r="R86" i="4"/>
  <c r="F83" i="5"/>
  <c r="AL10" i="6" s="1"/>
  <c r="F99" i="5"/>
  <c r="D23" i="2"/>
  <c r="F206" i="7"/>
  <c r="F199" i="7"/>
  <c r="F192" i="7"/>
  <c r="F185" i="7"/>
  <c r="F178" i="7"/>
  <c r="F171" i="7"/>
  <c r="F164" i="7"/>
  <c r="F157" i="7"/>
  <c r="F150" i="7"/>
  <c r="F143" i="7"/>
  <c r="F136" i="7"/>
  <c r="F129" i="7"/>
  <c r="F122" i="7"/>
  <c r="F115" i="7"/>
  <c r="F108" i="7"/>
  <c r="F101" i="7"/>
  <c r="F94" i="7"/>
  <c r="F87" i="7"/>
  <c r="F205" i="7"/>
  <c r="F198" i="7"/>
  <c r="F191" i="7"/>
  <c r="F184" i="7"/>
  <c r="F177" i="7"/>
  <c r="F170" i="7"/>
  <c r="F163" i="7"/>
  <c r="F156" i="7"/>
  <c r="F149" i="7"/>
  <c r="F142" i="7"/>
  <c r="F135" i="7"/>
  <c r="F128" i="7"/>
  <c r="F121" i="7"/>
  <c r="F114" i="7"/>
  <c r="F107" i="7"/>
  <c r="F100" i="7"/>
  <c r="F93" i="7"/>
  <c r="F86" i="7"/>
  <c r="D5" i="9"/>
  <c r="F201" i="7"/>
  <c r="F194" i="7"/>
  <c r="F187" i="7"/>
  <c r="F180" i="7"/>
  <c r="F173" i="7"/>
  <c r="F166" i="7"/>
  <c r="F159" i="7"/>
  <c r="F152" i="7"/>
  <c r="F145" i="7"/>
  <c r="F138" i="7"/>
  <c r="F131" i="7"/>
  <c r="F124" i="7"/>
  <c r="F117" i="7"/>
  <c r="F110" i="7"/>
  <c r="F103" i="7"/>
  <c r="F96" i="7"/>
  <c r="F89" i="7"/>
  <c r="F82" i="7"/>
  <c r="C5" i="9"/>
  <c r="F204" i="7"/>
  <c r="F197" i="7"/>
  <c r="F190" i="7"/>
  <c r="F183" i="7"/>
  <c r="F176" i="7"/>
  <c r="F169" i="7"/>
  <c r="F162" i="7"/>
  <c r="F155" i="7"/>
  <c r="F148" i="7"/>
  <c r="F141" i="7"/>
  <c r="F134" i="7"/>
  <c r="F127" i="7"/>
  <c r="F120" i="7"/>
  <c r="F113" i="7"/>
  <c r="F106" i="7"/>
  <c r="F99" i="7"/>
  <c r="F92" i="7"/>
  <c r="F85" i="7"/>
  <c r="F200" i="7"/>
  <c r="F193" i="7"/>
  <c r="F186" i="7"/>
  <c r="F179" i="7"/>
  <c r="F172" i="7"/>
  <c r="F165" i="7"/>
  <c r="F158" i="7"/>
  <c r="F151" i="7"/>
  <c r="F144" i="7"/>
  <c r="F137" i="7"/>
  <c r="F130" i="7"/>
  <c r="F123" i="7"/>
  <c r="F116" i="7"/>
  <c r="F109" i="7"/>
  <c r="F102" i="7"/>
  <c r="F95" i="7"/>
  <c r="F88" i="7"/>
  <c r="F81" i="7"/>
  <c r="F188" i="7"/>
  <c r="F139" i="7"/>
  <c r="F90" i="7"/>
  <c r="F203" i="7"/>
  <c r="F154" i="7"/>
  <c r="F105" i="7"/>
  <c r="F195" i="7"/>
  <c r="F146" i="7"/>
  <c r="F97" i="7"/>
  <c r="F161" i="7"/>
  <c r="F112" i="7"/>
  <c r="F202" i="7"/>
  <c r="F168" i="7"/>
  <c r="F119" i="7"/>
  <c r="F160" i="7"/>
  <c r="F111" i="7"/>
  <c r="F182" i="7"/>
  <c r="F133" i="7"/>
  <c r="F84" i="7"/>
  <c r="F189" i="7"/>
  <c r="F140" i="7"/>
  <c r="F91" i="7"/>
  <c r="F181" i="7"/>
  <c r="F132" i="7"/>
  <c r="F83" i="7"/>
  <c r="F175" i="7"/>
  <c r="F174" i="7"/>
  <c r="F126" i="7"/>
  <c r="F104" i="7"/>
  <c r="F196" i="7"/>
  <c r="F167" i="7"/>
  <c r="F98" i="7"/>
  <c r="F118" i="7"/>
  <c r="F147" i="7"/>
  <c r="F125" i="7"/>
  <c r="F153" i="7"/>
  <c r="D24" i="2"/>
  <c r="C41" i="2"/>
  <c r="C53" i="5" s="1"/>
  <c r="X7" i="6" s="1"/>
  <c r="E44" i="2"/>
  <c r="C48" i="2"/>
  <c r="C60" i="5" s="1"/>
  <c r="E51" i="2"/>
  <c r="C55" i="2"/>
  <c r="C63" i="2" s="1"/>
  <c r="D66" i="5" s="1"/>
  <c r="E58" i="2"/>
  <c r="C21" i="9"/>
  <c r="D21" i="9" s="1"/>
  <c r="D6" i="9"/>
  <c r="C6" i="9"/>
  <c r="N86" i="4"/>
  <c r="I91" i="4" s="1"/>
  <c r="N54" i="4"/>
  <c r="I60" i="4" s="1"/>
  <c r="N70" i="4"/>
  <c r="I73" i="4" s="1"/>
  <c r="D25" i="2"/>
  <c r="D41" i="2"/>
  <c r="E53" i="5" s="1"/>
  <c r="X9" i="6" s="1"/>
  <c r="F44" i="2"/>
  <c r="F67" i="2" s="1"/>
  <c r="D48" i="2"/>
  <c r="F51" i="2"/>
  <c r="D55" i="2"/>
  <c r="F58" i="2"/>
  <c r="D62" i="2"/>
  <c r="E68" i="5" s="1"/>
  <c r="D10" i="2"/>
  <c r="D27" i="2"/>
  <c r="F41" i="2"/>
  <c r="D45" i="2"/>
  <c r="E57" i="5" s="1"/>
  <c r="E78" i="5" s="1"/>
  <c r="E86" i="5" s="1"/>
  <c r="F48" i="2"/>
  <c r="D52" i="2"/>
  <c r="F55" i="2"/>
  <c r="D59" i="2"/>
  <c r="D64" i="2" s="1"/>
  <c r="E67" i="5" s="1"/>
  <c r="E100" i="5" s="1"/>
  <c r="F62" i="2"/>
  <c r="D29" i="2"/>
  <c r="D42" i="2"/>
  <c r="F45" i="2"/>
  <c r="D49" i="2"/>
  <c r="G76" i="2" s="1"/>
  <c r="B38" i="4" s="1"/>
  <c r="F52" i="2"/>
  <c r="D56" i="2"/>
  <c r="F59" i="2"/>
  <c r="F64" i="2" s="1"/>
  <c r="C78" i="5"/>
  <c r="C86" i="5" s="1"/>
  <c r="I61" i="4"/>
  <c r="H95" i="5"/>
  <c r="E99" i="5"/>
  <c r="C69" i="5"/>
  <c r="C59" i="5"/>
  <c r="C68" i="5"/>
  <c r="C58" i="5"/>
  <c r="G99" i="5"/>
  <c r="G83" i="5"/>
  <c r="AL11" i="6" s="1"/>
  <c r="D57" i="5"/>
  <c r="D78" i="5" s="1"/>
  <c r="D86" i="5" s="1"/>
  <c r="D68" i="5"/>
  <c r="D58" i="5"/>
  <c r="D59" i="5"/>
  <c r="D69" i="5"/>
  <c r="D55" i="5"/>
  <c r="C99" i="5"/>
  <c r="E59" i="5"/>
  <c r="E56" i="5"/>
  <c r="F59" i="5"/>
  <c r="E58" i="5"/>
  <c r="F61" i="5"/>
  <c r="F58" i="5"/>
  <c r="H61" i="5"/>
  <c r="H68" i="5"/>
  <c r="D82" i="5"/>
  <c r="AK8" i="6" s="1"/>
  <c r="G58" i="5"/>
  <c r="E70" i="2" l="1"/>
  <c r="H69" i="5" s="1"/>
  <c r="F68" i="5"/>
  <c r="D70" i="2"/>
  <c r="E69" i="5" s="1"/>
  <c r="C65" i="2"/>
  <c r="D65" i="5" s="1"/>
  <c r="D71" i="5" s="1"/>
  <c r="D72" i="5" s="1"/>
  <c r="D79" i="5" s="1"/>
  <c r="C64" i="2"/>
  <c r="I62" i="4"/>
  <c r="I57" i="4"/>
  <c r="E86" i="4"/>
  <c r="H14" i="5" s="1"/>
  <c r="E70" i="4"/>
  <c r="G14" i="5" s="1"/>
  <c r="J83" i="2"/>
  <c r="F72" i="4" s="1"/>
  <c r="J85" i="2"/>
  <c r="F74" i="4" s="1"/>
  <c r="J86" i="2"/>
  <c r="F43" i="4" s="1"/>
  <c r="J43" i="4" s="1"/>
  <c r="K83" i="2"/>
  <c r="G40" i="4" s="1"/>
  <c r="E22" i="4"/>
  <c r="D14" i="5" s="1"/>
  <c r="K86" i="2"/>
  <c r="G59" i="4" s="1"/>
  <c r="X59" i="4" s="1"/>
  <c r="C65" i="5"/>
  <c r="C71" i="5" s="1"/>
  <c r="C72" i="5" s="1"/>
  <c r="D67" i="5"/>
  <c r="D100" i="5" s="1"/>
  <c r="D101" i="5" s="1"/>
  <c r="C67" i="5"/>
  <c r="C100" i="5" s="1"/>
  <c r="E68" i="2"/>
  <c r="F63" i="5" s="1"/>
  <c r="D67" i="2"/>
  <c r="E62" i="5" s="1"/>
  <c r="I79" i="4"/>
  <c r="I78" i="4"/>
  <c r="C67" i="2"/>
  <c r="C62" i="5" s="1"/>
  <c r="C75" i="5" s="1"/>
  <c r="AG7" i="6" s="1"/>
  <c r="I56" i="4"/>
  <c r="F68" i="2"/>
  <c r="C68" i="2"/>
  <c r="C56" i="5"/>
  <c r="E63" i="2"/>
  <c r="D63" i="2"/>
  <c r="E66" i="5" s="1"/>
  <c r="F57" i="5"/>
  <c r="I45" i="4"/>
  <c r="I47" i="4"/>
  <c r="I88" i="4"/>
  <c r="I75" i="4"/>
  <c r="G55" i="5"/>
  <c r="I6" i="4"/>
  <c r="I22" i="4"/>
  <c r="I38" i="4"/>
  <c r="I54" i="4"/>
  <c r="I86" i="4"/>
  <c r="F67" i="5"/>
  <c r="G67" i="5"/>
  <c r="H67" i="5"/>
  <c r="H64" i="5"/>
  <c r="F63" i="2"/>
  <c r="G59" i="5"/>
  <c r="E65" i="2"/>
  <c r="H55" i="5"/>
  <c r="D54" i="5"/>
  <c r="I31" i="4"/>
  <c r="G75" i="2"/>
  <c r="B22" i="4" s="1"/>
  <c r="G74" i="2"/>
  <c r="B6" i="4" s="1"/>
  <c r="I30" i="4"/>
  <c r="F69" i="2"/>
  <c r="I29" i="4"/>
  <c r="J90" i="2"/>
  <c r="F95" i="4" s="1"/>
  <c r="I27" i="4"/>
  <c r="G64" i="5"/>
  <c r="F66" i="2"/>
  <c r="E38" i="4"/>
  <c r="E14" i="5" s="1"/>
  <c r="H60" i="5"/>
  <c r="E55" i="5"/>
  <c r="I28" i="4"/>
  <c r="F60" i="5"/>
  <c r="E6" i="4"/>
  <c r="C14" i="5" s="1"/>
  <c r="I25" i="4"/>
  <c r="H54" i="5"/>
  <c r="G60" i="5"/>
  <c r="D68" i="2"/>
  <c r="E63" i="5" s="1"/>
  <c r="I24" i="4"/>
  <c r="K90" i="2"/>
  <c r="G95" i="4" s="1"/>
  <c r="X95" i="4" s="1"/>
  <c r="K87" i="2"/>
  <c r="G76" i="4" s="1"/>
  <c r="J84" i="2"/>
  <c r="F9" i="4" s="1"/>
  <c r="C95" i="5"/>
  <c r="K89" i="2"/>
  <c r="K88" i="2"/>
  <c r="J87" i="2"/>
  <c r="J88" i="2"/>
  <c r="K85" i="2"/>
  <c r="J89" i="2"/>
  <c r="F94" i="4" s="1"/>
  <c r="J94" i="4" s="1"/>
  <c r="H66" i="5"/>
  <c r="G66" i="5"/>
  <c r="F66" i="5"/>
  <c r="Y10" i="6"/>
  <c r="Y11" i="6"/>
  <c r="H11" i="5"/>
  <c r="C86" i="4"/>
  <c r="D86" i="4"/>
  <c r="H13" i="5" s="1"/>
  <c r="I92" i="4"/>
  <c r="F59" i="4"/>
  <c r="J59" i="4" s="1"/>
  <c r="F91" i="4"/>
  <c r="J91" i="4" s="1"/>
  <c r="F27" i="4"/>
  <c r="C66" i="5"/>
  <c r="C79" i="5" s="1"/>
  <c r="E11" i="5"/>
  <c r="C38" i="4"/>
  <c r="D38" i="4"/>
  <c r="E13" i="5" s="1"/>
  <c r="H63" i="5"/>
  <c r="G63" i="5"/>
  <c r="G75" i="4"/>
  <c r="X75" i="4" s="1"/>
  <c r="G91" i="4"/>
  <c r="X91" i="4" s="1"/>
  <c r="I12" i="4"/>
  <c r="E60" i="5"/>
  <c r="D69" i="2"/>
  <c r="E64" i="5" s="1"/>
  <c r="Y12" i="6"/>
  <c r="F70" i="2"/>
  <c r="D65" i="2"/>
  <c r="E65" i="5" s="1"/>
  <c r="E71" i="5" s="1"/>
  <c r="E72" i="5" s="1"/>
  <c r="E75" i="5" s="1"/>
  <c r="AG9" i="6" s="1"/>
  <c r="F88" i="4"/>
  <c r="AU88" i="4" s="1"/>
  <c r="F40" i="4"/>
  <c r="F24" i="4"/>
  <c r="Q70" i="4"/>
  <c r="Q38" i="4"/>
  <c r="Q86" i="4"/>
  <c r="P87" i="2"/>
  <c r="Q87" i="2" s="1"/>
  <c r="Q6" i="4"/>
  <c r="P86" i="2"/>
  <c r="Q86" i="2" s="1"/>
  <c r="P89" i="2"/>
  <c r="Q89" i="2" s="1"/>
  <c r="P85" i="2"/>
  <c r="Q85" i="2" s="1"/>
  <c r="Q22" i="4"/>
  <c r="P84" i="2"/>
  <c r="Q84" i="2" s="1"/>
  <c r="P83" i="2"/>
  <c r="Q83" i="2" s="1"/>
  <c r="P90" i="2"/>
  <c r="Q90" i="2" s="1"/>
  <c r="Q54" i="4"/>
  <c r="P88" i="2"/>
  <c r="Q88" i="2" s="1"/>
  <c r="I10" i="4"/>
  <c r="I8" i="4"/>
  <c r="H56" i="5"/>
  <c r="F56" i="5"/>
  <c r="G56" i="5"/>
  <c r="E67" i="2"/>
  <c r="E54" i="5"/>
  <c r="D66" i="2"/>
  <c r="E61" i="5" s="1"/>
  <c r="I77" i="4"/>
  <c r="I94" i="4"/>
  <c r="F65" i="2"/>
  <c r="I74" i="4"/>
  <c r="Y7" i="6"/>
  <c r="F58" i="4"/>
  <c r="J58" i="4" s="1"/>
  <c r="I11" i="4"/>
  <c r="G11" i="5"/>
  <c r="C70" i="4"/>
  <c r="D70" i="4"/>
  <c r="G13" i="5" s="1"/>
  <c r="Q9" i="6"/>
  <c r="E50" i="7"/>
  <c r="H50" i="7" s="1"/>
  <c r="E101" i="5"/>
  <c r="Q7" i="6"/>
  <c r="E48" i="7"/>
  <c r="H48" i="7" s="1"/>
  <c r="C101" i="5"/>
  <c r="I63" i="4"/>
  <c r="I59" i="4"/>
  <c r="I58" i="4"/>
  <c r="C4" i="6"/>
  <c r="I72" i="4"/>
  <c r="I9" i="4"/>
  <c r="I15" i="4"/>
  <c r="I14" i="4"/>
  <c r="I95" i="4"/>
  <c r="I90" i="4"/>
  <c r="I89" i="4"/>
  <c r="G92" i="4"/>
  <c r="G60" i="4"/>
  <c r="X60" i="4" s="1"/>
  <c r="G12" i="4"/>
  <c r="G69" i="5"/>
  <c r="F69" i="5"/>
  <c r="Y9" i="6"/>
  <c r="F11" i="5"/>
  <c r="C54" i="4"/>
  <c r="D54" i="4"/>
  <c r="F13" i="5" s="1"/>
  <c r="G89" i="4"/>
  <c r="X89" i="4" s="1"/>
  <c r="G73" i="4"/>
  <c r="X73" i="4" s="1"/>
  <c r="G9" i="4"/>
  <c r="X9" i="4" s="1"/>
  <c r="G41" i="4"/>
  <c r="G25" i="4"/>
  <c r="X25" i="4" s="1"/>
  <c r="G57" i="4"/>
  <c r="X57" i="4" s="1"/>
  <c r="C66" i="2"/>
  <c r="Y8" i="6"/>
  <c r="I93" i="4"/>
  <c r="I76" i="4"/>
  <c r="I48" i="4"/>
  <c r="E20" i="5" s="1"/>
  <c r="D60" i="5"/>
  <c r="C69" i="2"/>
  <c r="D53" i="5"/>
  <c r="X8" i="6" s="1"/>
  <c r="A3" i="5"/>
  <c r="D33" i="2"/>
  <c r="F56" i="4" l="1"/>
  <c r="J56" i="4" s="1"/>
  <c r="F10" i="4"/>
  <c r="I64" i="4"/>
  <c r="F20" i="5" s="1"/>
  <c r="F42" i="4"/>
  <c r="AU42" i="4" s="1"/>
  <c r="G72" i="4"/>
  <c r="X72" i="4" s="1"/>
  <c r="G56" i="4"/>
  <c r="X56" i="4" s="1"/>
  <c r="G24" i="4"/>
  <c r="AK24" i="4" s="1"/>
  <c r="G88" i="4"/>
  <c r="X88" i="4" s="1"/>
  <c r="F90" i="4"/>
  <c r="J90" i="4" s="1"/>
  <c r="F26" i="4"/>
  <c r="AU26" i="4" s="1"/>
  <c r="F57" i="4"/>
  <c r="AU57" i="4" s="1"/>
  <c r="E49" i="7"/>
  <c r="H49" i="7" s="1"/>
  <c r="F73" i="4"/>
  <c r="L73" i="4" s="1"/>
  <c r="Q8" i="6"/>
  <c r="G43" i="4"/>
  <c r="X43" i="4" s="1"/>
  <c r="F8" i="4"/>
  <c r="G27" i="4"/>
  <c r="AV27" i="4" s="1"/>
  <c r="F75" i="4"/>
  <c r="F89" i="4"/>
  <c r="F79" i="4"/>
  <c r="AU79" i="4" s="1"/>
  <c r="G11" i="4"/>
  <c r="X11" i="4" s="1"/>
  <c r="F11" i="4"/>
  <c r="G8" i="4"/>
  <c r="AI8" i="4" s="1"/>
  <c r="F47" i="4"/>
  <c r="J47" i="4" s="1"/>
  <c r="C7" i="9"/>
  <c r="D7" i="9" s="1"/>
  <c r="C63" i="5"/>
  <c r="D63" i="5"/>
  <c r="D62" i="5"/>
  <c r="D75" i="5" s="1"/>
  <c r="AG8" i="6" s="1"/>
  <c r="AJ9" i="4"/>
  <c r="AU43" i="4"/>
  <c r="E73" i="5"/>
  <c r="E77" i="5" s="1"/>
  <c r="I32" i="4"/>
  <c r="D20" i="5" s="1"/>
  <c r="AJ40" i="4"/>
  <c r="AV88" i="4"/>
  <c r="F41" i="4"/>
  <c r="J41" i="4" s="1"/>
  <c r="AT88" i="4"/>
  <c r="AV91" i="4"/>
  <c r="F25" i="4"/>
  <c r="AU25" i="4" s="1"/>
  <c r="G28" i="4"/>
  <c r="AV28" i="4" s="1"/>
  <c r="F31" i="4"/>
  <c r="J31" i="4" s="1"/>
  <c r="E76" i="5"/>
  <c r="D22" i="4"/>
  <c r="D13" i="5" s="1"/>
  <c r="C22" i="4"/>
  <c r="D11" i="5"/>
  <c r="G44" i="4"/>
  <c r="AV44" i="4" s="1"/>
  <c r="E74" i="5"/>
  <c r="E79" i="5"/>
  <c r="H65" i="5"/>
  <c r="H71" i="5" s="1"/>
  <c r="F65" i="5"/>
  <c r="F71" i="5" s="1"/>
  <c r="G65" i="5"/>
  <c r="G71" i="5" s="1"/>
  <c r="I96" i="4"/>
  <c r="H20" i="5" s="1"/>
  <c r="F15" i="4"/>
  <c r="F30" i="4"/>
  <c r="AU30" i="4" s="1"/>
  <c r="C11" i="5"/>
  <c r="D6" i="4"/>
  <c r="C13" i="5" s="1"/>
  <c r="C6" i="4"/>
  <c r="F46" i="4"/>
  <c r="F63" i="4"/>
  <c r="J63" i="4" s="1"/>
  <c r="F14" i="4"/>
  <c r="J14" i="4" s="1"/>
  <c r="F62" i="4"/>
  <c r="J62" i="4" s="1"/>
  <c r="F78" i="4"/>
  <c r="G90" i="4"/>
  <c r="G26" i="4"/>
  <c r="G74" i="4"/>
  <c r="AV74" i="4" s="1"/>
  <c r="G42" i="4"/>
  <c r="AT42" i="4" s="1"/>
  <c r="G10" i="4"/>
  <c r="AL10" i="4" s="1"/>
  <c r="G58" i="4"/>
  <c r="X58" i="4" s="1"/>
  <c r="AL9" i="4"/>
  <c r="F13" i="4"/>
  <c r="F93" i="4"/>
  <c r="AU93" i="4" s="1"/>
  <c r="F77" i="4"/>
  <c r="AU77" i="4" s="1"/>
  <c r="F61" i="4"/>
  <c r="F29" i="4"/>
  <c r="F45" i="4"/>
  <c r="F44" i="4"/>
  <c r="F12" i="4"/>
  <c r="AI12" i="4" s="1"/>
  <c r="F92" i="4"/>
  <c r="AU92" i="4" s="1"/>
  <c r="F76" i="4"/>
  <c r="AJ76" i="4" s="1"/>
  <c r="F28" i="4"/>
  <c r="AI28" i="4" s="1"/>
  <c r="F60" i="4"/>
  <c r="L60" i="4" s="1"/>
  <c r="G62" i="4"/>
  <c r="K62" i="4" s="1"/>
  <c r="G46" i="4"/>
  <c r="G14" i="4"/>
  <c r="G30" i="4"/>
  <c r="G94" i="4"/>
  <c r="AV94" i="4" s="1"/>
  <c r="G78" i="4"/>
  <c r="AT43" i="4"/>
  <c r="AJ59" i="4"/>
  <c r="G47" i="4"/>
  <c r="AI59" i="4"/>
  <c r="G63" i="4"/>
  <c r="X63" i="4" s="1"/>
  <c r="G15" i="4"/>
  <c r="AV15" i="4" s="1"/>
  <c r="AV25" i="4"/>
  <c r="AJ43" i="4"/>
  <c r="G13" i="4"/>
  <c r="G77" i="4"/>
  <c r="X77" i="4" s="1"/>
  <c r="G45" i="4"/>
  <c r="K45" i="4" s="1"/>
  <c r="G61" i="4"/>
  <c r="K61" i="4" s="1"/>
  <c r="G93" i="4"/>
  <c r="X93" i="4" s="1"/>
  <c r="G29" i="4"/>
  <c r="AV43" i="4"/>
  <c r="AK43" i="4"/>
  <c r="G31" i="4"/>
  <c r="X31" i="4" s="1"/>
  <c r="J72" i="4"/>
  <c r="AI43" i="4"/>
  <c r="AJ27" i="4"/>
  <c r="G79" i="4"/>
  <c r="L79" i="4" s="1"/>
  <c r="AK40" i="4"/>
  <c r="AT75" i="4"/>
  <c r="AI88" i="4"/>
  <c r="J75" i="4"/>
  <c r="H88" i="4"/>
  <c r="H24" i="4"/>
  <c r="H72" i="4"/>
  <c r="H56" i="4"/>
  <c r="H40" i="4"/>
  <c r="H8" i="4"/>
  <c r="H59" i="4"/>
  <c r="H91" i="4"/>
  <c r="H27" i="4"/>
  <c r="H11" i="4"/>
  <c r="H75" i="4"/>
  <c r="H43" i="4"/>
  <c r="H89" i="4"/>
  <c r="H73" i="4"/>
  <c r="H57" i="4"/>
  <c r="H41" i="4"/>
  <c r="H25" i="4"/>
  <c r="H9" i="4"/>
  <c r="H94" i="4"/>
  <c r="H78" i="4"/>
  <c r="H62" i="4"/>
  <c r="H30" i="4"/>
  <c r="H46" i="4"/>
  <c r="H14" i="4"/>
  <c r="L89" i="4"/>
  <c r="AJ89" i="4"/>
  <c r="H93" i="4"/>
  <c r="H61" i="4"/>
  <c r="H45" i="4"/>
  <c r="H13" i="4"/>
  <c r="H77" i="4"/>
  <c r="H29" i="4"/>
  <c r="AV12" i="4"/>
  <c r="AV56" i="4"/>
  <c r="AV89" i="4"/>
  <c r="AU89" i="4"/>
  <c r="AT89" i="4"/>
  <c r="X40" i="4"/>
  <c r="AV40" i="4"/>
  <c r="AL95" i="4"/>
  <c r="AU94" i="4"/>
  <c r="H62" i="5"/>
  <c r="G62" i="5"/>
  <c r="F62" i="5"/>
  <c r="AJ57" i="4"/>
  <c r="H9" i="6"/>
  <c r="W9" i="6"/>
  <c r="K24" i="4"/>
  <c r="H79" i="4"/>
  <c r="H63" i="4"/>
  <c r="H95" i="4"/>
  <c r="H15" i="4"/>
  <c r="H31" i="4"/>
  <c r="H47" i="4"/>
  <c r="AK91" i="4"/>
  <c r="X12" i="4"/>
  <c r="AI57" i="4"/>
  <c r="E55" i="7"/>
  <c r="H55" i="7" s="1"/>
  <c r="R8" i="6"/>
  <c r="K12" i="4"/>
  <c r="AL89" i="4"/>
  <c r="AL24" i="4"/>
  <c r="AI75" i="4"/>
  <c r="X76" i="4"/>
  <c r="AV72" i="4"/>
  <c r="I80" i="4"/>
  <c r="G20" i="5" s="1"/>
  <c r="AU72" i="4"/>
  <c r="AT72" i="4"/>
  <c r="J10" i="4"/>
  <c r="AJ75" i="4"/>
  <c r="AL72" i="4"/>
  <c r="L40" i="4"/>
  <c r="AU40" i="4"/>
  <c r="AT40" i="4"/>
  <c r="AV75" i="4"/>
  <c r="H12" i="5"/>
  <c r="K95" i="4"/>
  <c r="K89" i="4"/>
  <c r="K88" i="4"/>
  <c r="K92" i="4"/>
  <c r="K91" i="4"/>
  <c r="AJ56" i="4"/>
  <c r="C64" i="5"/>
  <c r="D64" i="5"/>
  <c r="AV76" i="4"/>
  <c r="R7" i="6"/>
  <c r="E54" i="7"/>
  <c r="H54" i="7" s="1"/>
  <c r="AT73" i="4"/>
  <c r="J74" i="4"/>
  <c r="L56" i="4"/>
  <c r="AK56" i="4"/>
  <c r="AL56" i="4"/>
  <c r="L46" i="4"/>
  <c r="AJ91" i="4"/>
  <c r="J42" i="4"/>
  <c r="L43" i="4"/>
  <c r="AL43" i="4"/>
  <c r="H76" i="4"/>
  <c r="H92" i="4"/>
  <c r="H44" i="4"/>
  <c r="H28" i="4"/>
  <c r="H60" i="4"/>
  <c r="H12" i="4"/>
  <c r="J8" i="4"/>
  <c r="J27" i="4"/>
  <c r="AV60" i="4"/>
  <c r="L91" i="4"/>
  <c r="AI91" i="4"/>
  <c r="AU91" i="4"/>
  <c r="AF9" i="6"/>
  <c r="L75" i="4"/>
  <c r="AL75" i="4"/>
  <c r="AK75" i="4"/>
  <c r="AI95" i="4"/>
  <c r="D61" i="5"/>
  <c r="C61" i="5"/>
  <c r="AI56" i="4"/>
  <c r="L95" i="4"/>
  <c r="AK95" i="4"/>
  <c r="AJ95" i="4"/>
  <c r="I16" i="4"/>
  <c r="C20" i="5" s="1"/>
  <c r="AU8" i="4"/>
  <c r="L88" i="4"/>
  <c r="AJ88" i="4"/>
  <c r="AL88" i="4"/>
  <c r="AK88" i="4"/>
  <c r="AU75" i="4"/>
  <c r="AK14" i="4"/>
  <c r="L59" i="4"/>
  <c r="AK59" i="4"/>
  <c r="AL59" i="4"/>
  <c r="AI89" i="4"/>
  <c r="AU95" i="4"/>
  <c r="AT95" i="4"/>
  <c r="AV95" i="4"/>
  <c r="AV24" i="4"/>
  <c r="AK89" i="4"/>
  <c r="X92" i="4"/>
  <c r="AV9" i="4"/>
  <c r="AU9" i="4"/>
  <c r="AT9" i="4"/>
  <c r="AU24" i="4"/>
  <c r="J24" i="4"/>
  <c r="J89" i="4"/>
  <c r="AT91" i="4"/>
  <c r="AI27" i="4"/>
  <c r="AJ72" i="4"/>
  <c r="G12" i="5"/>
  <c r="K73" i="4"/>
  <c r="K75" i="4"/>
  <c r="K76" i="4"/>
  <c r="K72" i="4"/>
  <c r="K77" i="4"/>
  <c r="AU74" i="4"/>
  <c r="AU10" i="4"/>
  <c r="AK27" i="4"/>
  <c r="J40" i="4"/>
  <c r="J88" i="4"/>
  <c r="AU58" i="4"/>
  <c r="AL91" i="4"/>
  <c r="L76" i="4"/>
  <c r="H12" i="6"/>
  <c r="W12" i="6"/>
  <c r="AT27" i="4"/>
  <c r="J9" i="4"/>
  <c r="AK9" i="4"/>
  <c r="H10" i="6"/>
  <c r="W10" i="6"/>
  <c r="AV59" i="4"/>
  <c r="AT59" i="4"/>
  <c r="AU59" i="4"/>
  <c r="E56" i="7"/>
  <c r="H56" i="7" s="1"/>
  <c r="R9" i="6"/>
  <c r="J79" i="4"/>
  <c r="AI40" i="4"/>
  <c r="AL27" i="4"/>
  <c r="X27" i="4"/>
  <c r="AV92" i="4"/>
  <c r="AU27" i="4"/>
  <c r="F12" i="5"/>
  <c r="K59" i="4"/>
  <c r="K56" i="4"/>
  <c r="K57" i="4"/>
  <c r="K60" i="4"/>
  <c r="AV73" i="4"/>
  <c r="L72" i="4"/>
  <c r="AK72" i="4"/>
  <c r="P86" i="4"/>
  <c r="P54" i="4"/>
  <c r="P70" i="4"/>
  <c r="P38" i="4"/>
  <c r="P6" i="4"/>
  <c r="P22" i="4"/>
  <c r="H6" i="4"/>
  <c r="H22" i="4"/>
  <c r="D15" i="5" s="1"/>
  <c r="H86" i="4"/>
  <c r="H15" i="5" s="1"/>
  <c r="H54" i="4"/>
  <c r="F15" i="5" s="1"/>
  <c r="H38" i="4"/>
  <c r="E15" i="5" s="1"/>
  <c r="H70" i="4"/>
  <c r="G15" i="5" s="1"/>
  <c r="X41" i="4"/>
  <c r="AV41" i="4"/>
  <c r="AU63" i="4"/>
  <c r="AV57" i="4"/>
  <c r="H58" i="4"/>
  <c r="H42" i="4"/>
  <c r="H74" i="4"/>
  <c r="H90" i="4"/>
  <c r="H26" i="4"/>
  <c r="H10" i="4"/>
  <c r="AL40" i="4"/>
  <c r="E12" i="5"/>
  <c r="K46" i="4"/>
  <c r="K40" i="4"/>
  <c r="K41" i="4"/>
  <c r="K43" i="4"/>
  <c r="AT56" i="4"/>
  <c r="AI9" i="4"/>
  <c r="L57" i="4"/>
  <c r="AK57" i="4"/>
  <c r="AL57" i="4"/>
  <c r="AT57" i="4"/>
  <c r="H11" i="6"/>
  <c r="W11" i="6"/>
  <c r="AT11" i="4"/>
  <c r="AU56" i="4"/>
  <c r="J95" i="4"/>
  <c r="AL11" i="4" l="1"/>
  <c r="J57" i="4"/>
  <c r="AI90" i="4"/>
  <c r="L11" i="4"/>
  <c r="AI73" i="4"/>
  <c r="J25" i="4"/>
  <c r="AK60" i="4"/>
  <c r="AU73" i="4"/>
  <c r="AI24" i="4"/>
  <c r="AJ24" i="4"/>
  <c r="X24" i="4"/>
  <c r="AT60" i="4"/>
  <c r="J73" i="4"/>
  <c r="M73" i="4" s="1"/>
  <c r="N73" i="4" s="1"/>
  <c r="AV63" i="4"/>
  <c r="AI25" i="4"/>
  <c r="AL30" i="4"/>
  <c r="AU90" i="4"/>
  <c r="AJ60" i="4"/>
  <c r="AK73" i="4"/>
  <c r="J26" i="4"/>
  <c r="AT24" i="4"/>
  <c r="K28" i="4"/>
  <c r="AI58" i="4"/>
  <c r="AL25" i="4"/>
  <c r="AJ73" i="4"/>
  <c r="AL73" i="4"/>
  <c r="AT25" i="4"/>
  <c r="AJ25" i="4"/>
  <c r="AT79" i="4"/>
  <c r="AK25" i="4"/>
  <c r="AI72" i="4"/>
  <c r="AJ8" i="4"/>
  <c r="AL8" i="4"/>
  <c r="AU11" i="4"/>
  <c r="AK8" i="4"/>
  <c r="AV11" i="4"/>
  <c r="AU47" i="4"/>
  <c r="K90" i="4"/>
  <c r="J11" i="4"/>
  <c r="AT47" i="4"/>
  <c r="AK11" i="4"/>
  <c r="AI47" i="4"/>
  <c r="AJ11" i="4"/>
  <c r="AT8" i="4"/>
  <c r="AK47" i="4"/>
  <c r="AV8" i="4"/>
  <c r="AI11" i="4"/>
  <c r="X8" i="4"/>
  <c r="M56" i="4"/>
  <c r="N56" i="4" s="1"/>
  <c r="AK41" i="4"/>
  <c r="AJ79" i="4"/>
  <c r="AK79" i="4"/>
  <c r="AI41" i="4"/>
  <c r="AT74" i="4"/>
  <c r="L74" i="4"/>
  <c r="L41" i="4"/>
  <c r="AU41" i="4"/>
  <c r="AL47" i="4"/>
  <c r="AL46" i="4"/>
  <c r="AT41" i="4"/>
  <c r="AV47" i="4"/>
  <c r="X47" i="4"/>
  <c r="K47" i="4"/>
  <c r="AU12" i="4"/>
  <c r="AL41" i="4"/>
  <c r="AL62" i="4"/>
  <c r="K79" i="4"/>
  <c r="L8" i="4"/>
  <c r="AT90" i="4"/>
  <c r="AJ41" i="4"/>
  <c r="K27" i="4"/>
  <c r="L9" i="4"/>
  <c r="L62" i="4"/>
  <c r="M62" i="4" s="1"/>
  <c r="N62" i="4" s="1"/>
  <c r="AB62" i="4" s="1"/>
  <c r="K93" i="4"/>
  <c r="AJ63" i="4"/>
  <c r="AI14" i="4"/>
  <c r="AU46" i="4"/>
  <c r="AU31" i="4"/>
  <c r="AI42" i="4"/>
  <c r="AJ15" i="4"/>
  <c r="AT14" i="4"/>
  <c r="AL42" i="4"/>
  <c r="AI46" i="4"/>
  <c r="AL60" i="4"/>
  <c r="AU14" i="4"/>
  <c r="L47" i="4"/>
  <c r="L44" i="4"/>
  <c r="K31" i="4"/>
  <c r="X28" i="4"/>
  <c r="AV14" i="4"/>
  <c r="X44" i="4"/>
  <c r="AJ44" i="4"/>
  <c r="AK63" i="4"/>
  <c r="AK44" i="4"/>
  <c r="J30" i="4"/>
  <c r="AV90" i="4"/>
  <c r="AL78" i="4"/>
  <c r="L61" i="4"/>
  <c r="J46" i="4"/>
  <c r="M88" i="4"/>
  <c r="N88" i="4" s="1"/>
  <c r="O88" i="4" s="1"/>
  <c r="L12" i="4"/>
  <c r="AT63" i="4"/>
  <c r="K63" i="4"/>
  <c r="AL58" i="4"/>
  <c r="AL90" i="4"/>
  <c r="L30" i="4"/>
  <c r="AK12" i="4"/>
  <c r="AT12" i="4"/>
  <c r="AL44" i="4"/>
  <c r="AK78" i="4"/>
  <c r="L78" i="4"/>
  <c r="F72" i="5"/>
  <c r="F75" i="5" s="1"/>
  <c r="AG10" i="6" s="1"/>
  <c r="F78" i="5"/>
  <c r="F86" i="5" s="1"/>
  <c r="AT30" i="4"/>
  <c r="AJ94" i="4"/>
  <c r="AU62" i="4"/>
  <c r="L45" i="4"/>
  <c r="AK15" i="4"/>
  <c r="AT46" i="4"/>
  <c r="AU78" i="4"/>
  <c r="J78" i="4"/>
  <c r="H72" i="5"/>
  <c r="H75" i="5" s="1"/>
  <c r="AG12" i="6" s="1"/>
  <c r="H78" i="5"/>
  <c r="H86" i="5" s="1"/>
  <c r="C76" i="5"/>
  <c r="L15" i="4"/>
  <c r="L77" i="4"/>
  <c r="AK62" i="4"/>
  <c r="K94" i="4"/>
  <c r="L94" i="4"/>
  <c r="K78" i="4"/>
  <c r="AT15" i="4"/>
  <c r="M75" i="4"/>
  <c r="N75" i="4" s="1"/>
  <c r="AB75" i="4" s="1"/>
  <c r="M24" i="4"/>
  <c r="N24" i="4" s="1"/>
  <c r="P24" i="4" s="1"/>
  <c r="AU15" i="4"/>
  <c r="AL63" i="4"/>
  <c r="AJ46" i="4"/>
  <c r="W8" i="6"/>
  <c r="H8" i="6"/>
  <c r="G72" i="5"/>
  <c r="G75" i="5" s="1"/>
  <c r="AG11" i="6" s="1"/>
  <c r="G78" i="5"/>
  <c r="G86" i="5" s="1"/>
  <c r="M95" i="4"/>
  <c r="N95" i="4" s="1"/>
  <c r="AB95" i="4" s="1"/>
  <c r="AT93" i="4"/>
  <c r="L24" i="4"/>
  <c r="L27" i="4"/>
  <c r="L63" i="4"/>
  <c r="M63" i="4" s="1"/>
  <c r="N63" i="4" s="1"/>
  <c r="K9" i="4"/>
  <c r="C12" i="5"/>
  <c r="AL15" i="4"/>
  <c r="J15" i="4"/>
  <c r="AI15" i="4"/>
  <c r="AJ78" i="4"/>
  <c r="AT77" i="4"/>
  <c r="AK30" i="4"/>
  <c r="K8" i="4"/>
  <c r="AT78" i="4"/>
  <c r="C3" i="6"/>
  <c r="W7" i="6"/>
  <c r="H7" i="6"/>
  <c r="D12" i="5"/>
  <c r="K25" i="4"/>
  <c r="L25" i="4"/>
  <c r="AV93" i="4"/>
  <c r="K44" i="4"/>
  <c r="AL79" i="4"/>
  <c r="AV77" i="4"/>
  <c r="K11" i="4"/>
  <c r="M11" i="4" s="1"/>
  <c r="N11" i="4" s="1"/>
  <c r="AB11" i="4" s="1"/>
  <c r="AJ47" i="4"/>
  <c r="AT31" i="4"/>
  <c r="AU96" i="4"/>
  <c r="H18" i="5" s="1"/>
  <c r="AK76" i="4"/>
  <c r="X26" i="4"/>
  <c r="AV26" i="4"/>
  <c r="K26" i="4"/>
  <c r="AI26" i="4"/>
  <c r="AT58" i="4"/>
  <c r="AI63" i="4"/>
  <c r="AJ42" i="4"/>
  <c r="AT45" i="4"/>
  <c r="AU45" i="4"/>
  <c r="AK45" i="4"/>
  <c r="AL45" i="4"/>
  <c r="J45" i="4"/>
  <c r="AJ45" i="4"/>
  <c r="AI45" i="4"/>
  <c r="X90" i="4"/>
  <c r="AK90" i="4"/>
  <c r="J28" i="4"/>
  <c r="AU28" i="4"/>
  <c r="L28" i="4"/>
  <c r="AJ28" i="4"/>
  <c r="AL28" i="4"/>
  <c r="AK58" i="4"/>
  <c r="J92" i="4"/>
  <c r="AJ92" i="4"/>
  <c r="AI92" i="4"/>
  <c r="L92" i="4"/>
  <c r="X74" i="4"/>
  <c r="AI74" i="4"/>
  <c r="AT76" i="4"/>
  <c r="AU44" i="4"/>
  <c r="AI44" i="4"/>
  <c r="J44" i="4"/>
  <c r="AT26" i="4"/>
  <c r="AI31" i="4"/>
  <c r="AJ12" i="4"/>
  <c r="AU76" i="4"/>
  <c r="X15" i="4"/>
  <c r="K15" i="4"/>
  <c r="M15" i="4" s="1"/>
  <c r="N15" i="4" s="1"/>
  <c r="X78" i="4"/>
  <c r="AV78" i="4"/>
  <c r="J29" i="4"/>
  <c r="L29" i="4"/>
  <c r="AT29" i="4"/>
  <c r="AL29" i="4"/>
  <c r="AU29" i="4"/>
  <c r="AI29" i="4"/>
  <c r="AJ29" i="4"/>
  <c r="AK29" i="4"/>
  <c r="AK26" i="4"/>
  <c r="AT92" i="4"/>
  <c r="AK92" i="4"/>
  <c r="AV58" i="4"/>
  <c r="AJ26" i="4"/>
  <c r="X94" i="4"/>
  <c r="AI94" i="4"/>
  <c r="AK94" i="4"/>
  <c r="AL94" i="4"/>
  <c r="AL61" i="4"/>
  <c r="AJ61" i="4"/>
  <c r="J61" i="4"/>
  <c r="AK61" i="4"/>
  <c r="AU61" i="4"/>
  <c r="AT61" i="4"/>
  <c r="AI61" i="4"/>
  <c r="X10" i="4"/>
  <c r="K10" i="4"/>
  <c r="L58" i="4"/>
  <c r="AL76" i="4"/>
  <c r="M57" i="4"/>
  <c r="N57" i="4" s="1"/>
  <c r="P57" i="4" s="1"/>
  <c r="L26" i="4"/>
  <c r="M89" i="4"/>
  <c r="N89" i="4" s="1"/>
  <c r="P89" i="4" s="1"/>
  <c r="AL31" i="4"/>
  <c r="AK10" i="4"/>
  <c r="X30" i="4"/>
  <c r="AJ30" i="4"/>
  <c r="AV30" i="4"/>
  <c r="K30" i="4"/>
  <c r="AI30" i="4"/>
  <c r="AJ77" i="4"/>
  <c r="J77" i="4"/>
  <c r="M77" i="4" s="1"/>
  <c r="N77" i="4" s="1"/>
  <c r="AB77" i="4" s="1"/>
  <c r="AK77" i="4"/>
  <c r="AL77" i="4"/>
  <c r="AI77" i="4"/>
  <c r="X13" i="4"/>
  <c r="AV13" i="4"/>
  <c r="K13" i="4"/>
  <c r="J12" i="4"/>
  <c r="M12" i="4" s="1"/>
  <c r="N12" i="4" s="1"/>
  <c r="AB12" i="4" s="1"/>
  <c r="AL12" i="4"/>
  <c r="K74" i="4"/>
  <c r="L10" i="4"/>
  <c r="AK28" i="4"/>
  <c r="X29" i="4"/>
  <c r="AV29" i="4"/>
  <c r="K29" i="4"/>
  <c r="X14" i="4"/>
  <c r="K14" i="4"/>
  <c r="AJ14" i="4"/>
  <c r="AL14" i="4"/>
  <c r="AL93" i="4"/>
  <c r="AK93" i="4"/>
  <c r="AJ93" i="4"/>
  <c r="AI93" i="4"/>
  <c r="J93" i="4"/>
  <c r="L93" i="4"/>
  <c r="M93" i="4" s="1"/>
  <c r="N93" i="4" s="1"/>
  <c r="O93" i="4" s="1"/>
  <c r="AJ58" i="4"/>
  <c r="M40" i="4"/>
  <c r="N40" i="4" s="1"/>
  <c r="P40" i="4" s="1"/>
  <c r="AJ10" i="4"/>
  <c r="AK74" i="4"/>
  <c r="K58" i="4"/>
  <c r="AK31" i="4"/>
  <c r="L31" i="4"/>
  <c r="M91" i="4"/>
  <c r="N91" i="4" s="1"/>
  <c r="P91" i="4" s="1"/>
  <c r="AJ90" i="4"/>
  <c r="X46" i="4"/>
  <c r="AV46" i="4"/>
  <c r="AK46" i="4"/>
  <c r="AJ13" i="4"/>
  <c r="AL13" i="4"/>
  <c r="AK13" i="4"/>
  <c r="L13" i="4"/>
  <c r="J13" i="4"/>
  <c r="AU13" i="4"/>
  <c r="AI13" i="4"/>
  <c r="AT13" i="4"/>
  <c r="AL26" i="4"/>
  <c r="L42" i="4"/>
  <c r="X61" i="4"/>
  <c r="AV61" i="4"/>
  <c r="AL74" i="4"/>
  <c r="X62" i="4"/>
  <c r="AV62" i="4"/>
  <c r="AT62" i="4"/>
  <c r="AJ62" i="4"/>
  <c r="AI62" i="4"/>
  <c r="AI10" i="4"/>
  <c r="M72" i="4"/>
  <c r="N72" i="4" s="1"/>
  <c r="AB72" i="4" s="1"/>
  <c r="AJ31" i="4"/>
  <c r="AV31" i="4"/>
  <c r="AJ74" i="4"/>
  <c r="X45" i="4"/>
  <c r="AV45" i="4"/>
  <c r="J76" i="4"/>
  <c r="M76" i="4" s="1"/>
  <c r="N76" i="4" s="1"/>
  <c r="P76" i="4" s="1"/>
  <c r="AI76" i="4"/>
  <c r="X42" i="4"/>
  <c r="AV42" i="4"/>
  <c r="AV48" i="4" s="1"/>
  <c r="E19" i="5" s="1"/>
  <c r="AV10" i="4"/>
  <c r="AL92" i="4"/>
  <c r="K42" i="4"/>
  <c r="AT10" i="4"/>
  <c r="M41" i="4"/>
  <c r="N41" i="4" s="1"/>
  <c r="O41" i="4" s="1"/>
  <c r="AT28" i="4"/>
  <c r="AT44" i="4"/>
  <c r="L14" i="4"/>
  <c r="L90" i="4"/>
  <c r="AT94" i="4"/>
  <c r="X79" i="4"/>
  <c r="AI79" i="4"/>
  <c r="AV79" i="4"/>
  <c r="J60" i="4"/>
  <c r="M60" i="4" s="1"/>
  <c r="N60" i="4" s="1"/>
  <c r="P60" i="4" s="1"/>
  <c r="AI60" i="4"/>
  <c r="AU60" i="4"/>
  <c r="AI78" i="4"/>
  <c r="AK42" i="4"/>
  <c r="C15" i="5"/>
  <c r="O56" i="4"/>
  <c r="P56" i="4"/>
  <c r="M59" i="4"/>
  <c r="N59" i="4" s="1"/>
  <c r="AB59" i="4" s="1"/>
  <c r="AB56" i="4"/>
  <c r="M43" i="4"/>
  <c r="N43" i="4" s="1"/>
  <c r="AB43" i="4" s="1"/>
  <c r="D73" i="5"/>
  <c r="D77" i="5" s="1"/>
  <c r="D74" i="5"/>
  <c r="M46" i="4"/>
  <c r="N46" i="4" s="1"/>
  <c r="AB46" i="4" s="1"/>
  <c r="M79" i="4"/>
  <c r="N79" i="4" s="1"/>
  <c r="AF7" i="6"/>
  <c r="C73" i="5"/>
  <c r="C77" i="5" s="1"/>
  <c r="C74" i="5"/>
  <c r="D76" i="5"/>
  <c r="P41" i="4" l="1"/>
  <c r="M74" i="4"/>
  <c r="N74" i="4" s="1"/>
  <c r="F76" i="5"/>
  <c r="M92" i="4"/>
  <c r="N92" i="4" s="1"/>
  <c r="M8" i="4"/>
  <c r="N8" i="4" s="1"/>
  <c r="AB8" i="4" s="1"/>
  <c r="M9" i="4"/>
  <c r="N9" i="4" s="1"/>
  <c r="M27" i="4"/>
  <c r="N27" i="4" s="1"/>
  <c r="AB27" i="4" s="1"/>
  <c r="O75" i="4"/>
  <c r="Q75" i="4" s="1"/>
  <c r="S75" i="4" s="1"/>
  <c r="P72" i="4"/>
  <c r="R72" i="4" s="1"/>
  <c r="Z72" i="4" s="1"/>
  <c r="O62" i="4"/>
  <c r="Q62" i="4" s="1"/>
  <c r="S62" i="4" s="1"/>
  <c r="AT48" i="4"/>
  <c r="E17" i="5" s="1"/>
  <c r="AD9" i="6" s="1"/>
  <c r="AT16" i="4"/>
  <c r="C17" i="5" s="1"/>
  <c r="AK32" i="4"/>
  <c r="AT80" i="4"/>
  <c r="G17" i="5" s="1"/>
  <c r="AD11" i="6" s="1"/>
  <c r="M14" i="4"/>
  <c r="N14" i="4" s="1"/>
  <c r="P14" i="4" s="1"/>
  <c r="R14" i="4" s="1"/>
  <c r="Z14" i="4" s="1"/>
  <c r="AL80" i="4"/>
  <c r="AV80" i="4"/>
  <c r="G19" i="5" s="1"/>
  <c r="AA11" i="6" s="1"/>
  <c r="M45" i="4"/>
  <c r="N45" i="4" s="1"/>
  <c r="P45" i="4" s="1"/>
  <c r="R45" i="4" s="1"/>
  <c r="Z45" i="4" s="1"/>
  <c r="M31" i="4"/>
  <c r="N31" i="4" s="1"/>
  <c r="P31" i="4" s="1"/>
  <c r="AL48" i="4"/>
  <c r="AU32" i="4"/>
  <c r="D18" i="5" s="1"/>
  <c r="Z8" i="6" s="1"/>
  <c r="P62" i="4"/>
  <c r="M10" i="4"/>
  <c r="N10" i="4" s="1"/>
  <c r="AQ10" i="4" s="1"/>
  <c r="M78" i="4"/>
  <c r="N78" i="4" s="1"/>
  <c r="O78" i="4" s="1"/>
  <c r="AK48" i="4"/>
  <c r="AV64" i="4"/>
  <c r="F19" i="5" s="1"/>
  <c r="AA10" i="6" s="1"/>
  <c r="M42" i="4"/>
  <c r="N42" i="4" s="1"/>
  <c r="AB42" i="4" s="1"/>
  <c r="AU64" i="4"/>
  <c r="F18" i="5" s="1"/>
  <c r="Z10" i="6" s="1"/>
  <c r="P75" i="4"/>
  <c r="AK64" i="4"/>
  <c r="AV96" i="4"/>
  <c r="H19" i="5" s="1"/>
  <c r="H105" i="5" s="1"/>
  <c r="AB12" i="6" s="1"/>
  <c r="O95" i="4"/>
  <c r="AQ95" i="4" s="1"/>
  <c r="P95" i="4"/>
  <c r="R95" i="4" s="1"/>
  <c r="T95" i="4" s="1"/>
  <c r="AU80" i="4"/>
  <c r="G18" i="5" s="1"/>
  <c r="Z11" i="6" s="1"/>
  <c r="M25" i="4"/>
  <c r="N25" i="4" s="1"/>
  <c r="P25" i="4" s="1"/>
  <c r="M47" i="4"/>
  <c r="N47" i="4" s="1"/>
  <c r="AB88" i="4"/>
  <c r="M61" i="4"/>
  <c r="N61" i="4" s="1"/>
  <c r="P61" i="4" s="1"/>
  <c r="R61" i="4" s="1"/>
  <c r="T61" i="4" s="1"/>
  <c r="M44" i="4"/>
  <c r="N44" i="4" s="1"/>
  <c r="AI48" i="4"/>
  <c r="E36" i="5" s="1"/>
  <c r="C173" i="7" s="1"/>
  <c r="G173" i="7" s="1"/>
  <c r="H173" i="7" s="1"/>
  <c r="P88" i="4"/>
  <c r="AQ88" i="4" s="1"/>
  <c r="AL64" i="4"/>
  <c r="AU48" i="4"/>
  <c r="E18" i="5" s="1"/>
  <c r="AV16" i="4"/>
  <c r="C19" i="5" s="1"/>
  <c r="C88" i="5" s="1"/>
  <c r="AB24" i="4"/>
  <c r="M30" i="4"/>
  <c r="N30" i="4" s="1"/>
  <c r="O30" i="4" s="1"/>
  <c r="AJ80" i="4"/>
  <c r="AL16" i="4"/>
  <c r="AK80" i="4"/>
  <c r="O25" i="4"/>
  <c r="Q25" i="4" s="1"/>
  <c r="S25" i="4" s="1"/>
  <c r="P9" i="4"/>
  <c r="W9" i="4" s="1"/>
  <c r="O9" i="4"/>
  <c r="AS9" i="4" s="1"/>
  <c r="AR9" i="4" s="1"/>
  <c r="AB9" i="4"/>
  <c r="AB63" i="4"/>
  <c r="P63" i="4"/>
  <c r="W63" i="4" s="1"/>
  <c r="O63" i="4"/>
  <c r="V63" i="4" s="1"/>
  <c r="AL96" i="4"/>
  <c r="O72" i="4"/>
  <c r="H76" i="5"/>
  <c r="AJ64" i="4"/>
  <c r="AK16" i="4"/>
  <c r="AJ16" i="4"/>
  <c r="AI96" i="4"/>
  <c r="H36" i="5" s="1"/>
  <c r="C176" i="7" s="1"/>
  <c r="G176" i="7" s="1"/>
  <c r="H176" i="7" s="1"/>
  <c r="AB91" i="4"/>
  <c r="AB41" i="4"/>
  <c r="AK96" i="4"/>
  <c r="AB89" i="4"/>
  <c r="O91" i="4"/>
  <c r="AQ91" i="4" s="1"/>
  <c r="M94" i="4"/>
  <c r="N94" i="4" s="1"/>
  <c r="H73" i="5"/>
  <c r="H77" i="5" s="1"/>
  <c r="H83" i="5" s="1"/>
  <c r="AL12" i="6" s="1"/>
  <c r="H74" i="5"/>
  <c r="H79" i="5"/>
  <c r="AV32" i="4"/>
  <c r="D19" i="5" s="1"/>
  <c r="AA8" i="6" s="1"/>
  <c r="AQ41" i="4"/>
  <c r="O60" i="4"/>
  <c r="AQ60" i="4" s="1"/>
  <c r="O40" i="4"/>
  <c r="AQ40" i="4" s="1"/>
  <c r="O89" i="4"/>
  <c r="V89" i="4" s="1"/>
  <c r="AL32" i="4"/>
  <c r="AJ48" i="4"/>
  <c r="G76" i="5"/>
  <c r="AF11" i="6" s="1"/>
  <c r="G79" i="5"/>
  <c r="G74" i="5"/>
  <c r="G73" i="5"/>
  <c r="G77" i="5" s="1"/>
  <c r="F73" i="5"/>
  <c r="F77" i="5" s="1"/>
  <c r="F74" i="5"/>
  <c r="F100" i="5" s="1"/>
  <c r="F79" i="5"/>
  <c r="AU16" i="4"/>
  <c r="C18" i="5" s="1"/>
  <c r="Z7" i="6" s="1"/>
  <c r="AB60" i="4"/>
  <c r="O24" i="4"/>
  <c r="AQ24" i="4" s="1"/>
  <c r="AT32" i="4"/>
  <c r="D17" i="5" s="1"/>
  <c r="AD8" i="6" s="1"/>
  <c r="AB14" i="4"/>
  <c r="AJ96" i="4"/>
  <c r="AT64" i="4"/>
  <c r="F17" i="5" s="1"/>
  <c r="AD10" i="6" s="1"/>
  <c r="AJ32" i="4"/>
  <c r="AI32" i="4"/>
  <c r="D36" i="5" s="1"/>
  <c r="C172" i="7" s="1"/>
  <c r="G172" i="7" s="1"/>
  <c r="H172" i="7" s="1"/>
  <c r="AI16" i="4"/>
  <c r="C36" i="5" s="1"/>
  <c r="C171" i="7" s="1"/>
  <c r="G171" i="7" s="1"/>
  <c r="H171" i="7" s="1"/>
  <c r="AI64" i="4"/>
  <c r="F36" i="5" s="1"/>
  <c r="C174" i="7" s="1"/>
  <c r="G174" i="7" s="1"/>
  <c r="H174" i="7" s="1"/>
  <c r="AI80" i="4"/>
  <c r="G36" i="5" s="1"/>
  <c r="C175" i="7" s="1"/>
  <c r="G175" i="7" s="1"/>
  <c r="H175" i="7" s="1"/>
  <c r="AB15" i="4"/>
  <c r="O15" i="4"/>
  <c r="P15" i="4"/>
  <c r="W15" i="4" s="1"/>
  <c r="O92" i="4"/>
  <c r="P92" i="4"/>
  <c r="W92" i="4" s="1"/>
  <c r="AB92" i="4"/>
  <c r="AA9" i="6"/>
  <c r="E87" i="5"/>
  <c r="E8" i="7" s="1"/>
  <c r="H8" i="7" s="1"/>
  <c r="E88" i="5"/>
  <c r="E105" i="5"/>
  <c r="AB9" i="6" s="1"/>
  <c r="Z9" i="6"/>
  <c r="E81" i="5"/>
  <c r="C81" i="5"/>
  <c r="O14" i="4"/>
  <c r="M28" i="4"/>
  <c r="N28" i="4" s="1"/>
  <c r="AB40" i="4"/>
  <c r="M26" i="4"/>
  <c r="N26" i="4" s="1"/>
  <c r="AR26" i="4" s="1"/>
  <c r="P77" i="4"/>
  <c r="M29" i="4"/>
  <c r="N29" i="4" s="1"/>
  <c r="AT96" i="4"/>
  <c r="H17" i="5" s="1"/>
  <c r="AD12" i="6" s="1"/>
  <c r="AB57" i="4"/>
  <c r="Z12" i="6"/>
  <c r="H81" i="5"/>
  <c r="F81" i="5"/>
  <c r="O57" i="4"/>
  <c r="AS57" i="4" s="1"/>
  <c r="AR57" i="4" s="1"/>
  <c r="P93" i="4"/>
  <c r="V93" i="4" s="1"/>
  <c r="M90" i="4"/>
  <c r="N90" i="4" s="1"/>
  <c r="O76" i="4"/>
  <c r="AQ76" i="4" s="1"/>
  <c r="AB76" i="4"/>
  <c r="M13" i="4"/>
  <c r="N13" i="4" s="1"/>
  <c r="AB13" i="4" s="1"/>
  <c r="AB93" i="4"/>
  <c r="O77" i="4"/>
  <c r="Q77" i="4" s="1"/>
  <c r="S77" i="4" s="1"/>
  <c r="M58" i="4"/>
  <c r="N58" i="4" s="1"/>
  <c r="AB58" i="4" s="1"/>
  <c r="R91" i="4"/>
  <c r="Z91" i="4" s="1"/>
  <c r="W91" i="4"/>
  <c r="O31" i="4"/>
  <c r="R60" i="4"/>
  <c r="Z60" i="4" s="1"/>
  <c r="W60" i="4"/>
  <c r="AS56" i="4"/>
  <c r="V56" i="4"/>
  <c r="Q56" i="4"/>
  <c r="S56" i="4" s="1"/>
  <c r="AF8" i="6"/>
  <c r="Q93" i="4"/>
  <c r="S93" i="4" s="1"/>
  <c r="AR74" i="4"/>
  <c r="AD74" i="4"/>
  <c r="AQ74" i="4"/>
  <c r="AP74" i="4"/>
  <c r="P74" i="4"/>
  <c r="O74" i="4"/>
  <c r="AC74" i="4"/>
  <c r="P27" i="4"/>
  <c r="O27" i="4"/>
  <c r="AB74" i="4"/>
  <c r="O12" i="4"/>
  <c r="P12" i="4"/>
  <c r="G105" i="5"/>
  <c r="AB11" i="6" s="1"/>
  <c r="G87" i="5"/>
  <c r="W41" i="4"/>
  <c r="R41" i="4"/>
  <c r="T41" i="4" s="1"/>
  <c r="Z41" i="4"/>
  <c r="W76" i="4"/>
  <c r="R76" i="4"/>
  <c r="Z76" i="4" s="1"/>
  <c r="AF10" i="6"/>
  <c r="W89" i="4"/>
  <c r="R89" i="4"/>
  <c r="T89" i="4" s="1"/>
  <c r="P79" i="4"/>
  <c r="O79" i="4"/>
  <c r="Q41" i="4"/>
  <c r="S41" i="4" s="1"/>
  <c r="AS41" i="4"/>
  <c r="AR41" i="4" s="1"/>
  <c r="V41" i="4"/>
  <c r="P8" i="4"/>
  <c r="O8" i="4"/>
  <c r="N16" i="4"/>
  <c r="C21" i="5" s="1"/>
  <c r="C11" i="9"/>
  <c r="D11" i="9" s="1"/>
  <c r="AD7" i="6"/>
  <c r="AB79" i="4"/>
  <c r="R57" i="4"/>
  <c r="Z57" i="4" s="1"/>
  <c r="T57" i="4"/>
  <c r="W57" i="4"/>
  <c r="W75" i="4"/>
  <c r="R75" i="4"/>
  <c r="Z75" i="4" s="1"/>
  <c r="C22" i="9"/>
  <c r="D22" i="9" s="1"/>
  <c r="AA7" i="6"/>
  <c r="P73" i="4"/>
  <c r="O73" i="4"/>
  <c r="P59" i="4"/>
  <c r="O59" i="4"/>
  <c r="W56" i="4"/>
  <c r="R56" i="4"/>
  <c r="Z56" i="4" s="1"/>
  <c r="R24" i="4"/>
  <c r="Z24" i="4" s="1"/>
  <c r="W24" i="4"/>
  <c r="AF12" i="6"/>
  <c r="P46" i="4"/>
  <c r="O46" i="4"/>
  <c r="AB73" i="4"/>
  <c r="R40" i="4"/>
  <c r="Z40" i="4" s="1"/>
  <c r="W40" i="4"/>
  <c r="Q78" i="4"/>
  <c r="S78" i="4" s="1"/>
  <c r="Q88" i="4"/>
  <c r="S88" i="4" s="1"/>
  <c r="P11" i="4"/>
  <c r="O11" i="4"/>
  <c r="P43" i="4"/>
  <c r="O43" i="4"/>
  <c r="AQ56" i="4"/>
  <c r="Q40" i="4"/>
  <c r="S40" i="4" s="1"/>
  <c r="AS40" i="4"/>
  <c r="V40" i="4"/>
  <c r="W72" i="4" l="1"/>
  <c r="AR42" i="4"/>
  <c r="AD42" i="4"/>
  <c r="AS63" i="4"/>
  <c r="AR63" i="4" s="1"/>
  <c r="AQ11" i="4"/>
  <c r="Q63" i="4"/>
  <c r="S63" i="4" s="1"/>
  <c r="AC42" i="4"/>
  <c r="N80" i="4"/>
  <c r="G21" i="5" s="1"/>
  <c r="O42" i="4"/>
  <c r="P42" i="4"/>
  <c r="V42" i="4" s="1"/>
  <c r="P78" i="4"/>
  <c r="R78" i="4" s="1"/>
  <c r="Z78" i="4" s="1"/>
  <c r="AQ72" i="4"/>
  <c r="V72" i="4"/>
  <c r="AQ59" i="4"/>
  <c r="AS72" i="4"/>
  <c r="AB78" i="4"/>
  <c r="AQ75" i="4"/>
  <c r="W25" i="4"/>
  <c r="R25" i="4"/>
  <c r="T25" i="4" s="1"/>
  <c r="H87" i="5"/>
  <c r="AB31" i="4"/>
  <c r="H88" i="5"/>
  <c r="G88" i="5"/>
  <c r="F87" i="5"/>
  <c r="E9" i="7" s="1"/>
  <c r="H9" i="7" s="1"/>
  <c r="V77" i="4"/>
  <c r="AQ73" i="4"/>
  <c r="F88" i="5"/>
  <c r="Q95" i="4"/>
  <c r="S95" i="4" s="1"/>
  <c r="U95" i="4" s="1"/>
  <c r="V95" i="4"/>
  <c r="W95" i="4"/>
  <c r="C87" i="5"/>
  <c r="AC7" i="6" s="1"/>
  <c r="V62" i="4"/>
  <c r="AS95" i="4"/>
  <c r="AR95" i="4" s="1"/>
  <c r="V75" i="4"/>
  <c r="AA12" i="6"/>
  <c r="AB45" i="4"/>
  <c r="F105" i="5"/>
  <c r="AB10" i="6" s="1"/>
  <c r="C105" i="5"/>
  <c r="AB7" i="6" s="1"/>
  <c r="AS75" i="4"/>
  <c r="AR75" i="4" s="1"/>
  <c r="AP42" i="4"/>
  <c r="AQ42" i="4"/>
  <c r="H100" i="5"/>
  <c r="H101" i="5" s="1"/>
  <c r="Z95" i="4"/>
  <c r="AQ14" i="4"/>
  <c r="AQ25" i="4"/>
  <c r="O45" i="4"/>
  <c r="V45" i="4" s="1"/>
  <c r="AR10" i="4"/>
  <c r="G81" i="5"/>
  <c r="G82" i="5" s="1"/>
  <c r="AQ63" i="4"/>
  <c r="AD10" i="4"/>
  <c r="T91" i="4"/>
  <c r="W62" i="4"/>
  <c r="R62" i="4"/>
  <c r="Z62" i="4" s="1"/>
  <c r="AS62" i="4"/>
  <c r="AR62" i="4" s="1"/>
  <c r="AB10" i="4"/>
  <c r="AB16" i="4" s="1"/>
  <c r="C34" i="5" s="1"/>
  <c r="C96" i="5" s="1"/>
  <c r="AP7" i="6" s="1"/>
  <c r="AP10" i="4"/>
  <c r="AQ89" i="4"/>
  <c r="T75" i="4"/>
  <c r="U75" i="4" s="1"/>
  <c r="AQ27" i="4"/>
  <c r="O10" i="4"/>
  <c r="D81" i="5"/>
  <c r="AP26" i="4"/>
  <c r="P10" i="4"/>
  <c r="AS10" i="4" s="1"/>
  <c r="N48" i="4"/>
  <c r="E21" i="5" s="1"/>
  <c r="AB30" i="4"/>
  <c r="AC10" i="4"/>
  <c r="AG10" i="4" s="1"/>
  <c r="AO10" i="4" s="1"/>
  <c r="V15" i="4"/>
  <c r="AB25" i="4"/>
  <c r="AQ62" i="4"/>
  <c r="Q30" i="4"/>
  <c r="S30" i="4" s="1"/>
  <c r="Y30" i="4" s="1"/>
  <c r="O61" i="4"/>
  <c r="AQ61" i="4" s="1"/>
  <c r="O44" i="4"/>
  <c r="O47" i="4"/>
  <c r="P47" i="4"/>
  <c r="AB61" i="4"/>
  <c r="P44" i="4"/>
  <c r="W61" i="4"/>
  <c r="AS88" i="4"/>
  <c r="AR88" i="4" s="1"/>
  <c r="R88" i="4"/>
  <c r="Z88" i="4" s="1"/>
  <c r="D105" i="5"/>
  <c r="AB8" i="6" s="1"/>
  <c r="AB64" i="4"/>
  <c r="F34" i="5" s="1"/>
  <c r="F96" i="5" s="1"/>
  <c r="AP10" i="6" s="1"/>
  <c r="AB44" i="4"/>
  <c r="V88" i="4"/>
  <c r="W88" i="4"/>
  <c r="AS92" i="4"/>
  <c r="AR92" i="4" s="1"/>
  <c r="V24" i="4"/>
  <c r="Q9" i="4"/>
  <c r="S9" i="4" s="1"/>
  <c r="Y9" i="4" s="1"/>
  <c r="AS60" i="4"/>
  <c r="AR60" i="4" s="1"/>
  <c r="AQ46" i="4"/>
  <c r="V25" i="4"/>
  <c r="AQ9" i="4"/>
  <c r="P30" i="4"/>
  <c r="W30" i="4" s="1"/>
  <c r="Q60" i="4"/>
  <c r="S60" i="4" s="1"/>
  <c r="AS25" i="4"/>
  <c r="AR25" i="4" s="1"/>
  <c r="R9" i="4"/>
  <c r="T9" i="4" s="1"/>
  <c r="O26" i="4"/>
  <c r="Q72" i="4"/>
  <c r="S72" i="4" s="1"/>
  <c r="Y72" i="4" s="1"/>
  <c r="P26" i="4"/>
  <c r="R26" i="4" s="1"/>
  <c r="AB47" i="4"/>
  <c r="Q76" i="4"/>
  <c r="S76" i="4" s="1"/>
  <c r="AQ79" i="4"/>
  <c r="AS91" i="4"/>
  <c r="AR91" i="4" s="1"/>
  <c r="V60" i="4"/>
  <c r="AS45" i="4"/>
  <c r="AR45" i="4" s="1"/>
  <c r="Q24" i="4"/>
  <c r="S24" i="4" s="1"/>
  <c r="Y24" i="4" s="1"/>
  <c r="Z89" i="4"/>
  <c r="V14" i="4"/>
  <c r="Q45" i="4"/>
  <c r="S45" i="4" s="1"/>
  <c r="Y45" i="4" s="1"/>
  <c r="AA45" i="4" s="1"/>
  <c r="AD45" i="4" s="1"/>
  <c r="AQ43" i="4"/>
  <c r="W45" i="4"/>
  <c r="AS24" i="4"/>
  <c r="AR24" i="4" s="1"/>
  <c r="Q57" i="4"/>
  <c r="S57" i="4" s="1"/>
  <c r="Y57" i="4" s="1"/>
  <c r="AA57" i="4" s="1"/>
  <c r="AD57" i="4" s="1"/>
  <c r="V91" i="4"/>
  <c r="Q89" i="4"/>
  <c r="S89" i="4" s="1"/>
  <c r="Y89" i="4" s="1"/>
  <c r="V92" i="4"/>
  <c r="Q91" i="4"/>
  <c r="S91" i="4" s="1"/>
  <c r="T76" i="4"/>
  <c r="W14" i="4"/>
  <c r="AS15" i="4"/>
  <c r="AR15" i="4" s="1"/>
  <c r="R92" i="4"/>
  <c r="Q92" i="4"/>
  <c r="S92" i="4" s="1"/>
  <c r="Y92" i="4" s="1"/>
  <c r="V9" i="4"/>
  <c r="W78" i="4"/>
  <c r="F101" i="5"/>
  <c r="E51" i="7"/>
  <c r="H51" i="7" s="1"/>
  <c r="Q10" i="6"/>
  <c r="E11" i="7"/>
  <c r="H11" i="7" s="1"/>
  <c r="J12" i="6"/>
  <c r="AC12" i="6"/>
  <c r="AS89" i="4"/>
  <c r="AR89" i="4" s="1"/>
  <c r="R15" i="4"/>
  <c r="D87" i="5"/>
  <c r="J8" i="6" s="1"/>
  <c r="D88" i="5"/>
  <c r="AQ92" i="4"/>
  <c r="AQ57" i="4"/>
  <c r="R63" i="4"/>
  <c r="T63" i="4" s="1"/>
  <c r="U63" i="4" s="1"/>
  <c r="T60" i="4"/>
  <c r="AQ77" i="4"/>
  <c r="P94" i="4"/>
  <c r="O94" i="4"/>
  <c r="AB94" i="4"/>
  <c r="V76" i="4"/>
  <c r="R77" i="4"/>
  <c r="T77" i="4" s="1"/>
  <c r="U77" i="4" s="1"/>
  <c r="AQ8" i="4"/>
  <c r="P90" i="4"/>
  <c r="O90" i="4"/>
  <c r="AD90" i="4"/>
  <c r="N96" i="4"/>
  <c r="H21" i="5" s="1"/>
  <c r="AR90" i="4"/>
  <c r="AP90" i="4"/>
  <c r="AC90" i="4"/>
  <c r="AQ90" i="4"/>
  <c r="T72" i="4"/>
  <c r="W77" i="4"/>
  <c r="N32" i="4"/>
  <c r="D21" i="5" s="1"/>
  <c r="AQ26" i="4"/>
  <c r="AS77" i="4"/>
  <c r="AR77" i="4" s="1"/>
  <c r="W93" i="4"/>
  <c r="AB26" i="4"/>
  <c r="P58" i="4"/>
  <c r="AD58" i="4"/>
  <c r="AC58" i="4"/>
  <c r="AQ58" i="4"/>
  <c r="O58" i="4"/>
  <c r="O64" i="4" s="1"/>
  <c r="F22" i="5" s="1"/>
  <c r="AR58" i="4"/>
  <c r="AP58" i="4"/>
  <c r="AQ93" i="4"/>
  <c r="AC9" i="6"/>
  <c r="AQ12" i="4"/>
  <c r="AK11" i="6"/>
  <c r="G100" i="5"/>
  <c r="AQ15" i="4"/>
  <c r="J9" i="6"/>
  <c r="P48" i="4"/>
  <c r="E23" i="5" s="1"/>
  <c r="P28" i="4"/>
  <c r="O28" i="4"/>
  <c r="AB90" i="4"/>
  <c r="R93" i="4"/>
  <c r="Z93" i="4" s="1"/>
  <c r="V57" i="4"/>
  <c r="AS93" i="4"/>
  <c r="AR93" i="4" s="1"/>
  <c r="P13" i="4"/>
  <c r="O13" i="4"/>
  <c r="O16" i="4" s="1"/>
  <c r="C22" i="5" s="1"/>
  <c r="T56" i="4"/>
  <c r="U56" i="4" s="1"/>
  <c r="AS14" i="4"/>
  <c r="AR14" i="4" s="1"/>
  <c r="T45" i="4"/>
  <c r="Q15" i="4"/>
  <c r="S15" i="4" s="1"/>
  <c r="Y15" i="4" s="1"/>
  <c r="P29" i="4"/>
  <c r="O29" i="4"/>
  <c r="Q14" i="4"/>
  <c r="S14" i="4" s="1"/>
  <c r="AB80" i="4"/>
  <c r="G34" i="5" s="1"/>
  <c r="AD26" i="4"/>
  <c r="T14" i="4"/>
  <c r="N64" i="4"/>
  <c r="F21" i="5" s="1"/>
  <c r="AB29" i="4"/>
  <c r="AS76" i="4"/>
  <c r="AR76" i="4" s="1"/>
  <c r="AC26" i="4"/>
  <c r="AB28" i="4"/>
  <c r="Y77" i="4"/>
  <c r="Y25" i="4"/>
  <c r="U25" i="4"/>
  <c r="Y78" i="4"/>
  <c r="Y75" i="4"/>
  <c r="AA75" i="4" s="1"/>
  <c r="AD75" i="4" s="1"/>
  <c r="Y40" i="4"/>
  <c r="U41" i="4"/>
  <c r="Y41" i="4"/>
  <c r="AA41" i="4" s="1"/>
  <c r="AD41" i="4" s="1"/>
  <c r="Y63" i="4"/>
  <c r="Y62" i="4"/>
  <c r="Y56" i="4"/>
  <c r="W12" i="4"/>
  <c r="R12" i="4"/>
  <c r="T12" i="4" s="1"/>
  <c r="Y93" i="4"/>
  <c r="AR40" i="4"/>
  <c r="Z61" i="4"/>
  <c r="AS59" i="4"/>
  <c r="AR59" i="4" s="1"/>
  <c r="Q59" i="4"/>
  <c r="S59" i="4" s="1"/>
  <c r="V59" i="4"/>
  <c r="E10" i="7"/>
  <c r="H10" i="7" s="1"/>
  <c r="AC11" i="6"/>
  <c r="J11" i="6"/>
  <c r="Q10" i="4"/>
  <c r="S10" i="4" s="1"/>
  <c r="T40" i="4"/>
  <c r="U40" i="4" s="1"/>
  <c r="T24" i="4"/>
  <c r="R59" i="4"/>
  <c r="T59" i="4" s="1"/>
  <c r="W59" i="4"/>
  <c r="AS74" i="4"/>
  <c r="Q74" i="4"/>
  <c r="S74" i="4" s="1"/>
  <c r="V74" i="4"/>
  <c r="Z25" i="4"/>
  <c r="R8" i="4"/>
  <c r="W8" i="4"/>
  <c r="AS46" i="4"/>
  <c r="AR46" i="4" s="1"/>
  <c r="V46" i="4"/>
  <c r="Q46" i="4"/>
  <c r="S46" i="4" s="1"/>
  <c r="AS11" i="4"/>
  <c r="AR11" i="4" s="1"/>
  <c r="V11" i="4"/>
  <c r="Q11" i="4"/>
  <c r="S11" i="4" s="1"/>
  <c r="V43" i="4"/>
  <c r="Q43" i="4"/>
  <c r="S43" i="4" s="1"/>
  <c r="AS43" i="4"/>
  <c r="AR43" i="4" s="1"/>
  <c r="Q27" i="4"/>
  <c r="S27" i="4" s="1"/>
  <c r="V27" i="4"/>
  <c r="AS27" i="4"/>
  <c r="AR27" i="4" s="1"/>
  <c r="AR56" i="4"/>
  <c r="Y88" i="4"/>
  <c r="AS12" i="4"/>
  <c r="AR12" i="4" s="1"/>
  <c r="Q12" i="4"/>
  <c r="S12" i="4" s="1"/>
  <c r="V12" i="4"/>
  <c r="R10" i="4"/>
  <c r="T10" i="4" s="1"/>
  <c r="W10" i="4"/>
  <c r="W73" i="4"/>
  <c r="R73" i="4"/>
  <c r="V31" i="4"/>
  <c r="Q31" i="4"/>
  <c r="S31" i="4" s="1"/>
  <c r="AS31" i="4"/>
  <c r="AR31" i="4" s="1"/>
  <c r="AR72" i="4"/>
  <c r="R46" i="4"/>
  <c r="T46" i="4" s="1"/>
  <c r="W46" i="4"/>
  <c r="AS79" i="4"/>
  <c r="AR79" i="4" s="1"/>
  <c r="Q79" i="4"/>
  <c r="V79" i="4"/>
  <c r="S79" i="4"/>
  <c r="W27" i="4"/>
  <c r="R27" i="4"/>
  <c r="Z27" i="4" s="1"/>
  <c r="R31" i="4"/>
  <c r="T31" i="4" s="1"/>
  <c r="Z31" i="4"/>
  <c r="W31" i="4"/>
  <c r="W43" i="4"/>
  <c r="R43" i="4"/>
  <c r="Z43" i="4" s="1"/>
  <c r="O80" i="4"/>
  <c r="G22" i="5" s="1"/>
  <c r="Q73" i="4"/>
  <c r="S73" i="4" s="1"/>
  <c r="V73" i="4"/>
  <c r="AS73" i="4"/>
  <c r="AR73" i="4" s="1"/>
  <c r="R79" i="4"/>
  <c r="Z79" i="4" s="1"/>
  <c r="W79" i="4"/>
  <c r="AF42" i="4"/>
  <c r="AN42" i="4" s="1"/>
  <c r="AG42" i="4"/>
  <c r="AO42" i="4" s="1"/>
  <c r="AE42" i="4"/>
  <c r="AM42" i="4" s="1"/>
  <c r="AE74" i="4"/>
  <c r="AM74" i="4" s="1"/>
  <c r="AG74" i="4"/>
  <c r="AO74" i="4" s="1"/>
  <c r="AF74" i="4"/>
  <c r="AN74" i="4" s="1"/>
  <c r="AS8" i="4"/>
  <c r="Q8" i="4"/>
  <c r="S8" i="4" s="1"/>
  <c r="V8" i="4"/>
  <c r="W11" i="4"/>
  <c r="R11" i="4"/>
  <c r="T11" i="4" s="1"/>
  <c r="R74" i="4"/>
  <c r="T74" i="4" s="1"/>
  <c r="Z74" i="4"/>
  <c r="W74" i="4"/>
  <c r="Q42" i="4"/>
  <c r="S42" i="4" s="1"/>
  <c r="AQ31" i="4"/>
  <c r="AA78" i="4" l="1"/>
  <c r="AD78" i="4" s="1"/>
  <c r="R42" i="4"/>
  <c r="T42" i="4" s="1"/>
  <c r="AF10" i="4"/>
  <c r="AN10" i="4" s="1"/>
  <c r="AS42" i="4"/>
  <c r="W42" i="4"/>
  <c r="T78" i="4"/>
  <c r="U78" i="4" s="1"/>
  <c r="AP78" i="4" s="1"/>
  <c r="AC10" i="6"/>
  <c r="P80" i="4"/>
  <c r="G23" i="5" s="1"/>
  <c r="AQ78" i="4"/>
  <c r="J10" i="6"/>
  <c r="V78" i="4"/>
  <c r="V80" i="4" s="1"/>
  <c r="G29" i="5" s="1"/>
  <c r="AS78" i="4"/>
  <c r="AR78" i="4" s="1"/>
  <c r="O48" i="4"/>
  <c r="E22" i="5" s="1"/>
  <c r="J7" i="6"/>
  <c r="AS61" i="4"/>
  <c r="AR61" i="4" s="1"/>
  <c r="AS26" i="4"/>
  <c r="AB48" i="4"/>
  <c r="E34" i="5" s="1"/>
  <c r="E96" i="5" s="1"/>
  <c r="AP9" i="6" s="1"/>
  <c r="E6" i="7"/>
  <c r="H6" i="7" s="1"/>
  <c r="Y95" i="4"/>
  <c r="AA95" i="4" s="1"/>
  <c r="AD95" i="4" s="1"/>
  <c r="Q61" i="4"/>
  <c r="S61" i="4" s="1"/>
  <c r="Y61" i="4" s="1"/>
  <c r="AA61" i="4" s="1"/>
  <c r="AD61" i="4" s="1"/>
  <c r="U9" i="4"/>
  <c r="U57" i="4"/>
  <c r="AC8" i="6"/>
  <c r="U91" i="4"/>
  <c r="AP91" i="4" s="1"/>
  <c r="E7" i="7"/>
  <c r="H7" i="7" s="1"/>
  <c r="V61" i="4"/>
  <c r="U14" i="4"/>
  <c r="AP14" i="4" s="1"/>
  <c r="E53" i="7"/>
  <c r="H53" i="7" s="1"/>
  <c r="Q12" i="6"/>
  <c r="V10" i="4"/>
  <c r="Q26" i="4"/>
  <c r="S26" i="4" s="1"/>
  <c r="AB96" i="4"/>
  <c r="H34" i="5" s="1"/>
  <c r="H96" i="5" s="1"/>
  <c r="AP12" i="6" s="1"/>
  <c r="AA89" i="4"/>
  <c r="AD89" i="4" s="1"/>
  <c r="Z46" i="4"/>
  <c r="V26" i="4"/>
  <c r="U72" i="4"/>
  <c r="AC72" i="4" s="1"/>
  <c r="Y91" i="4"/>
  <c r="AA91" i="4" s="1"/>
  <c r="AD91" i="4" s="1"/>
  <c r="AA62" i="4"/>
  <c r="AD62" i="4" s="1"/>
  <c r="U24" i="4"/>
  <c r="AC24" i="4" s="1"/>
  <c r="U76" i="4"/>
  <c r="AC76" i="4" s="1"/>
  <c r="T62" i="4"/>
  <c r="U62" i="4" s="1"/>
  <c r="AP62" i="4" s="1"/>
  <c r="AQ45" i="4"/>
  <c r="W26" i="4"/>
  <c r="Y14" i="4"/>
  <c r="AA14" i="4" s="1"/>
  <c r="AD14" i="4" s="1"/>
  <c r="AE10" i="4"/>
  <c r="AM10" i="4" s="1"/>
  <c r="Y60" i="4"/>
  <c r="AA60" i="4" s="1"/>
  <c r="AD60" i="4" s="1"/>
  <c r="U60" i="4"/>
  <c r="AC60" i="4" s="1"/>
  <c r="AQ80" i="4"/>
  <c r="W44" i="4"/>
  <c r="R44" i="4"/>
  <c r="R47" i="4"/>
  <c r="W47" i="4"/>
  <c r="V47" i="4"/>
  <c r="V48" i="4" s="1"/>
  <c r="E29" i="5" s="1"/>
  <c r="Q47" i="4"/>
  <c r="S47" i="4" s="1"/>
  <c r="S48" i="4" s="1"/>
  <c r="E26" i="5" s="1"/>
  <c r="C197" i="7" s="1"/>
  <c r="G197" i="7" s="1"/>
  <c r="H197" i="7" s="1"/>
  <c r="AS47" i="4"/>
  <c r="AR47" i="4" s="1"/>
  <c r="AR48" i="4" s="1"/>
  <c r="AQ47" i="4"/>
  <c r="AA25" i="4"/>
  <c r="AD25" i="4" s="1"/>
  <c r="AQ44" i="4"/>
  <c r="Q44" i="4"/>
  <c r="S44" i="4" s="1"/>
  <c r="Y44" i="4" s="1"/>
  <c r="AS44" i="4"/>
  <c r="AR44" i="4" s="1"/>
  <c r="V44" i="4"/>
  <c r="U89" i="4"/>
  <c r="AC89" i="4" s="1"/>
  <c r="P32" i="4"/>
  <c r="D23" i="5" s="1"/>
  <c r="V30" i="4"/>
  <c r="AQ30" i="4"/>
  <c r="Z9" i="4"/>
  <c r="AA9" i="4" s="1"/>
  <c r="AD9" i="4" s="1"/>
  <c r="Y76" i="4"/>
  <c r="AA76" i="4" s="1"/>
  <c r="AD76" i="4" s="1"/>
  <c r="Z77" i="4"/>
  <c r="AA77" i="4" s="1"/>
  <c r="AD77" i="4" s="1"/>
  <c r="W48" i="4"/>
  <c r="E30" i="5" s="1"/>
  <c r="AJ9" i="6" s="1"/>
  <c r="T93" i="4"/>
  <c r="U93" i="4" s="1"/>
  <c r="R30" i="4"/>
  <c r="T30" i="4" s="1"/>
  <c r="U30" i="4" s="1"/>
  <c r="AP30" i="4" s="1"/>
  <c r="T88" i="4"/>
  <c r="U88" i="4" s="1"/>
  <c r="AP88" i="4" s="1"/>
  <c r="AS30" i="4"/>
  <c r="AR30" i="4" s="1"/>
  <c r="W94" i="4"/>
  <c r="R94" i="4"/>
  <c r="T94" i="4" s="1"/>
  <c r="R80" i="4"/>
  <c r="G25" i="5" s="1"/>
  <c r="AQ64" i="4"/>
  <c r="AQ94" i="4"/>
  <c r="V94" i="4"/>
  <c r="Q94" i="4"/>
  <c r="S94" i="4" s="1"/>
  <c r="AS94" i="4"/>
  <c r="AR94" i="4" s="1"/>
  <c r="AR96" i="4" s="1"/>
  <c r="AQ96" i="4"/>
  <c r="Z59" i="4"/>
  <c r="R12" i="6"/>
  <c r="E59" i="7"/>
  <c r="H59" i="7" s="1"/>
  <c r="AF26" i="4"/>
  <c r="AN26" i="4" s="1"/>
  <c r="T43" i="4"/>
  <c r="U43" i="4" s="1"/>
  <c r="C14" i="9"/>
  <c r="E57" i="7"/>
  <c r="H57" i="7" s="1"/>
  <c r="R10" i="6"/>
  <c r="D14" i="9"/>
  <c r="Z63" i="4"/>
  <c r="AA63" i="4" s="1"/>
  <c r="AD63" i="4" s="1"/>
  <c r="T15" i="4"/>
  <c r="U15" i="4" s="1"/>
  <c r="AP15" i="4" s="1"/>
  <c r="Z15" i="4"/>
  <c r="AA15" i="4" s="1"/>
  <c r="AD15" i="4" s="1"/>
  <c r="U45" i="4"/>
  <c r="AC45" i="4" s="1"/>
  <c r="Z92" i="4"/>
  <c r="AA92" i="4" s="1"/>
  <c r="AD92" i="4" s="1"/>
  <c r="T92" i="4"/>
  <c r="U92" i="4" s="1"/>
  <c r="AC92" i="4" s="1"/>
  <c r="Z42" i="4"/>
  <c r="U61" i="4"/>
  <c r="AC61" i="4" s="1"/>
  <c r="T27" i="4"/>
  <c r="U27" i="4" s="1"/>
  <c r="Z10" i="4"/>
  <c r="AF90" i="4"/>
  <c r="AN90" i="4" s="1"/>
  <c r="AG90" i="4"/>
  <c r="AO90" i="4" s="1"/>
  <c r="AE90" i="4"/>
  <c r="AM90" i="4" s="1"/>
  <c r="AS13" i="4"/>
  <c r="AR13" i="4" s="1"/>
  <c r="V13" i="4"/>
  <c r="V16" i="4" s="1"/>
  <c r="C29" i="5" s="1"/>
  <c r="Q13" i="4"/>
  <c r="S13" i="4" s="1"/>
  <c r="AE58" i="4"/>
  <c r="AM58" i="4" s="1"/>
  <c r="AG58" i="4"/>
  <c r="AO58" i="4" s="1"/>
  <c r="AF58" i="4"/>
  <c r="AN58" i="4" s="1"/>
  <c r="Z12" i="4"/>
  <c r="AQ13" i="4"/>
  <c r="AQ16" i="4" s="1"/>
  <c r="R13" i="4"/>
  <c r="T13" i="4" s="1"/>
  <c r="W13" i="4"/>
  <c r="W16" i="4" s="1"/>
  <c r="C30" i="5" s="1"/>
  <c r="AJ7" i="6" s="1"/>
  <c r="AR64" i="4"/>
  <c r="P16" i="4"/>
  <c r="C23" i="5" s="1"/>
  <c r="W58" i="4"/>
  <c r="W64" i="4" s="1"/>
  <c r="F30" i="5" s="1"/>
  <c r="AJ10" i="6" s="1"/>
  <c r="P64" i="4"/>
  <c r="F23" i="5" s="1"/>
  <c r="R58" i="4"/>
  <c r="Q80" i="4"/>
  <c r="G24" i="5" s="1"/>
  <c r="C139" i="7" s="1"/>
  <c r="G139" i="7" s="1"/>
  <c r="H139" i="7" s="1"/>
  <c r="AG26" i="4"/>
  <c r="AO26" i="4" s="1"/>
  <c r="AA93" i="4"/>
  <c r="AD93" i="4" s="1"/>
  <c r="W29" i="4"/>
  <c r="R29" i="4"/>
  <c r="Z29" i="4" s="1"/>
  <c r="E52" i="7"/>
  <c r="H52" i="7" s="1"/>
  <c r="G101" i="5"/>
  <c r="Q11" i="6"/>
  <c r="O96" i="4"/>
  <c r="H22" i="5" s="1"/>
  <c r="Q90" i="4"/>
  <c r="AS90" i="4"/>
  <c r="V90" i="4"/>
  <c r="Z11" i="4"/>
  <c r="W80" i="4"/>
  <c r="G30" i="5" s="1"/>
  <c r="AJ11" i="6" s="1"/>
  <c r="Q58" i="4"/>
  <c r="AS58" i="4"/>
  <c r="AS64" i="4" s="1"/>
  <c r="F37" i="5" s="1"/>
  <c r="V58" i="4"/>
  <c r="V64" i="4" s="1"/>
  <c r="F29" i="5" s="1"/>
  <c r="AB32" i="4"/>
  <c r="D34" i="5" s="1"/>
  <c r="D96" i="5" s="1"/>
  <c r="AP8" i="6" s="1"/>
  <c r="AE26" i="4"/>
  <c r="AM26" i="4" s="1"/>
  <c r="R90" i="4"/>
  <c r="Z90" i="4" s="1"/>
  <c r="P96" i="4"/>
  <c r="H23" i="5" s="1"/>
  <c r="W90" i="4"/>
  <c r="W96" i="4" s="1"/>
  <c r="H30" i="5" s="1"/>
  <c r="AJ12" i="6" s="1"/>
  <c r="V28" i="4"/>
  <c r="Q28" i="4"/>
  <c r="S28" i="4" s="1"/>
  <c r="AS28" i="4"/>
  <c r="AR28" i="4" s="1"/>
  <c r="AQ28" i="4"/>
  <c r="O32" i="4"/>
  <c r="D22" i="5" s="1"/>
  <c r="AQ29" i="4"/>
  <c r="Q29" i="4"/>
  <c r="S29" i="4" s="1"/>
  <c r="V29" i="4"/>
  <c r="AS29" i="4"/>
  <c r="AR29" i="4" s="1"/>
  <c r="W28" i="4"/>
  <c r="R28" i="4"/>
  <c r="Z28" i="4" s="1"/>
  <c r="Y43" i="4"/>
  <c r="AA43" i="4" s="1"/>
  <c r="AD43" i="4" s="1"/>
  <c r="U46" i="4"/>
  <c r="Y46" i="4"/>
  <c r="AA46" i="4" s="1"/>
  <c r="AD46" i="4" s="1"/>
  <c r="Y31" i="4"/>
  <c r="AA31" i="4" s="1"/>
  <c r="AD31" i="4" s="1"/>
  <c r="U31" i="4"/>
  <c r="Y27" i="4"/>
  <c r="AA27" i="4" s="1"/>
  <c r="AD27" i="4" s="1"/>
  <c r="U42" i="4"/>
  <c r="Y42" i="4"/>
  <c r="AI11" i="6"/>
  <c r="C133" i="7"/>
  <c r="G133" i="7" s="1"/>
  <c r="H133" i="7" s="1"/>
  <c r="Y12" i="4"/>
  <c r="U12" i="4"/>
  <c r="AP61" i="4"/>
  <c r="AP60" i="4"/>
  <c r="T79" i="4"/>
  <c r="U79" i="4" s="1"/>
  <c r="T73" i="4"/>
  <c r="T80" i="4" s="1"/>
  <c r="G27" i="5" s="1"/>
  <c r="C205" i="7" s="1"/>
  <c r="G205" i="7" s="1"/>
  <c r="H205" i="7" s="1"/>
  <c r="AA40" i="4"/>
  <c r="AC57" i="4"/>
  <c r="AP57" i="4"/>
  <c r="Y74" i="4"/>
  <c r="AA74" i="4" s="1"/>
  <c r="U74" i="4"/>
  <c r="Y10" i="4"/>
  <c r="AA10" i="4" s="1"/>
  <c r="U10" i="4"/>
  <c r="AP25" i="4"/>
  <c r="AC25" i="4"/>
  <c r="S80" i="4"/>
  <c r="G26" i="5" s="1"/>
  <c r="Y79" i="4"/>
  <c r="AA79" i="4" s="1"/>
  <c r="AD79" i="4" s="1"/>
  <c r="AP40" i="4"/>
  <c r="AC40" i="4"/>
  <c r="AC75" i="4"/>
  <c r="AP75" i="4"/>
  <c r="AC15" i="4"/>
  <c r="AP9" i="4"/>
  <c r="AC9" i="4"/>
  <c r="T8" i="4"/>
  <c r="U8" i="4" s="1"/>
  <c r="AA88" i="4"/>
  <c r="AA56" i="4"/>
  <c r="Z26" i="4"/>
  <c r="Z8" i="4"/>
  <c r="AC78" i="4"/>
  <c r="AA72" i="4"/>
  <c r="Z73" i="4"/>
  <c r="Y73" i="4"/>
  <c r="AP63" i="4"/>
  <c r="AC63" i="4"/>
  <c r="AP89" i="4"/>
  <c r="T26" i="4"/>
  <c r="AP95" i="4"/>
  <c r="AC95" i="4"/>
  <c r="AP41" i="4"/>
  <c r="AC41" i="4"/>
  <c r="AC77" i="4"/>
  <c r="AP77" i="4"/>
  <c r="Y11" i="4"/>
  <c r="U11" i="4"/>
  <c r="U59" i="4"/>
  <c r="Y59" i="4"/>
  <c r="Y8" i="4"/>
  <c r="Y26" i="4"/>
  <c r="AR8" i="4"/>
  <c r="AA24" i="4"/>
  <c r="AR80" i="4"/>
  <c r="G42" i="5" s="1"/>
  <c r="C103" i="7" s="1"/>
  <c r="G103" i="7" s="1"/>
  <c r="H103" i="7" s="1"/>
  <c r="AC56" i="4"/>
  <c r="AP56" i="4"/>
  <c r="C115" i="7" l="1"/>
  <c r="G115" i="7" s="1"/>
  <c r="H115" i="7" s="1"/>
  <c r="G45" i="5"/>
  <c r="AS80" i="4"/>
  <c r="G37" i="5" s="1"/>
  <c r="G41" i="5" s="1"/>
  <c r="AP72" i="4"/>
  <c r="AQ48" i="4"/>
  <c r="AP24" i="4"/>
  <c r="AC91" i="4"/>
  <c r="AC14" i="4"/>
  <c r="AP45" i="4"/>
  <c r="AP76" i="4"/>
  <c r="W32" i="4"/>
  <c r="D30" i="5" s="1"/>
  <c r="AJ8" i="6" s="1"/>
  <c r="Q48" i="4"/>
  <c r="E24" i="5" s="1"/>
  <c r="AS96" i="4"/>
  <c r="H37" i="5" s="1"/>
  <c r="H41" i="5" s="1"/>
  <c r="AC88" i="4"/>
  <c r="AA42" i="4"/>
  <c r="AC62" i="4"/>
  <c r="AG62" i="4" s="1"/>
  <c r="AO62" i="4" s="1"/>
  <c r="F42" i="5"/>
  <c r="C102" i="7" s="1"/>
  <c r="G102" i="7" s="1"/>
  <c r="H102" i="7" s="1"/>
  <c r="V32" i="4"/>
  <c r="D29" i="5" s="1"/>
  <c r="C112" i="7" s="1"/>
  <c r="G112" i="7" s="1"/>
  <c r="H112" i="7" s="1"/>
  <c r="AS48" i="4"/>
  <c r="E37" i="5" s="1"/>
  <c r="E41" i="5" s="1"/>
  <c r="C83" i="7" s="1"/>
  <c r="G83" i="7" s="1"/>
  <c r="H83" i="7" s="1"/>
  <c r="Z80" i="4"/>
  <c r="G32" i="5" s="1"/>
  <c r="C157" i="7" s="1"/>
  <c r="G157" i="7" s="1"/>
  <c r="H157" i="7" s="1"/>
  <c r="C113" i="7"/>
  <c r="G113" i="7" s="1"/>
  <c r="H113" i="7" s="1"/>
  <c r="E45" i="5"/>
  <c r="G106" i="5"/>
  <c r="AE11" i="6" s="1"/>
  <c r="H42" i="5"/>
  <c r="C104" i="7" s="1"/>
  <c r="G104" i="7" s="1"/>
  <c r="H104" i="7" s="1"/>
  <c r="Y47" i="4"/>
  <c r="Y48" i="4" s="1"/>
  <c r="E31" i="5" s="1"/>
  <c r="C149" i="7" s="1"/>
  <c r="G149" i="7" s="1"/>
  <c r="H149" i="7" s="1"/>
  <c r="T47" i="4"/>
  <c r="U47" i="4" s="1"/>
  <c r="Z47" i="4"/>
  <c r="Z44" i="4"/>
  <c r="T44" i="4"/>
  <c r="AC30" i="4"/>
  <c r="T28" i="4"/>
  <c r="U28" i="4" s="1"/>
  <c r="AS32" i="4"/>
  <c r="D37" i="5" s="1"/>
  <c r="D41" i="5" s="1"/>
  <c r="Z30" i="4"/>
  <c r="AA30" i="4" s="1"/>
  <c r="AD30" i="4" s="1"/>
  <c r="AF30" i="4" s="1"/>
  <c r="AN30" i="4" s="1"/>
  <c r="AA59" i="4"/>
  <c r="AD59" i="4" s="1"/>
  <c r="AP92" i="4"/>
  <c r="E42" i="5"/>
  <c r="C101" i="7" s="1"/>
  <c r="G101" i="7" s="1"/>
  <c r="H101" i="7" s="1"/>
  <c r="AA11" i="4"/>
  <c r="AD11" i="4" s="1"/>
  <c r="R48" i="4"/>
  <c r="E25" i="5" s="1"/>
  <c r="Z94" i="4"/>
  <c r="Z96" i="4" s="1"/>
  <c r="H32" i="5" s="1"/>
  <c r="C158" i="7" s="1"/>
  <c r="G158" i="7" s="1"/>
  <c r="H158" i="7" s="1"/>
  <c r="Q96" i="4"/>
  <c r="H24" i="5" s="1"/>
  <c r="C140" i="7" s="1"/>
  <c r="G140" i="7" s="1"/>
  <c r="H140" i="7" s="1"/>
  <c r="T29" i="4"/>
  <c r="F41" i="5"/>
  <c r="F106" i="5" s="1"/>
  <c r="AE10" i="6" s="1"/>
  <c r="AQ32" i="4"/>
  <c r="U94" i="4"/>
  <c r="Y94" i="4"/>
  <c r="AR32" i="4"/>
  <c r="AA12" i="4"/>
  <c r="AD12" i="4" s="1"/>
  <c r="AR16" i="4"/>
  <c r="C42" i="5" s="1"/>
  <c r="C99" i="7" s="1"/>
  <c r="G99" i="7" s="1"/>
  <c r="H99" i="7" s="1"/>
  <c r="AS16" i="4"/>
  <c r="C37" i="5" s="1"/>
  <c r="C41" i="5" s="1"/>
  <c r="V96" i="4"/>
  <c r="H29" i="5" s="1"/>
  <c r="G38" i="5"/>
  <c r="C145" i="7" s="1"/>
  <c r="G145" i="7" s="1"/>
  <c r="H145" i="7" s="1"/>
  <c r="G39" i="5"/>
  <c r="G46" i="5" s="1"/>
  <c r="G102" i="5" s="1"/>
  <c r="F45" i="5"/>
  <c r="F103" i="5" s="1"/>
  <c r="C114" i="7"/>
  <c r="G114" i="7" s="1"/>
  <c r="H114" i="7" s="1"/>
  <c r="Y13" i="4"/>
  <c r="AA13" i="4" s="1"/>
  <c r="AD13" i="4" s="1"/>
  <c r="U13" i="4"/>
  <c r="U16" i="4" s="1"/>
  <c r="C28" i="5" s="1"/>
  <c r="E58" i="7"/>
  <c r="H58" i="7" s="1"/>
  <c r="R11" i="6"/>
  <c r="Y28" i="4"/>
  <c r="AA28" i="4" s="1"/>
  <c r="AD28" i="4" s="1"/>
  <c r="S58" i="4"/>
  <c r="Q64" i="4"/>
  <c r="F24" i="5" s="1"/>
  <c r="Q16" i="4"/>
  <c r="C24" i="5" s="1"/>
  <c r="C135" i="7" s="1"/>
  <c r="G135" i="7" s="1"/>
  <c r="H135" i="7" s="1"/>
  <c r="Z13" i="4"/>
  <c r="Z16" i="4" s="1"/>
  <c r="C32" i="5" s="1"/>
  <c r="C153" i="7" s="1"/>
  <c r="G153" i="7" s="1"/>
  <c r="H153" i="7" s="1"/>
  <c r="S16" i="4"/>
  <c r="C26" i="5" s="1"/>
  <c r="C195" i="7" s="1"/>
  <c r="G195" i="7" s="1"/>
  <c r="H195" i="7" s="1"/>
  <c r="R32" i="4"/>
  <c r="D25" i="5" s="1"/>
  <c r="S90" i="4"/>
  <c r="R16" i="4"/>
  <c r="C25" i="5" s="1"/>
  <c r="G84" i="5"/>
  <c r="G107" i="5" s="1"/>
  <c r="AM11" i="6" s="1"/>
  <c r="S32" i="4"/>
  <c r="D26" i="5" s="1"/>
  <c r="C196" i="7" s="1"/>
  <c r="G196" i="7" s="1"/>
  <c r="H196" i="7" s="1"/>
  <c r="T90" i="4"/>
  <c r="T96" i="4" s="1"/>
  <c r="H27" i="5" s="1"/>
  <c r="C206" i="7" s="1"/>
  <c r="G206" i="7" s="1"/>
  <c r="H206" i="7" s="1"/>
  <c r="R96" i="4"/>
  <c r="H25" i="5" s="1"/>
  <c r="T58" i="4"/>
  <c r="T64" i="4" s="1"/>
  <c r="F27" i="5" s="1"/>
  <c r="C204" i="7" s="1"/>
  <c r="G204" i="7" s="1"/>
  <c r="H204" i="7" s="1"/>
  <c r="R64" i="4"/>
  <c r="F25" i="5" s="1"/>
  <c r="AA73" i="4"/>
  <c r="AD73" i="4" s="1"/>
  <c r="Q32" i="4"/>
  <c r="D24" i="5" s="1"/>
  <c r="Y29" i="4"/>
  <c r="AA29" i="4" s="1"/>
  <c r="AD29" i="4" s="1"/>
  <c r="Z58" i="4"/>
  <c r="Z64" i="4" s="1"/>
  <c r="F32" i="5" s="1"/>
  <c r="AD56" i="4"/>
  <c r="AF56" i="4" s="1"/>
  <c r="AN56" i="4" s="1"/>
  <c r="AE91" i="4"/>
  <c r="AF91" i="4"/>
  <c r="AN91" i="4" s="1"/>
  <c r="AG91" i="4"/>
  <c r="AO91" i="4" s="1"/>
  <c r="AP8" i="4"/>
  <c r="AC8" i="4"/>
  <c r="AA8" i="4"/>
  <c r="U26" i="4"/>
  <c r="AA26" i="4"/>
  <c r="AG89" i="4"/>
  <c r="AO89" i="4" s="1"/>
  <c r="AF89" i="4"/>
  <c r="AN89" i="4" s="1"/>
  <c r="AE89" i="4"/>
  <c r="AE41" i="4"/>
  <c r="AF41" i="4"/>
  <c r="AN41" i="4" s="1"/>
  <c r="AG41" i="4"/>
  <c r="AO41" i="4" s="1"/>
  <c r="AF92" i="4"/>
  <c r="AN92" i="4" s="1"/>
  <c r="AE92" i="4"/>
  <c r="AG92" i="4"/>
  <c r="AO92" i="4" s="1"/>
  <c r="C199" i="7"/>
  <c r="G199" i="7" s="1"/>
  <c r="H199" i="7" s="1"/>
  <c r="G95" i="5"/>
  <c r="G96" i="5" s="1"/>
  <c r="AP11" i="6" s="1"/>
  <c r="AD88" i="4"/>
  <c r="AC59" i="4"/>
  <c r="AP59" i="4"/>
  <c r="AP64" i="4" s="1"/>
  <c r="F44" i="5" s="1"/>
  <c r="AD72" i="4"/>
  <c r="AG72" i="4" s="1"/>
  <c r="AO72" i="4" s="1"/>
  <c r="AP12" i="4"/>
  <c r="AC12" i="4"/>
  <c r="AP27" i="4"/>
  <c r="AC27" i="4"/>
  <c r="AF14" i="4"/>
  <c r="AN14" i="4" s="1"/>
  <c r="AG14" i="4"/>
  <c r="AO14" i="4" s="1"/>
  <c r="AE14" i="4"/>
  <c r="AE25" i="4"/>
  <c r="AG25" i="4"/>
  <c r="AO25" i="4" s="1"/>
  <c r="AF25" i="4"/>
  <c r="AN25" i="4" s="1"/>
  <c r="AG76" i="4"/>
  <c r="AO76" i="4" s="1"/>
  <c r="AF76" i="4"/>
  <c r="AN76" i="4" s="1"/>
  <c r="AE76" i="4"/>
  <c r="AC11" i="4"/>
  <c r="AP11" i="4"/>
  <c r="AG63" i="4"/>
  <c r="AO63" i="4" s="1"/>
  <c r="AF63" i="4"/>
  <c r="AN63" i="4" s="1"/>
  <c r="AE63" i="4"/>
  <c r="Y80" i="4"/>
  <c r="G31" i="5" s="1"/>
  <c r="C151" i="7" s="1"/>
  <c r="G151" i="7" s="1"/>
  <c r="H151" i="7" s="1"/>
  <c r="T16" i="4"/>
  <c r="C27" i="5" s="1"/>
  <c r="C201" i="7" s="1"/>
  <c r="G201" i="7" s="1"/>
  <c r="H201" i="7" s="1"/>
  <c r="AG60" i="4"/>
  <c r="AO60" i="4" s="1"/>
  <c r="AF60" i="4"/>
  <c r="AN60" i="4" s="1"/>
  <c r="AE60" i="4"/>
  <c r="C111" i="7"/>
  <c r="G111" i="7" s="1"/>
  <c r="H111" i="7" s="1"/>
  <c r="C45" i="5"/>
  <c r="AF9" i="4"/>
  <c r="AN9" i="4" s="1"/>
  <c r="AE9" i="4"/>
  <c r="AG9" i="4"/>
  <c r="AO9" i="4" s="1"/>
  <c r="AP31" i="4"/>
  <c r="AC31" i="4"/>
  <c r="AP79" i="4"/>
  <c r="AC79" i="4"/>
  <c r="C109" i="7"/>
  <c r="G109" i="7" s="1"/>
  <c r="H109" i="7" s="1"/>
  <c r="G103" i="5"/>
  <c r="AG56" i="4"/>
  <c r="AO56" i="4" s="1"/>
  <c r="AG45" i="4"/>
  <c r="AO45" i="4" s="1"/>
  <c r="AE45" i="4"/>
  <c r="AF45" i="4"/>
  <c r="AN45" i="4" s="1"/>
  <c r="U73" i="4"/>
  <c r="AF61" i="4"/>
  <c r="AN61" i="4" s="1"/>
  <c r="AG61" i="4"/>
  <c r="AO61" i="4" s="1"/>
  <c r="AE61" i="4"/>
  <c r="AD24" i="4"/>
  <c r="AG24" i="4" s="1"/>
  <c r="AO24" i="4" s="1"/>
  <c r="AE30" i="4"/>
  <c r="AP93" i="4"/>
  <c r="AC93" i="4"/>
  <c r="AF15" i="4"/>
  <c r="AN15" i="4" s="1"/>
  <c r="AG15" i="4"/>
  <c r="AO15" i="4" s="1"/>
  <c r="AE15" i="4"/>
  <c r="AD40" i="4"/>
  <c r="AF40" i="4" s="1"/>
  <c r="AN40" i="4" s="1"/>
  <c r="AC46" i="4"/>
  <c r="AP46" i="4"/>
  <c r="C107" i="7"/>
  <c r="G107" i="7" s="1"/>
  <c r="H107" i="7" s="1"/>
  <c r="E103" i="5"/>
  <c r="C137" i="7"/>
  <c r="G137" i="7" s="1"/>
  <c r="H137" i="7" s="1"/>
  <c r="E38" i="5"/>
  <c r="AG57" i="4"/>
  <c r="AO57" i="4" s="1"/>
  <c r="AF57" i="4"/>
  <c r="AN57" i="4" s="1"/>
  <c r="AE57" i="4"/>
  <c r="AE95" i="4"/>
  <c r="AG95" i="4"/>
  <c r="AO95" i="4" s="1"/>
  <c r="AF95" i="4"/>
  <c r="AN95" i="4" s="1"/>
  <c r="AE78" i="4"/>
  <c r="AG78" i="4"/>
  <c r="AO78" i="4" s="1"/>
  <c r="AF78" i="4"/>
  <c r="AN78" i="4" s="1"/>
  <c r="AP43" i="4"/>
  <c r="AC43" i="4"/>
  <c r="AE77" i="4"/>
  <c r="AG77" i="4"/>
  <c r="AO77" i="4" s="1"/>
  <c r="AF77" i="4"/>
  <c r="AN77" i="4" s="1"/>
  <c r="AE75" i="4"/>
  <c r="AG75" i="4"/>
  <c r="AO75" i="4" s="1"/>
  <c r="AF75" i="4"/>
  <c r="AN75" i="4" s="1"/>
  <c r="G89" i="5" l="1"/>
  <c r="C85" i="7"/>
  <c r="G85" i="7" s="1"/>
  <c r="H85" i="7" s="1"/>
  <c r="AA94" i="4"/>
  <c r="AD94" i="4" s="1"/>
  <c r="AG88" i="4"/>
  <c r="AO88" i="4" s="1"/>
  <c r="AE56" i="4"/>
  <c r="Z48" i="4"/>
  <c r="E32" i="5" s="1"/>
  <c r="E94" i="5" s="1"/>
  <c r="E106" i="5"/>
  <c r="AE9" i="6" s="1"/>
  <c r="E89" i="5"/>
  <c r="E26" i="7" s="1"/>
  <c r="AE62" i="4"/>
  <c r="AF62" i="4"/>
  <c r="AN62" i="4" s="1"/>
  <c r="D45" i="5"/>
  <c r="D103" i="5" s="1"/>
  <c r="E67" i="7" s="1"/>
  <c r="AG30" i="4"/>
  <c r="AO30" i="4" s="1"/>
  <c r="T32" i="4"/>
  <c r="D27" i="5" s="1"/>
  <c r="C202" i="7" s="1"/>
  <c r="G202" i="7" s="1"/>
  <c r="H202" i="7" s="1"/>
  <c r="G94" i="5"/>
  <c r="V11" i="6" s="1"/>
  <c r="Z32" i="4"/>
  <c r="D32" i="5" s="1"/>
  <c r="AC47" i="4"/>
  <c r="AP47" i="4"/>
  <c r="C108" i="7"/>
  <c r="G108" i="7" s="1"/>
  <c r="H108" i="7" s="1"/>
  <c r="AA44" i="4"/>
  <c r="AA80" i="4"/>
  <c r="G33" i="5" s="1"/>
  <c r="C163" i="7" s="1"/>
  <c r="G163" i="7" s="1"/>
  <c r="H163" i="7" s="1"/>
  <c r="U44" i="4"/>
  <c r="T48" i="4"/>
  <c r="E27" i="5" s="1"/>
  <c r="C203" i="7" s="1"/>
  <c r="G203" i="7" s="1"/>
  <c r="H203" i="7" s="1"/>
  <c r="AA47" i="4"/>
  <c r="AD47" i="4" s="1"/>
  <c r="C38" i="5"/>
  <c r="C141" i="7" s="1"/>
  <c r="G141" i="7" s="1"/>
  <c r="H141" i="7" s="1"/>
  <c r="D42" i="5"/>
  <c r="C100" i="7" s="1"/>
  <c r="G100" i="7" s="1"/>
  <c r="H100" i="7" s="1"/>
  <c r="C131" i="7"/>
  <c r="G131" i="7" s="1"/>
  <c r="H131" i="7" s="1"/>
  <c r="E84" i="5"/>
  <c r="AI9" i="6"/>
  <c r="C94" i="5"/>
  <c r="AO7" i="6" s="1"/>
  <c r="AE88" i="4"/>
  <c r="AH88" i="4" s="1"/>
  <c r="C121" i="7"/>
  <c r="G121" i="7" s="1"/>
  <c r="H121" i="7" s="1"/>
  <c r="AF88" i="4"/>
  <c r="AN88" i="4" s="1"/>
  <c r="U29" i="4"/>
  <c r="AP29" i="4" s="1"/>
  <c r="H94" i="5"/>
  <c r="C89" i="5"/>
  <c r="C81" i="7"/>
  <c r="G81" i="7" s="1"/>
  <c r="H81" i="7" s="1"/>
  <c r="C106" i="5"/>
  <c r="AE7" i="6" s="1"/>
  <c r="Y16" i="4"/>
  <c r="C31" i="5" s="1"/>
  <c r="C147" i="7" s="1"/>
  <c r="G147" i="7" s="1"/>
  <c r="H147" i="7" s="1"/>
  <c r="C106" i="7"/>
  <c r="G106" i="7" s="1"/>
  <c r="H106" i="7" s="1"/>
  <c r="D38" i="5"/>
  <c r="C142" i="7" s="1"/>
  <c r="G142" i="7" s="1"/>
  <c r="H142" i="7" s="1"/>
  <c r="C84" i="7"/>
  <c r="G84" i="7" s="1"/>
  <c r="H84" i="7" s="1"/>
  <c r="F89" i="5"/>
  <c r="AC94" i="4"/>
  <c r="AP94" i="4"/>
  <c r="AP96" i="4"/>
  <c r="H44" i="5" s="1"/>
  <c r="C136" i="7"/>
  <c r="G136" i="7" s="1"/>
  <c r="H136" i="7" s="1"/>
  <c r="H45" i="5"/>
  <c r="C116" i="7"/>
  <c r="G116" i="7" s="1"/>
  <c r="H116" i="7" s="1"/>
  <c r="H106" i="5"/>
  <c r="AE12" i="6" s="1"/>
  <c r="C86" i="7"/>
  <c r="G86" i="7" s="1"/>
  <c r="H86" i="7" s="1"/>
  <c r="H89" i="5"/>
  <c r="AA32" i="4"/>
  <c r="D33" i="5" s="1"/>
  <c r="C160" i="7" s="1"/>
  <c r="G160" i="7" s="1"/>
  <c r="H160" i="7" s="1"/>
  <c r="U90" i="4"/>
  <c r="U96" i="4" s="1"/>
  <c r="H28" i="5" s="1"/>
  <c r="Y90" i="4"/>
  <c r="S96" i="4"/>
  <c r="H26" i="5" s="1"/>
  <c r="C200" i="7" s="1"/>
  <c r="G200" i="7" s="1"/>
  <c r="H200" i="7" s="1"/>
  <c r="K11" i="6"/>
  <c r="C84" i="5"/>
  <c r="E12" i="7" s="1"/>
  <c r="H12" i="7" s="1"/>
  <c r="D84" i="5"/>
  <c r="C130" i="7"/>
  <c r="G130" i="7" s="1"/>
  <c r="H130" i="7" s="1"/>
  <c r="AI8" i="6"/>
  <c r="AC13" i="4"/>
  <c r="AP13" i="4"/>
  <c r="AP16" i="4" s="1"/>
  <c r="C44" i="5" s="1"/>
  <c r="G85" i="5"/>
  <c r="E22" i="7" s="1"/>
  <c r="H22" i="7" s="1"/>
  <c r="E16" i="7"/>
  <c r="H16" i="7" s="1"/>
  <c r="C129" i="7"/>
  <c r="G129" i="7" s="1"/>
  <c r="H129" i="7" s="1"/>
  <c r="C82" i="7"/>
  <c r="G82" i="7" s="1"/>
  <c r="H82" i="7" s="1"/>
  <c r="D89" i="5"/>
  <c r="D106" i="5"/>
  <c r="AE8" i="6" s="1"/>
  <c r="AI7" i="6"/>
  <c r="Y32" i="4"/>
  <c r="D31" i="5" s="1"/>
  <c r="C148" i="7" s="1"/>
  <c r="G148" i="7" s="1"/>
  <c r="H148" i="7" s="1"/>
  <c r="C156" i="7"/>
  <c r="G156" i="7" s="1"/>
  <c r="H156" i="7" s="1"/>
  <c r="F94" i="5"/>
  <c r="U32" i="4"/>
  <c r="D28" i="5" s="1"/>
  <c r="C124" i="7" s="1"/>
  <c r="G124" i="7" s="1"/>
  <c r="H124" i="7" s="1"/>
  <c r="C132" i="7"/>
  <c r="G132" i="7" s="1"/>
  <c r="H132" i="7" s="1"/>
  <c r="AI10" i="6"/>
  <c r="F84" i="5"/>
  <c r="C138" i="7"/>
  <c r="G138" i="7" s="1"/>
  <c r="H138" i="7" s="1"/>
  <c r="F38" i="5"/>
  <c r="U58" i="4"/>
  <c r="U64" i="4" s="1"/>
  <c r="F28" i="5" s="1"/>
  <c r="Y58" i="4"/>
  <c r="S64" i="4"/>
  <c r="F26" i="5" s="1"/>
  <c r="C198" i="7" s="1"/>
  <c r="G198" i="7" s="1"/>
  <c r="H198" i="7" s="1"/>
  <c r="H38" i="5"/>
  <c r="C134" i="7"/>
  <c r="G134" i="7" s="1"/>
  <c r="H134" i="7" s="1"/>
  <c r="AI12" i="6"/>
  <c r="H84" i="5"/>
  <c r="AC28" i="4"/>
  <c r="AP28" i="4"/>
  <c r="AM45" i="4"/>
  <c r="AH45" i="4"/>
  <c r="AM77" i="4"/>
  <c r="AH77" i="4"/>
  <c r="AG40" i="4"/>
  <c r="AO40" i="4" s="1"/>
  <c r="C143" i="7"/>
  <c r="G143" i="7" s="1"/>
  <c r="H143" i="7" s="1"/>
  <c r="E39" i="5"/>
  <c r="AF24" i="4"/>
  <c r="AN24" i="4" s="1"/>
  <c r="M9" i="6"/>
  <c r="U9" i="6"/>
  <c r="E68" i="7"/>
  <c r="AM56" i="4"/>
  <c r="AH56" i="4"/>
  <c r="AE40" i="4"/>
  <c r="AM41" i="4"/>
  <c r="AH41" i="4"/>
  <c r="AM91" i="4"/>
  <c r="AH91" i="4"/>
  <c r="AE31" i="4"/>
  <c r="AF31" i="4"/>
  <c r="AN31" i="4" s="1"/>
  <c r="AG31" i="4"/>
  <c r="AO31" i="4" s="1"/>
  <c r="C85" i="5"/>
  <c r="AE24" i="4"/>
  <c r="AM14" i="4"/>
  <c r="AH14" i="4"/>
  <c r="C123" i="7"/>
  <c r="G123" i="7" s="1"/>
  <c r="H123" i="7" s="1"/>
  <c r="C43" i="5"/>
  <c r="C47" i="5"/>
  <c r="C189" i="7" s="1"/>
  <c r="G189" i="7" s="1"/>
  <c r="H189" i="7" s="1"/>
  <c r="AM62" i="4"/>
  <c r="AH62" i="4"/>
  <c r="AE72" i="4"/>
  <c r="AG59" i="4"/>
  <c r="AO59" i="4" s="1"/>
  <c r="AO64" i="4" s="1"/>
  <c r="F51" i="5" s="1"/>
  <c r="F93" i="5" s="1"/>
  <c r="AF59" i="4"/>
  <c r="AN59" i="4" s="1"/>
  <c r="AN64" i="4" s="1"/>
  <c r="F50" i="5" s="1"/>
  <c r="F92" i="5" s="1"/>
  <c r="AQ10" i="6" s="1"/>
  <c r="AE59" i="4"/>
  <c r="T11" i="6"/>
  <c r="E64" i="7"/>
  <c r="AM60" i="4"/>
  <c r="AH60" i="4"/>
  <c r="AM78" i="4"/>
  <c r="AH78" i="4"/>
  <c r="AF72" i="4"/>
  <c r="AN72" i="4" s="1"/>
  <c r="AM9" i="4"/>
  <c r="AH9" i="4"/>
  <c r="AM76" i="4"/>
  <c r="AH76" i="4"/>
  <c r="E24" i="7"/>
  <c r="M7" i="6"/>
  <c r="AM57" i="4"/>
  <c r="AH57" i="4"/>
  <c r="AG46" i="4"/>
  <c r="AO46" i="4" s="1"/>
  <c r="AF46" i="4"/>
  <c r="AN46" i="4" s="1"/>
  <c r="AE46" i="4"/>
  <c r="AE93" i="4"/>
  <c r="AF93" i="4"/>
  <c r="AN93" i="4" s="1"/>
  <c r="AG93" i="4"/>
  <c r="AO93" i="4" s="1"/>
  <c r="E70" i="7"/>
  <c r="U11" i="6"/>
  <c r="AE27" i="4"/>
  <c r="AG27" i="4"/>
  <c r="AO27" i="4" s="1"/>
  <c r="AF27" i="4"/>
  <c r="AN27" i="4" s="1"/>
  <c r="AA16" i="4"/>
  <c r="C33" i="5" s="1"/>
  <c r="C159" i="7" s="1"/>
  <c r="G159" i="7" s="1"/>
  <c r="H159" i="7" s="1"/>
  <c r="AD8" i="4"/>
  <c r="AG8" i="4" s="1"/>
  <c r="AO8" i="4" s="1"/>
  <c r="AM30" i="4"/>
  <c r="AH30" i="4"/>
  <c r="C96" i="7"/>
  <c r="G96" i="7" s="1"/>
  <c r="H96" i="7" s="1"/>
  <c r="AN10" i="6"/>
  <c r="AM63" i="4"/>
  <c r="AH63" i="4"/>
  <c r="AF12" i="4"/>
  <c r="AN12" i="4" s="1"/>
  <c r="AE12" i="4"/>
  <c r="AG12" i="4"/>
  <c r="AO12" i="4" s="1"/>
  <c r="AM61" i="4"/>
  <c r="AH61" i="4"/>
  <c r="AE11" i="4"/>
  <c r="AG11" i="4"/>
  <c r="AO11" i="4" s="1"/>
  <c r="AF11" i="4"/>
  <c r="AN11" i="4" s="1"/>
  <c r="AC73" i="4"/>
  <c r="AP73" i="4"/>
  <c r="AP80" i="4" s="1"/>
  <c r="G44" i="5" s="1"/>
  <c r="U80" i="4"/>
  <c r="G28" i="5" s="1"/>
  <c r="AM75" i="4"/>
  <c r="AH75" i="4"/>
  <c r="AE43" i="4"/>
  <c r="AF43" i="4"/>
  <c r="AN43" i="4" s="1"/>
  <c r="AG43" i="4"/>
  <c r="AO43" i="4" s="1"/>
  <c r="AM15" i="4"/>
  <c r="AH15" i="4"/>
  <c r="E69" i="7"/>
  <c r="U10" i="6"/>
  <c r="AE79" i="4"/>
  <c r="AF79" i="4"/>
  <c r="AN79" i="4" s="1"/>
  <c r="AG79" i="4"/>
  <c r="AO79" i="4" s="1"/>
  <c r="AM92" i="4"/>
  <c r="AH92" i="4"/>
  <c r="AM89" i="4"/>
  <c r="AH89" i="4"/>
  <c r="AM95" i="4"/>
  <c r="AH95" i="4"/>
  <c r="V7" i="6"/>
  <c r="C97" i="5"/>
  <c r="C104" i="5" s="1"/>
  <c r="C105" i="7"/>
  <c r="G105" i="7" s="1"/>
  <c r="H105" i="7" s="1"/>
  <c r="C103" i="5"/>
  <c r="AM25" i="4"/>
  <c r="AH25" i="4"/>
  <c r="U8" i="6" l="1"/>
  <c r="G97" i="5"/>
  <c r="G104" i="5" s="1"/>
  <c r="G98" i="5"/>
  <c r="C155" i="7"/>
  <c r="G155" i="7" s="1"/>
  <c r="H155" i="7" s="1"/>
  <c r="D47" i="5"/>
  <c r="C190" i="7" s="1"/>
  <c r="G190" i="7" s="1"/>
  <c r="H190" i="7" s="1"/>
  <c r="AO11" i="6"/>
  <c r="M11" i="6"/>
  <c r="E28" i="7"/>
  <c r="D43" i="5"/>
  <c r="AM88" i="4"/>
  <c r="AC29" i="4"/>
  <c r="AG29" i="4" s="1"/>
  <c r="AO29" i="4" s="1"/>
  <c r="C154" i="7"/>
  <c r="G154" i="7" s="1"/>
  <c r="H154" i="7" s="1"/>
  <c r="D94" i="5"/>
  <c r="C98" i="5"/>
  <c r="AP44" i="4"/>
  <c r="AP48" i="4" s="1"/>
  <c r="E44" i="5" s="1"/>
  <c r="C95" i="7" s="1"/>
  <c r="G95" i="7" s="1"/>
  <c r="H95" i="7" s="1"/>
  <c r="AC44" i="4"/>
  <c r="U48" i="4"/>
  <c r="E28" i="5" s="1"/>
  <c r="L11" i="6"/>
  <c r="H97" i="5"/>
  <c r="AO12" i="6"/>
  <c r="V12" i="6"/>
  <c r="H98" i="5"/>
  <c r="D39" i="5"/>
  <c r="C118" i="7" s="1"/>
  <c r="G118" i="7" s="1"/>
  <c r="H118" i="7" s="1"/>
  <c r="AD44" i="4"/>
  <c r="AA48" i="4"/>
  <c r="E33" i="5" s="1"/>
  <c r="C161" i="7" s="1"/>
  <c r="G161" i="7" s="1"/>
  <c r="H161" i="7" s="1"/>
  <c r="E14" i="7"/>
  <c r="H14" i="7" s="1"/>
  <c r="E85" i="5"/>
  <c r="K9" i="6"/>
  <c r="E107" i="5"/>
  <c r="AM9" i="6" s="1"/>
  <c r="AE47" i="4"/>
  <c r="AG47" i="4"/>
  <c r="AO47" i="4" s="1"/>
  <c r="AF47" i="4"/>
  <c r="AN47" i="4" s="1"/>
  <c r="C39" i="5"/>
  <c r="C117" i="7" s="1"/>
  <c r="G117" i="7" s="1"/>
  <c r="H117" i="7" s="1"/>
  <c r="C15" i="9"/>
  <c r="D15" i="9" s="1"/>
  <c r="V9" i="6"/>
  <c r="AO9" i="6"/>
  <c r="E98" i="5"/>
  <c r="E97" i="5"/>
  <c r="M10" i="6"/>
  <c r="E27" i="7"/>
  <c r="AG94" i="4"/>
  <c r="AO94" i="4" s="1"/>
  <c r="AO96" i="4" s="1"/>
  <c r="H51" i="5" s="1"/>
  <c r="H93" i="5" s="1"/>
  <c r="AE94" i="4"/>
  <c r="AF94" i="4"/>
  <c r="AN94" i="4" s="1"/>
  <c r="AN96" i="4" s="1"/>
  <c r="H50" i="5" s="1"/>
  <c r="H92" i="5" s="1"/>
  <c r="AQ12" i="6" s="1"/>
  <c r="AP32" i="4"/>
  <c r="D44" i="5" s="1"/>
  <c r="K7" i="6"/>
  <c r="C110" i="7"/>
  <c r="G110" i="7" s="1"/>
  <c r="H110" i="7" s="1"/>
  <c r="H103" i="5"/>
  <c r="AN8" i="6"/>
  <c r="C94" i="7"/>
  <c r="G94" i="7" s="1"/>
  <c r="H94" i="7" s="1"/>
  <c r="F43" i="5"/>
  <c r="C126" i="7"/>
  <c r="G126" i="7" s="1"/>
  <c r="H126" i="7" s="1"/>
  <c r="F47" i="5"/>
  <c r="C192" i="7" s="1"/>
  <c r="G192" i="7" s="1"/>
  <c r="H192" i="7" s="1"/>
  <c r="E25" i="7"/>
  <c r="M8" i="6"/>
  <c r="C144" i="7"/>
  <c r="G144" i="7" s="1"/>
  <c r="H144" i="7" s="1"/>
  <c r="F39" i="5"/>
  <c r="H39" i="5"/>
  <c r="C146" i="7"/>
  <c r="G146" i="7" s="1"/>
  <c r="H146" i="7" s="1"/>
  <c r="H99" i="5"/>
  <c r="C19" i="9" s="1"/>
  <c r="D19" i="9" s="1"/>
  <c r="AA58" i="4"/>
  <c r="AA64" i="4" s="1"/>
  <c r="F33" i="5" s="1"/>
  <c r="C162" i="7" s="1"/>
  <c r="G162" i="7" s="1"/>
  <c r="H162" i="7" s="1"/>
  <c r="Y64" i="4"/>
  <c r="F31" i="5" s="1"/>
  <c r="C150" i="7" s="1"/>
  <c r="G150" i="7" s="1"/>
  <c r="H150" i="7" s="1"/>
  <c r="K10" i="6"/>
  <c r="F85" i="5"/>
  <c r="E15" i="7"/>
  <c r="H15" i="7" s="1"/>
  <c r="K8" i="6"/>
  <c r="D85" i="5"/>
  <c r="E13" i="7"/>
  <c r="H13" i="7" s="1"/>
  <c r="C17" i="9"/>
  <c r="D17" i="9" s="1"/>
  <c r="F107" i="5"/>
  <c r="AM10" i="6" s="1"/>
  <c r="AA90" i="4"/>
  <c r="AA96" i="4" s="1"/>
  <c r="H33" i="5" s="1"/>
  <c r="C164" i="7" s="1"/>
  <c r="G164" i="7" s="1"/>
  <c r="H164" i="7" s="1"/>
  <c r="Y96" i="4"/>
  <c r="H31" i="5" s="1"/>
  <c r="C152" i="7" s="1"/>
  <c r="G152" i="7" s="1"/>
  <c r="H152" i="7" s="1"/>
  <c r="C107" i="5"/>
  <c r="AM7" i="6" s="1"/>
  <c r="AE28" i="4"/>
  <c r="AG28" i="4"/>
  <c r="AO28" i="4" s="1"/>
  <c r="AF28" i="4"/>
  <c r="AN28" i="4" s="1"/>
  <c r="H43" i="5"/>
  <c r="C128" i="7"/>
  <c r="G128" i="7" s="1"/>
  <c r="H128" i="7" s="1"/>
  <c r="H47" i="5"/>
  <c r="C194" i="7" s="1"/>
  <c r="G194" i="7" s="1"/>
  <c r="H194" i="7" s="1"/>
  <c r="K12" i="6"/>
  <c r="H85" i="5"/>
  <c r="E17" i="7"/>
  <c r="H17" i="7" s="1"/>
  <c r="AG13" i="4"/>
  <c r="AO13" i="4" s="1"/>
  <c r="AO16" i="4" s="1"/>
  <c r="C51" i="5" s="1"/>
  <c r="C93" i="5" s="1"/>
  <c r="AE13" i="4"/>
  <c r="AF13" i="4"/>
  <c r="AN13" i="4" s="1"/>
  <c r="F97" i="5"/>
  <c r="F104" i="5" s="1"/>
  <c r="V10" i="6"/>
  <c r="AO10" i="6"/>
  <c r="F98" i="5"/>
  <c r="D107" i="5"/>
  <c r="AM8" i="6" s="1"/>
  <c r="E29" i="7"/>
  <c r="M12" i="6"/>
  <c r="H107" i="5"/>
  <c r="AM12" i="6" s="1"/>
  <c r="E76" i="7"/>
  <c r="H76" i="7" s="1"/>
  <c r="AR11" i="6"/>
  <c r="E18" i="7"/>
  <c r="H18" i="7" s="1"/>
  <c r="L7" i="6"/>
  <c r="AM12" i="4"/>
  <c r="AH12" i="4"/>
  <c r="AM40" i="4"/>
  <c r="AH40" i="4"/>
  <c r="C119" i="7"/>
  <c r="G119" i="7" s="1"/>
  <c r="H119" i="7" s="1"/>
  <c r="E46" i="5"/>
  <c r="E102" i="5" s="1"/>
  <c r="C127" i="7"/>
  <c r="G127" i="7" s="1"/>
  <c r="H127" i="7" s="1"/>
  <c r="G43" i="5"/>
  <c r="G47" i="5"/>
  <c r="C193" i="7" s="1"/>
  <c r="G193" i="7" s="1"/>
  <c r="H193" i="7" s="1"/>
  <c r="AM93" i="4"/>
  <c r="AH93" i="4"/>
  <c r="AM24" i="4"/>
  <c r="AH24" i="4"/>
  <c r="I68" i="7"/>
  <c r="H68" i="7"/>
  <c r="AN12" i="6"/>
  <c r="C98" i="7"/>
  <c r="G98" i="7" s="1"/>
  <c r="H98" i="7" s="1"/>
  <c r="I69" i="7"/>
  <c r="H69" i="7"/>
  <c r="H64" i="7"/>
  <c r="I64" i="7"/>
  <c r="AM59" i="4"/>
  <c r="AM64" i="4" s="1"/>
  <c r="F49" i="5" s="1"/>
  <c r="AH59" i="4"/>
  <c r="AH64" i="4" s="1"/>
  <c r="F35" i="5" s="1"/>
  <c r="I67" i="7"/>
  <c r="H67" i="7"/>
  <c r="E46" i="7"/>
  <c r="H46" i="7" s="1"/>
  <c r="P11" i="6"/>
  <c r="H24" i="7"/>
  <c r="I24" i="7"/>
  <c r="AE8" i="4"/>
  <c r="AM31" i="4"/>
  <c r="AH31" i="4"/>
  <c r="AM27" i="4"/>
  <c r="AH27" i="4"/>
  <c r="AF8" i="4"/>
  <c r="AN8" i="4" s="1"/>
  <c r="AM46" i="4"/>
  <c r="AH46" i="4"/>
  <c r="C90" i="5"/>
  <c r="C87" i="7"/>
  <c r="G87" i="7" s="1"/>
  <c r="H87" i="7" s="1"/>
  <c r="C97" i="7"/>
  <c r="G97" i="7" s="1"/>
  <c r="H97" i="7" s="1"/>
  <c r="AN11" i="6"/>
  <c r="AM79" i="4"/>
  <c r="AH79" i="4"/>
  <c r="E72" i="7"/>
  <c r="H72" i="7" s="1"/>
  <c r="AR7" i="6"/>
  <c r="AM72" i="4"/>
  <c r="AH72" i="4"/>
  <c r="E42" i="7"/>
  <c r="H42" i="7" s="1"/>
  <c r="P7" i="6"/>
  <c r="H70" i="7"/>
  <c r="I70" i="7"/>
  <c r="AM11" i="4"/>
  <c r="AH11" i="4"/>
  <c r="AG73" i="4"/>
  <c r="AO73" i="4" s="1"/>
  <c r="AO80" i="4" s="1"/>
  <c r="G51" i="5" s="1"/>
  <c r="G93" i="5" s="1"/>
  <c r="AF73" i="4"/>
  <c r="AN73" i="4" s="1"/>
  <c r="AN80" i="4" s="1"/>
  <c r="G50" i="5" s="1"/>
  <c r="G92" i="5" s="1"/>
  <c r="AQ11" i="6" s="1"/>
  <c r="AE73" i="4"/>
  <c r="C93" i="7"/>
  <c r="G93" i="7" s="1"/>
  <c r="H93" i="7" s="1"/>
  <c r="AN7" i="6"/>
  <c r="E66" i="7"/>
  <c r="U7" i="6"/>
  <c r="I26" i="7"/>
  <c r="H26" i="7"/>
  <c r="AM43" i="4"/>
  <c r="AH43" i="4"/>
  <c r="D90" i="5"/>
  <c r="C88" i="7"/>
  <c r="G88" i="7" s="1"/>
  <c r="H88" i="7" s="1"/>
  <c r="I28" i="7" l="1"/>
  <c r="H28" i="7"/>
  <c r="AE29" i="4"/>
  <c r="AF29" i="4"/>
  <c r="AN29" i="4" s="1"/>
  <c r="AN32" i="4"/>
  <c r="D50" i="5" s="1"/>
  <c r="D92" i="5" s="1"/>
  <c r="AQ8" i="6" s="1"/>
  <c r="AN9" i="6"/>
  <c r="AO32" i="4"/>
  <c r="D51" i="5" s="1"/>
  <c r="D93" i="5" s="1"/>
  <c r="D46" i="5"/>
  <c r="D102" i="5" s="1"/>
  <c r="T8" i="6" s="1"/>
  <c r="AO8" i="6"/>
  <c r="D97" i="5"/>
  <c r="V8" i="6"/>
  <c r="D98" i="5"/>
  <c r="C46" i="5"/>
  <c r="C102" i="5" s="1"/>
  <c r="T7" i="6" s="1"/>
  <c r="E44" i="7"/>
  <c r="H44" i="7" s="1"/>
  <c r="P9" i="6"/>
  <c r="E104" i="5"/>
  <c r="H104" i="5"/>
  <c r="P12" i="6"/>
  <c r="E47" i="7"/>
  <c r="H47" i="7" s="1"/>
  <c r="E20" i="7"/>
  <c r="H20" i="7" s="1"/>
  <c r="L9" i="6"/>
  <c r="AH47" i="4"/>
  <c r="AM47" i="4"/>
  <c r="C125" i="7"/>
  <c r="G125" i="7" s="1"/>
  <c r="H125" i="7" s="1"/>
  <c r="E47" i="5"/>
  <c r="C191" i="7" s="1"/>
  <c r="G191" i="7" s="1"/>
  <c r="H191" i="7" s="1"/>
  <c r="E43" i="5"/>
  <c r="AF44" i="4"/>
  <c r="AN44" i="4" s="1"/>
  <c r="AN48" i="4" s="1"/>
  <c r="E50" i="5" s="1"/>
  <c r="E92" i="5" s="1"/>
  <c r="AQ9" i="6" s="1"/>
  <c r="AG44" i="4"/>
  <c r="AO44" i="4" s="1"/>
  <c r="AO48" i="4" s="1"/>
  <c r="E51" i="5" s="1"/>
  <c r="E93" i="5" s="1"/>
  <c r="AE44" i="4"/>
  <c r="C12" i="9"/>
  <c r="D12" i="9" s="1"/>
  <c r="AM94" i="4"/>
  <c r="AM96" i="4" s="1"/>
  <c r="H49" i="5" s="1"/>
  <c r="AH94" i="4"/>
  <c r="AH96" i="4" s="1"/>
  <c r="H35" i="5" s="1"/>
  <c r="H27" i="7"/>
  <c r="I27" i="7"/>
  <c r="E71" i="7"/>
  <c r="U12" i="6"/>
  <c r="AR10" i="6"/>
  <c r="E75" i="7"/>
  <c r="H75" i="7" s="1"/>
  <c r="C120" i="7"/>
  <c r="G120" i="7" s="1"/>
  <c r="H120" i="7" s="1"/>
  <c r="F46" i="5"/>
  <c r="F102" i="5" s="1"/>
  <c r="E21" i="7"/>
  <c r="H21" i="7" s="1"/>
  <c r="L10" i="6"/>
  <c r="I25" i="7"/>
  <c r="H25" i="7"/>
  <c r="AN16" i="4"/>
  <c r="C50" i="5" s="1"/>
  <c r="C92" i="5" s="1"/>
  <c r="AQ7" i="6" s="1"/>
  <c r="E19" i="7"/>
  <c r="H19" i="7" s="1"/>
  <c r="L8" i="6"/>
  <c r="C92" i="7"/>
  <c r="G92" i="7" s="1"/>
  <c r="H92" i="7" s="1"/>
  <c r="H90" i="5"/>
  <c r="L12" i="6"/>
  <c r="E23" i="7"/>
  <c r="H23" i="7" s="1"/>
  <c r="I29" i="7"/>
  <c r="H29" i="7"/>
  <c r="C90" i="7"/>
  <c r="G90" i="7" s="1"/>
  <c r="H90" i="7" s="1"/>
  <c r="F90" i="5"/>
  <c r="AM28" i="4"/>
  <c r="AH28" i="4"/>
  <c r="E45" i="7"/>
  <c r="H45" i="7" s="1"/>
  <c r="P10" i="6"/>
  <c r="AM29" i="4"/>
  <c r="AH29" i="4"/>
  <c r="C13" i="9"/>
  <c r="D13" i="9" s="1"/>
  <c r="AM13" i="4"/>
  <c r="AH13" i="4"/>
  <c r="H46" i="5"/>
  <c r="H102" i="5" s="1"/>
  <c r="C122" i="7"/>
  <c r="G122" i="7" s="1"/>
  <c r="H122" i="7" s="1"/>
  <c r="C186" i="7"/>
  <c r="G186" i="7" s="1"/>
  <c r="H186" i="7" s="1"/>
  <c r="F91" i="5"/>
  <c r="AM8" i="4"/>
  <c r="AH8" i="4"/>
  <c r="E61" i="7"/>
  <c r="T9" i="6"/>
  <c r="E62" i="7"/>
  <c r="N7" i="6"/>
  <c r="E30" i="7"/>
  <c r="C168" i="7"/>
  <c r="G168" i="7" s="1"/>
  <c r="H168" i="7" s="1"/>
  <c r="F48" i="5"/>
  <c r="C180" i="7" s="1"/>
  <c r="G180" i="7" s="1"/>
  <c r="H180" i="7" s="1"/>
  <c r="H66" i="7"/>
  <c r="I66" i="7"/>
  <c r="AM73" i="4"/>
  <c r="AM80" i="4" s="1"/>
  <c r="G49" i="5" s="1"/>
  <c r="AH73" i="4"/>
  <c r="AH80" i="4" s="1"/>
  <c r="G35" i="5" s="1"/>
  <c r="N8" i="6"/>
  <c r="E31" i="7"/>
  <c r="C91" i="7"/>
  <c r="G91" i="7" s="1"/>
  <c r="H91" i="7" s="1"/>
  <c r="G90" i="5"/>
  <c r="AM32" i="4" l="1"/>
  <c r="D49" i="5" s="1"/>
  <c r="D104" i="5"/>
  <c r="C20" i="9"/>
  <c r="D20" i="9" s="1"/>
  <c r="E43" i="7"/>
  <c r="H43" i="7" s="1"/>
  <c r="P8" i="6"/>
  <c r="E60" i="7"/>
  <c r="I60" i="7" s="1"/>
  <c r="E90" i="5"/>
  <c r="C16" i="9" s="1"/>
  <c r="D16" i="9" s="1"/>
  <c r="C89" i="7"/>
  <c r="G89" i="7" s="1"/>
  <c r="H89" i="7" s="1"/>
  <c r="E77" i="7"/>
  <c r="AR12" i="6"/>
  <c r="E74" i="7"/>
  <c r="H74" i="7" s="1"/>
  <c r="AR9" i="6"/>
  <c r="AH44" i="4"/>
  <c r="AH48" i="4" s="1"/>
  <c r="E35" i="5" s="1"/>
  <c r="C167" i="7" s="1"/>
  <c r="G167" i="7" s="1"/>
  <c r="H167" i="7" s="1"/>
  <c r="AM44" i="4"/>
  <c r="AM48" i="4" s="1"/>
  <c r="E49" i="5" s="1"/>
  <c r="C185" i="7" s="1"/>
  <c r="G185" i="7" s="1"/>
  <c r="H185" i="7" s="1"/>
  <c r="H91" i="5"/>
  <c r="E41" i="7" s="1"/>
  <c r="C188" i="7"/>
  <c r="G188" i="7" s="1"/>
  <c r="H188" i="7" s="1"/>
  <c r="C170" i="7"/>
  <c r="G170" i="7" s="1"/>
  <c r="H170" i="7" s="1"/>
  <c r="H48" i="5"/>
  <c r="C182" i="7" s="1"/>
  <c r="G182" i="7" s="1"/>
  <c r="H182" i="7" s="1"/>
  <c r="I71" i="7"/>
  <c r="H71" i="7"/>
  <c r="AH32" i="4"/>
  <c r="D35" i="5" s="1"/>
  <c r="C166" i="7" s="1"/>
  <c r="G166" i="7" s="1"/>
  <c r="H166" i="7" s="1"/>
  <c r="AM16" i="4"/>
  <c r="C49" i="5" s="1"/>
  <c r="E35" i="7"/>
  <c r="N12" i="6"/>
  <c r="E33" i="7"/>
  <c r="N10" i="6"/>
  <c r="T10" i="6"/>
  <c r="E63" i="7"/>
  <c r="T12" i="6"/>
  <c r="E65" i="7"/>
  <c r="I61" i="7"/>
  <c r="H61" i="7"/>
  <c r="C169" i="7"/>
  <c r="G169" i="7" s="1"/>
  <c r="H169" i="7" s="1"/>
  <c r="G48" i="5"/>
  <c r="C181" i="7" s="1"/>
  <c r="G181" i="7" s="1"/>
  <c r="H181" i="7" s="1"/>
  <c r="C187" i="7"/>
  <c r="G187" i="7" s="1"/>
  <c r="H187" i="7" s="1"/>
  <c r="G91" i="5"/>
  <c r="AH16" i="4"/>
  <c r="C35" i="5" s="1"/>
  <c r="C183" i="7"/>
  <c r="G183" i="7" s="1"/>
  <c r="H183" i="7" s="1"/>
  <c r="C91" i="5"/>
  <c r="I31" i="7"/>
  <c r="H31" i="7"/>
  <c r="C184" i="7"/>
  <c r="G184" i="7" s="1"/>
  <c r="H184" i="7" s="1"/>
  <c r="D91" i="5"/>
  <c r="I62" i="7"/>
  <c r="H62" i="7"/>
  <c r="H60" i="7"/>
  <c r="E39" i="7"/>
  <c r="O10" i="6"/>
  <c r="E34" i="7"/>
  <c r="N11" i="6"/>
  <c r="H30" i="7"/>
  <c r="I30" i="7"/>
  <c r="D48" i="5" l="1"/>
  <c r="C178" i="7" s="1"/>
  <c r="G178" i="7" s="1"/>
  <c r="H178" i="7" s="1"/>
  <c r="E48" i="5"/>
  <c r="C179" i="7" s="1"/>
  <c r="G179" i="7" s="1"/>
  <c r="H179" i="7" s="1"/>
  <c r="AR8" i="6"/>
  <c r="E73" i="7"/>
  <c r="H73" i="7" s="1"/>
  <c r="E91" i="5"/>
  <c r="O12" i="6"/>
  <c r="N9" i="6"/>
  <c r="E32" i="7"/>
  <c r="C9" i="9"/>
  <c r="D9" i="9" s="1"/>
  <c r="I63" i="7"/>
  <c r="H63" i="7"/>
  <c r="I33" i="7"/>
  <c r="H33" i="7"/>
  <c r="H35" i="7"/>
  <c r="I35" i="7"/>
  <c r="I65" i="7"/>
  <c r="H65" i="7"/>
  <c r="O11" i="6"/>
  <c r="E40" i="7"/>
  <c r="H39" i="7"/>
  <c r="I39" i="7"/>
  <c r="I41" i="7"/>
  <c r="H41" i="7"/>
  <c r="E38" i="7"/>
  <c r="O9" i="6"/>
  <c r="C165" i="7"/>
  <c r="G165" i="7" s="1"/>
  <c r="H165" i="7" s="1"/>
  <c r="C48" i="5"/>
  <c r="C177" i="7" s="1"/>
  <c r="G177" i="7" s="1"/>
  <c r="H177" i="7" s="1"/>
  <c r="C8" i="9"/>
  <c r="D8" i="9" s="1"/>
  <c r="E37" i="7"/>
  <c r="O8" i="6"/>
  <c r="H34" i="7"/>
  <c r="I34" i="7"/>
  <c r="E36" i="7"/>
  <c r="O7" i="6"/>
  <c r="I32" i="7" l="1"/>
  <c r="H32" i="7"/>
  <c r="D208" i="7"/>
  <c r="C208" i="7"/>
  <c r="I37" i="7"/>
  <c r="H37" i="7"/>
  <c r="H38" i="7"/>
  <c r="I38" i="7"/>
  <c r="C10" i="9"/>
  <c r="D10" i="9" s="1"/>
  <c r="H36" i="7"/>
  <c r="I36" i="7"/>
  <c r="H40" i="7"/>
  <c r="I40" i="7"/>
  <c r="C18" i="9" l="1"/>
  <c r="D18" i="9"/>
  <c r="D23" i="9" s="1"/>
</calcChain>
</file>

<file path=xl/sharedStrings.xml><?xml version="1.0" encoding="utf-8"?>
<sst xmlns="http://schemas.openxmlformats.org/spreadsheetml/2006/main" count="2265" uniqueCount="1112">
  <si>
    <t>AdHocCalculations - rebuild v0.5 (Egypt policy-options matrix, Table 2 of the results note)</t>
  </si>
  <si>
    <t>Purpose</t>
  </si>
  <si>
    <t>Transparent rebuild of AdHocCalculations.xlsb (PolicyMatrix tab) behind Table 2 of the Egypt results note. Every number on PolicyMatrix rows 7-12 is a formula reading Inputs / CPAT_Outputs / CBAM_Products / Results; nothing is typed.</t>
  </si>
  <si>
    <t>How to use</t>
  </si>
  <si>
    <t>Change assumptions ONLY on the Inputs tab (tan cells). Mode = REBUILD (default, coherent method) or PROTOTYPE (reproduces CPAT_Industry_Kernel_Egypt_v0.11 block exactly - verify on Comparison section 2 and Checks). Conv = CBAM convention for O (FULL default from v0.5). Yr = reporting year (2030 default).</t>
  </si>
  <si>
    <t>Sheets</t>
  </si>
  <si>
    <t>Inputs (all assumptions, switches, CPAT values for Yr, bundle table, product table, year vectors) | CPAT_Outputs (trimmed CPAT Outputs 2022-2041, 32 codes x 4 scenarios) | CBAM_Products (eight-product block per bundle, prototype v0.11 equations) | Results (engine: every metric by bundle, keyed) | PolicyMatrix (original layout, live) | Comparison (original / Table 2 / rebuilt / prototype) | Issues resolved (19 items) | Checks.</t>
  </si>
  <si>
    <t>Format changes vs original</t>
  </si>
  <si>
    <t>(1) Assumptions moved to Inputs (original had typed constants inside PolicyMatrix and a misaligned Inputs tab). (2) Columns AF-AQ redefined (yellow headers): the legacy half-elasticity block (AF-AP) is replaced by the K decomposition (AF-AM), export-weighted intensity change (AN), gross revenue (AO), rebates (AP) and O under FULL phase-in (AQ). (3) Rows 14-22 (non-modelled bundles) copied verbatim, grey, not recomputed. (4) Trajectory rows 26-29 rebuilt as contiguous years 2027-2034 in F-M, live from Inputs, plus a CBAM phase-in row. (5) Row 4 mode indicator added; C3 is a formula. (6) New sheets: CPAT_Outputs, CBAM_Products, Results, Comparison, Issues resolved, Checks. (7) GHG tab not rebuilt.</t>
  </si>
  <si>
    <t>Method differences vs original</t>
  </si>
  <si>
    <t>Single 2030 base (CPAT total GHG 594.2 Mt); coverage computed (kappa for partial industry runs); CBAM base bottom-up (62.42 Mt, eight products, Egypt CBAM EF v0.1); process response via beta and the output channel, CPAT's IPPU scaling removed; 1A on EG1; 3B from EG3 with explicit OBR output-channel correction; revenue = CPAT fuel receipts + block process revenue, net of rebates / fund; deaths rescaled by energy CO2 only; price start 2028; no untraceable constants; b_f calibrated on CPAT; O convention explicit.</t>
  </si>
  <si>
    <t>Method differences vs prototype v0.11</t>
  </si>
  <si>
    <t>REBUILD mode adds: fuel-intensity channel xf = EXP(b_f (tau + fund)); IPCC-based process beta set (prototype set selectable); fund shadow price sigma on both channels; national totals from CPAT; OBR rebates in net revenue; kappa coverage; 3C differs from 3A. PROTOTYPE mode switches all of these off for the block.</t>
  </si>
  <si>
    <t>Provenance</t>
  </si>
  <si>
    <t>CPAT values: cpat_outputs_egypt_2022_2041.csv (CPAT Outputs sheet, Egypt EG1-EG4). Prototype: prototype_v0_11_results.json (run via Excel COM). Original: original_PolicyMatrix_cells.txt (verbatim dump). Builder: build_adhoc_rebuild_v0_5.py; verification: recalc_and_check_adhoc_v0_5.py (report recalc_and_check_adhoc_v0_5_report.txt). EFs: EmissionFactors/EGY_CBAM_EF_v0.1.xlsx. Methodology note (core equations, results, differences, open flags): MethodologyNote_v0.5.md / .docx.</t>
  </si>
  <si>
    <t>Colour code</t>
  </si>
  <si>
    <t>Tan = input; blue = key / identifier; green = computed; yellow = switch-dependent or review; grey = static copy.</t>
  </si>
  <si>
    <t>Version log</t>
  </si>
  <si>
    <t>v0.1 - first rebuild (openpyxl build, Excel COM verified). v0.2 - Egypt CBAM EF v0.1 (switch EFSet) and AN blended process ER100. v0.5 2026-10-04 - PStar = 122 USD2024 for IPCC beta sets, and KappaMode=SCALE default to approximate a full-coverage EG3 industry run pending a CPAT re-run. v0.5 - defaults Conv = FULL and ThetaOther = 1 (decisions 2026-10-04); no formula changes.</t>
  </si>
  <si>
    <t>Inputs - all assumptions and switches (AdHoc Calculations rebuild v0.5)</t>
  </si>
  <si>
    <t>Edit only tan cells (switches) and light-green cells (inputs). Every other cell in the workbook is a formula. Defined names are listed in column E.</t>
  </si>
  <si>
    <t>A. Switches</t>
  </si>
  <si>
    <t>Switch</t>
  </si>
  <si>
    <t>Value (edit)</t>
  </si>
  <si>
    <t>Allowed values</t>
  </si>
  <si>
    <t>Effective (named)</t>
  </si>
  <si>
    <t>Name</t>
  </si>
  <si>
    <t>Notes</t>
  </si>
  <si>
    <t>Calculation mode</t>
  </si>
  <si>
    <t>REBUILD</t>
  </si>
  <si>
    <t>REBUILD, PROTOTYPE</t>
  </si>
  <si>
    <t>Mode</t>
  </si>
  <si>
    <t>REBUILD = coherent method (headline). PROTOTYPE = reproduce CPAT_Industry_Kernel_Egypt_v0.11 exactly (xf=1, prototype beta set, fund shadow price 0); verified cell by cell in Comparison section 2.</t>
  </si>
  <si>
    <t>CBAM obligation convention</t>
  </si>
  <si>
    <t>FULL</t>
  </si>
  <si>
    <t>FULL, NOPHASE, SCALED</t>
  </si>
  <si>
    <t>Conv</t>
  </si>
  <si>
    <t>FULL (default from v0.5): 2030 phase-in factor 0.485 on the obligation, full deduction of the carbon price paid. NOPHASE (memo; the default in v0.1-v0.3): full certificate price EUR/USD 100 with no phase-in, deduction of carbon price paid - the definition behind column O of the original (intensity + price credit). SCALED: phase-in on both obligation and deduction (prototype memo).</t>
  </si>
  <si>
    <t>Reporting year</t>
  </si>
  <si>
    <t>2026 .. 2041</t>
  </si>
  <si>
    <t>Yr</t>
  </si>
  <si>
    <t>All Table-2 metrics are for this year; CPAT values are looked up live for it.</t>
  </si>
  <si>
    <t>Fund shadow price sigma ($/tCO2) for bundle 3C</t>
  </si>
  <si>
    <t>&gt;= 0</t>
  </si>
  <si>
    <t>SigmaEff</t>
  </si>
  <si>
    <t>Abatement-fund payments modelled as a shadow price added to the carbon price in the fuel-intensity and process-intensity responses (TechNote: fund enters the efficiency term only). 0 in PROTOTYPE mode.</t>
  </si>
  <si>
    <t>Process half-elasticity (beta) set</t>
  </si>
  <si>
    <t>IPCC_CENTRAL</t>
  </si>
  <si>
    <t>IPCC_CENTRAL, IPCC_2030, IPCC_LONGRUN, PROTOTYPE</t>
  </si>
  <si>
    <t>BetaSet</t>
  </si>
  <si>
    <t>beta_s = -LN(1-ER100_s)/100 from IPCC MACC bands (TASK-D drop-in). PROTOTYPE set forced in PROTOTYPE mode.</t>
  </si>
  <si>
    <t>Emission-factor set (fc, fp, np, no)</t>
  </si>
  <si>
    <t>EGY_EF_V01</t>
  </si>
  <si>
    <t>EGY_EF_V01, PROTOTYPE</t>
  </si>
  <si>
    <t>EFSet</t>
  </si>
  <si>
    <t>EGY_EF_V01 = Egypt CBAM EF v0.1 (EmissionFactors/EGY_CBAM_EF_v0.1.xlsx; urea CBAM rule np = 0; AN integrated HNO3 N2O in no). PROTOTYPE = kernel v0.11 EFs (Inputs E, columns R:U); forced in PROTOTYPE mode.</t>
  </si>
  <si>
    <t>CPAT scenario used to calibrate the fuel-intensity semi-elasticity b_f</t>
  </si>
  <si>
    <t>EG1</t>
  </si>
  <si>
    <t>EG1, EG2, EG3</t>
  </si>
  <si>
    <t>BfScen</t>
  </si>
  <si>
    <t>b_f = s_int * LN(ind.2/ind.1) / price (section B). EG1 is the economy-wide $20 run.</t>
  </si>
  <si>
    <t>OBR rebate (3B) also for non-CBAM priced industry? (0 = CBAM producers only)</t>
  </si>
  <si>
    <t>0, 1</t>
  </si>
  <si>
    <t>ThetaOther</t>
  </si>
  <si>
    <t>Default 1 from v0.5 (decision 2026-10-04); forced 0 in PROTOTYPE mode. Original 3B text says 'free allocation for CBAM producers'. 0 keeps revenue from non-CBAM industry (3B raises revenue); 1 rebates all covered industry (output channel removed everywhere, revenue ~0).</t>
  </si>
  <si>
    <t>Non-CBAM IPPU response to a fuel-only price</t>
  </si>
  <si>
    <t>NONE</t>
  </si>
  <si>
    <t>NONE, CPAT</t>
  </si>
  <si>
    <t>IppuOther</t>
  </si>
  <si>
    <t>CPAT scales all IPPU with industrial energy CO2 (MajorIssues #17). NONE removes it (process emissions respond only where priced or via output); CPAT keeps CPAT's scaling for the non-CBAM IPPU remainder.</t>
  </si>
  <si>
    <t>Coverage factor kappa / EG3 full-coverage approximation</t>
  </si>
  <si>
    <t>SCALE</t>
  </si>
  <si>
    <t>SCALE, AUTO, ONE</t>
  </si>
  <si>
    <t>KappaMode</t>
  </si>
  <si>
    <t>SCALE (default): approximation of a full-coverage EG3 run (pending a CPAT re-run), scaling EG3 industry energy responses and fuel receipts by 1/kappa while coverage J uses kappa = 1. AUTO: expose CPAT's partial coverage. ONE: assume CPAT was already full coverage without scaling.</t>
  </si>
  <si>
    <t>B. Core parameters</t>
  </si>
  <si>
    <t>Parameter</t>
  </si>
  <si>
    <t>Unit</t>
  </si>
  <si>
    <t>Effective / derived (named)</t>
  </si>
  <si>
    <t>Source / notes</t>
  </si>
  <si>
    <t>Own-price elasticity of industrial output demand (eps_U)</t>
  </si>
  <si>
    <t>-</t>
  </si>
  <si>
    <t>EpsU</t>
  </si>
  <si>
    <t>TechNote App. A (CPAT industry fuel-demand split).</t>
  </si>
  <si>
    <t>Price elasticity of fuel intensity (eps_F)</t>
  </si>
  <si>
    <t>EpsF</t>
  </si>
  <si>
    <t>TechNote App. A.</t>
  </si>
  <si>
    <t>Intensity share of the CPAT industrial fuel response s_int</t>
  </si>
  <si>
    <t>(derived)</t>
  </si>
  <si>
    <t>SInt</t>
  </si>
  <si>
    <t>TechNote App. A: eps_F(1+eps_U)/(eps_U+eps_F(1+eps_U)); = 1/3 at -0.5/-0.5 (the '(2/3)/0.5' of K11 is the output share divided by |eps|). Output share = 1 - s_int.</t>
  </si>
  <si>
    <t>CBAM-product output response to cost pass-through (eps, prototype)</t>
  </si>
  <si>
    <t>EpsQ</t>
  </si>
  <si>
    <t>Prototype v0.11 Manual inputs. Q = Q_base * (1 + dp)^eps with dp = net carbon cost / product price.</t>
  </si>
  <si>
    <t>Output response eps, DRI-EAF steel</t>
  </si>
  <si>
    <t>EpsQ1</t>
  </si>
  <si>
    <t>OutputElasticity_Note_v0.1 (PROTOTYPE mode: uniform EpsQ = -0.5).</t>
  </si>
  <si>
    <t>Output response eps, Scrap-EAF steel</t>
  </si>
  <si>
    <t>EpsQ2</t>
  </si>
  <si>
    <t>Output response eps, BF-BOF steel</t>
  </si>
  <si>
    <t>EpsQ3</t>
  </si>
  <si>
    <t>Output response eps, Clinker (cement)</t>
  </si>
  <si>
    <t>EpsQ4</t>
  </si>
  <si>
    <t>Output response eps, Ammonia</t>
  </si>
  <si>
    <t>EpsQ5</t>
  </si>
  <si>
    <t>Output response eps, Urea</t>
  </si>
  <si>
    <t>EpsQ6</t>
  </si>
  <si>
    <t>Output response eps, Ammonium nitrate</t>
  </si>
  <si>
    <t>EpsQ7</t>
  </si>
  <si>
    <t>Output response eps, Aluminium</t>
  </si>
  <si>
    <t>EpsQ8</t>
  </si>
  <si>
    <t>CBAM certificate price (EU ETS proxy)</t>
  </si>
  <si>
    <t>$/tCO2</t>
  </si>
  <si>
    <t>PEU</t>
  </si>
  <si>
    <t>Prototype v0.11 (T79).</t>
  </si>
  <si>
    <t>IPCC process semi-elasticity anchor price P* (USD2024/tCO2)</t>
  </si>
  <si>
    <t>PStar</t>
  </si>
  <si>
    <t>USD2019 100 deflated to USD2024 (US GDP deflator ≈ 1.22); Medium confidence. Used only for IPCC beta sets: beta = -LN(1-ER100)/P*. PROTOTYPE mode / BetaSet = PROTOTYPE keeps the old /100 divisor.</t>
  </si>
  <si>
    <t>Fuel-intensity semi-elasticity b_f (derived)</t>
  </si>
  <si>
    <t>1/($/tCO2)</t>
  </si>
  <si>
    <t>Bf</t>
  </si>
  <si>
    <t>Replaces the untraceable -0.549%/2 per $ of the original (AF7). Fuel intensity factor xf = EXP(b_f * (carbon price + fund shadow price)); EG1 gives -0.00250 (original -0.00274).</t>
  </si>
  <si>
    <t>CBAM phase-in factor in the reporting year (derived)</t>
  </si>
  <si>
    <t>CBFyr</t>
  </si>
  <si>
    <t>From section F (EU CBAM definitive-period phase-in: 2.5% 2026 .. 100% 2034).</t>
  </si>
  <si>
    <t>Phase-in factor applied to the obligation under the selected convention</t>
  </si>
  <si>
    <t>CBFsel</t>
  </si>
  <si>
    <t>NOPHASE -&gt; 1; FULL / SCALED -&gt; CBFyr.</t>
  </si>
  <si>
    <t>Scale applied to the carbon-price deduction under the selected convention</t>
  </si>
  <si>
    <t>Ssel</t>
  </si>
  <si>
    <t>SCALED -&gt; CBFyr; otherwise 1 (full deduction of the carbon price paid).</t>
  </si>
  <si>
    <t>Base year of the product activity data Q0</t>
  </si>
  <si>
    <t>year</t>
  </si>
  <si>
    <t>BaseYr</t>
  </si>
  <si>
    <t>Prototype v0.11 Manual inputs.</t>
  </si>
  <si>
    <t>C. CPAT values in the reporting year (live lookups into CPAT_Outputs; nothing typed)</t>
  </si>
  <si>
    <t>Quantity</t>
  </si>
  <si>
    <t>CPAT code</t>
  </si>
  <si>
    <t>EG2</t>
  </si>
  <si>
    <t>EG3</t>
  </si>
  <si>
    <t>EG4</t>
  </si>
  <si>
    <t>Total GHG incl. LULUCF - baseline</t>
  </si>
  <si>
    <t>egy.mit.ghg.tot.inc.1</t>
  </si>
  <si>
    <t>MtCO2e</t>
  </si>
  <si>
    <t>Total GHG incl. LULUCF - policy</t>
  </si>
  <si>
    <t>egy.mit.ghg.tot.inc.2</t>
  </si>
  <si>
    <t>IPPU GHG - baseline</t>
  </si>
  <si>
    <t>egy.mit.ghg.ipr.tot.1</t>
  </si>
  <si>
    <t>IPPU GHG - policy</t>
  </si>
  <si>
    <t>egy.mit.ghg.ipr.tot.2</t>
  </si>
  <si>
    <t>Energy CO2 - baseline</t>
  </si>
  <si>
    <t>egy.mit.co2.enr.tot.1</t>
  </si>
  <si>
    <t>MtCO2</t>
  </si>
  <si>
    <t>Energy CO2 - policy</t>
  </si>
  <si>
    <t>egy.mit.co2.enr.tot.2</t>
  </si>
  <si>
    <t>Industry energy CO2 - baseline</t>
  </si>
  <si>
    <t>egy.mit.co2.ind.1</t>
  </si>
  <si>
    <t>Industry energy CO2 - policy</t>
  </si>
  <si>
    <t>egy.mit.co2.ind.2</t>
  </si>
  <si>
    <t>Carbon price trajectory</t>
  </si>
  <si>
    <t>egy.mit.cptraj.2</t>
  </si>
  <si>
    <t>Effective (coverage-weighted) carbon price</t>
  </si>
  <si>
    <t>egy.mit.eff.cptraj.2</t>
  </si>
  <si>
    <t>Net new revenue - baseline</t>
  </si>
  <si>
    <t>egy.mit.rev.new.usd.1</t>
  </si>
  <si>
    <t>$bn</t>
  </si>
  <si>
    <t>Net new revenue - policy</t>
  </si>
  <si>
    <t>egy.mit.rev.new.usd.2</t>
  </si>
  <si>
    <t>Carbon-tax revenue: coal</t>
  </si>
  <si>
    <t>egy.mit.rev.new.coa.usd.2</t>
  </si>
  <si>
    <t>Carbon-tax revenue: diesel</t>
  </si>
  <si>
    <t>egy.mit.rev.new.die.usd.2</t>
  </si>
  <si>
    <t>Carbon-tax revenue: gasoline</t>
  </si>
  <si>
    <t>egy.mit.rev.new.gso.usd.2</t>
  </si>
  <si>
    <t>Carbon-tax revenue: LPG/kerosene</t>
  </si>
  <si>
    <t>egy.mit.rev.new.lpk.usd.2</t>
  </si>
  <si>
    <t>Carbon-tax revenue: natural gas</t>
  </si>
  <si>
    <t>egy.mit.rev.new.nga.usd.2</t>
  </si>
  <si>
    <t>Carbon-tax revenue: oil products</t>
  </si>
  <si>
    <t>egy.mit.rev.new.oil.usd.2</t>
  </si>
  <si>
    <t>Air-pollution deaths avoided, 25-64</t>
  </si>
  <si>
    <t>egy.air.ada.2464</t>
  </si>
  <si>
    <t>deaths</t>
  </si>
  <si>
    <t>Air-pollution deaths avoided, 65+</t>
  </si>
  <si>
    <t>egy.air.ada.65</t>
  </si>
  <si>
    <t>Air-pollution deaths avoided, under 24</t>
  </si>
  <si>
    <t>egy.air.ada.u24</t>
  </si>
  <si>
    <t>Air-pollution deaths - baseline total</t>
  </si>
  <si>
    <t>egy.air.mort</t>
  </si>
  <si>
    <t>Carbon-tax revenue, six fuels (derived)</t>
  </si>
  <si>
    <t>CV_revctax</t>
  </si>
  <si>
    <t>Gross carbon-tax receipts of the CPAT run (post-response). Replaces the original 'price x 2026 covered emissions' (V7).</t>
  </si>
  <si>
    <t>Air-pollution deaths avoided, all ages (derived)</t>
  </si>
  <si>
    <t>CV_deaths</t>
  </si>
  <si>
    <t>CPAT's own estimate for the scenario and year.</t>
  </si>
  <si>
    <t>Coverage factor kappa of the CPAT run (derived)</t>
  </si>
  <si>
    <t>CV_kappa</t>
  </si>
  <si>
    <t>Share of industrial energy CO2 actually priced in the CPAT run (eff.cptraj is coverage-weighted over energy CO2). SCALE keeps this raw kappa for 1/kappa adjustments; ONE forces 1.</t>
  </si>
  <si>
    <t>Delta total GHG, policy - baseline (derived)</t>
  </si>
  <si>
    <t>CV_dghg</t>
  </si>
  <si>
    <t>Single base: policy minus baseline in the reporting year.</t>
  </si>
  <si>
    <t>Delta IPPU GHG (derived)</t>
  </si>
  <si>
    <t>CV_dippu</t>
  </si>
  <si>
    <t>CPAT's IPPU response (scaled with industrial energy CO2; MajorIssues #17).</t>
  </si>
  <si>
    <t>Delta energy CO2 (derived)</t>
  </si>
  <si>
    <t>CV_denr</t>
  </si>
  <si>
    <t>Drives air-pollution deaths.</t>
  </si>
  <si>
    <t>Delta industry energy CO2 (derived)</t>
  </si>
  <si>
    <t>CV_dind</t>
  </si>
  <si>
    <t>Intensity share s_int, output share 1 - s_int (TechNote App. A).</t>
  </si>
  <si>
    <t>Delta net new revenue, policy - baseline (derived)</t>
  </si>
  <si>
    <t>CV_drev</t>
  </si>
  <si>
    <t>PolicyMatrix column AR (was 10.62 for 2A = EG2 value; MajorIssues #6).</t>
  </si>
  <si>
    <t>D. Policy bundles (scenario mapping and instrument settings)</t>
  </si>
  <si>
    <t>Bundle</t>
  </si>
  <si>
    <t>CPAT scenario</t>
  </si>
  <si>
    <t>Scope (ALL/IND)</t>
  </si>
  <si>
    <t>Process priced (1/0)</t>
  </si>
  <si>
    <t>theta: OBR rebate share</t>
  </si>
  <si>
    <t>phi: fund share of net revenue</t>
  </si>
  <si>
    <t>tau: carbon price in Yr ($/t)</t>
  </si>
  <si>
    <t>Recycling</t>
  </si>
  <si>
    <t>Trajectory</t>
  </si>
  <si>
    <t>1A</t>
  </si>
  <si>
    <t>ALL</t>
  </si>
  <si>
    <t>Public investment</t>
  </si>
  <si>
    <t>FLAT20</t>
  </si>
  <si>
    <t>Economy-wide fuel levy (EG1) + CBAM process emissions priced. Original used EG2 values (MajorIssues #3).</t>
  </si>
  <si>
    <t>2A</t>
  </si>
  <si>
    <t>Economy-wide fuel levy (EG1), process not priced.</t>
  </si>
  <si>
    <t>2B</t>
  </si>
  <si>
    <t>Households</t>
  </si>
  <si>
    <t>As 2A with household transfers (EG2).</t>
  </si>
  <si>
    <t>3A</t>
  </si>
  <si>
    <t>IND</t>
  </si>
  <si>
    <t>RAMP</t>
  </si>
  <si>
    <t>Industry-only price (EG3): industrial energy CO2 + CBAM process emissions.</t>
  </si>
  <si>
    <t>3B</t>
  </si>
  <si>
    <t>Firms (output)</t>
  </si>
  <si>
    <t>3A + output-based rebate for CBAM producers (theta = 1: benchmark = own baseline intensity). Built from EG3 with OBR logic; EG4 (feebate run) is unusable (MajorIssues #8).</t>
  </si>
  <si>
    <t>3C</t>
  </si>
  <si>
    <t>Firms (abatement)</t>
  </si>
  <si>
    <t>3A with net revenue paid into an abatement fund (phi = 1) acting as shadow price sigma (Inputs A).</t>
  </si>
  <si>
    <t>E. CBAM products (activity, trade, prices from prototype v0.11 Manual inputs; emission factors Egypt CBAM EF v0.1; process half-elasticity sets from TASK-D)</t>
  </si>
  <si>
    <t>Product</t>
  </si>
  <si>
    <t>Q0 output in BaseYr (kt)</t>
  </si>
  <si>
    <t>g: output growth /yr</t>
  </si>
  <si>
    <t>X: EU exports (kt)</t>
  </si>
  <si>
    <t>P: price ($/t)</t>
  </si>
  <si>
    <t>fc: fuel combustion (tCO2/t) EF v0.1</t>
  </si>
  <si>
    <t>fp: fuel-based process (tCO2/t) EF v0.1</t>
  </si>
  <si>
    <t>np: non-fuel process (tCO2/t) EF v0.1</t>
  </si>
  <si>
    <t>no: non-CO2 process (tCO2e/t) EF v0.1</t>
  </si>
  <si>
    <t>F = fc + fp (selected EF set)</t>
  </si>
  <si>
    <t>G = max(np,0) + max(no,0) (selected EF set)</t>
  </si>
  <si>
    <t>ER100: prototype</t>
  </si>
  <si>
    <t>ER100: IPCC central</t>
  </si>
  <si>
    <t>ER100: IPCC 2030 horizon</t>
  </si>
  <si>
    <t>ER100: IPCC long-run</t>
  </si>
  <si>
    <t>ER100: selected set</t>
  </si>
  <si>
    <t>beta = -LN(1-ER100)/100</t>
  </si>
  <si>
    <t>fc prototype v0.11</t>
  </si>
  <si>
    <t>fp prototype v0.11</t>
  </si>
  <si>
    <t>np prototype v0.11</t>
  </si>
  <si>
    <t>no prototype v0.11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</si>
  <si>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</si>
  <si>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</si>
  <si>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</si>
  <si>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</si>
  <si>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</si>
  <si>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</si>
  <si>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</si>
  <si>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</si>
  <si>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ER100 = emission-intensity reduction at $100/tCO2. Prototype values are the v0.11 placeholders; IPCC sets are the TASK-D drop-in (AR6 WGIII Ch.11 / IEA sectoral MACC bands); AN = N2O-weighted blend of the unabated (0.721) and abated (0.329) rows at the EF workbook's 50 % HNO3 N2O abatement share. EF v0.1 = EGY_CBAM_EF_v0.1.xlsx Products!D:G (CBAM conventions; urea np = 0 under the CBAM rule; AN 'no' = integrated HNO3 N2O, kernel convention). For IPCC sets beta = -LN(1-ER100)/PStar (PStar default 122 USD2024/t); the PROTOTYPE set keeps -LN(1-ER100)/100. Prototype v0.11 EFs (R:U, grey) are used when EFSet = PROTOTYPE (urea np -0.733 enters G as 0).</t>
  </si>
  <si>
    <t>F. Year vectors 2022-2041</t>
  </si>
  <si>
    <t>Vector</t>
  </si>
  <si>
    <t>CBAM phase-in factor CBF (EU definitive period)</t>
  </si>
  <si>
    <t>Price trajectory 1 'flat' ($20 from 2028; label check only)</t>
  </si>
  <si>
    <t>Price trajectory 2 'rising' = CPAT EG3 cptraj.2 (live)</t>
  </si>
  <si>
    <t>Memo: CPAT EG1 cptraj.2 (live; should equal trajectory 1)</t>
  </si>
  <si>
    <t>CPAT_Outputs - trimmed CPAT 'Outputs' sheet (Egypt, scenarios EG1..EG4, 2022-2041)</t>
  </si>
  <si>
    <t>Provenance: CPAT Outputs sheet read via Excel COM (cpat_outputs_egypt_2022_2041.csv in this folder). Values are static data; the rest of the workbook reads them via INDEX/MATCH on the key column C (= code|scenario) and the year header. Mt for emissions, $bn for revenues, $/tCO2 for prices, deaths for air pollution.</t>
  </si>
  <si>
    <t>Scenario</t>
  </si>
  <si>
    <t>Key (code|scenario)</t>
  </si>
  <si>
    <t>Label</t>
  </si>
  <si>
    <t>egy.mit.ghg.tot.inc.1|EG1</t>
  </si>
  <si>
    <t>Total GHG emissions, inc. LULUCF (baseline)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</si>
  <si>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</si>
  <si>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</si>
  <si>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</si>
  <si>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</si>
  <si>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</si>
  <si>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egy.mit.ghg.tot.inc.2|EG2</t>
  </si>
  <si>
    <t>egy.mit.ghg.tot.inc.2|EG3</t>
  </si>
  <si>
    <t>egy.mit.ghg.tot.inc.2|EG4</t>
  </si>
  <si>
    <t>egy.mit.ghg.ipr.tot.1|EG1</t>
  </si>
  <si>
    <t>Industrial processes GHG emissions (baseline)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</si>
  <si>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</si>
  <si>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</si>
  <si>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</si>
  <si>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</si>
  <si>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</si>
  <si>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egy.mit.ghg.ipr.tot.2|EG2</t>
  </si>
  <si>
    <t>egy.mit.ghg.ipr.tot.2|EG3</t>
  </si>
  <si>
    <t>egy.mit.ghg.ipr.tot.2|EG4</t>
  </si>
  <si>
    <t>egy.mit.co2.enr.tot.1|EG1</t>
  </si>
  <si>
    <t>Total energy related CO2 emissions (baseline)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</si>
  <si>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</si>
  <si>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</si>
  <si>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</si>
  <si>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</si>
  <si>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</si>
  <si>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</si>
  <si>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</si>
  <si>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</si>
  <si>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</si>
  <si>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</si>
  <si>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</si>
  <si>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</si>
  <si>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</si>
  <si>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</si>
  <si>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</si>
  <si>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egy.mit.co2.ind.2|EG2</t>
  </si>
  <si>
    <t>egy.mit.co2.ind.2|EG3</t>
  </si>
  <si>
    <t>egy.mit.co2.ind.2|EG4</t>
  </si>
  <si>
    <t>egy.mit.co2.tot.1</t>
  </si>
  <si>
    <t>egy.mit.co2.tot.1|EG1</t>
  </si>
  <si>
    <t>Carbon dioxide (CO2) - baseline</t>
  </si>
  <si>
    <t>egy.mit.co2.tot.1|EG2</t>
  </si>
  <si>
    <t>egy.mit.co2.tot.1|EG3</t>
  </si>
  <si>
    <t>egy.mit.co2.tot.1|EG4</t>
  </si>
  <si>
    <t>egy.mit.co2.tot.2</t>
  </si>
  <si>
    <t>egy.mit.co2.tot.2|EG1</t>
  </si>
  <si>
    <t>Carbon dioxide (CO2) - policy</t>
  </si>
  <si>
    <t>egy.mit.co2.tot.2|EG2</t>
  </si>
  <si>
    <t>egy.mit.co2.tot.2|EG3</t>
  </si>
  <si>
    <t>egy.mit.co2.tot.2|EG4</t>
  </si>
  <si>
    <t>egy.mit.co2.pow.1</t>
  </si>
  <si>
    <t>egy.mit.co2.pow.1|EG1</t>
  </si>
  <si>
    <t>Energy related CO2 emissions - Power sector (baseline)</t>
  </si>
  <si>
    <t>egy.mit.co2.pow.1|EG2</t>
  </si>
  <si>
    <t>egy.mit.co2.pow.1|EG3</t>
  </si>
  <si>
    <t>egy.mit.co2.pow.1|EG4</t>
  </si>
  <si>
    <t>egy.mit.co2.pow.2</t>
  </si>
  <si>
    <t>egy.mit.co2.pow.2|EG1</t>
  </si>
  <si>
    <t>Energy related CO2 emissions - Power sector (policy)</t>
  </si>
  <si>
    <t>egy.mit.co2.pow.2|EG2</t>
  </si>
  <si>
    <t>egy.mit.co2.pow.2|EG3</t>
  </si>
  <si>
    <t>egy.mit.co2.pow.2|EG4</t>
  </si>
  <si>
    <t>egy.mit.co2.tra.1</t>
  </si>
  <si>
    <t>egy.mit.co2.tra.1|EG1</t>
  </si>
  <si>
    <t>Energy related CO2 emissions - Transport (baseline)</t>
  </si>
  <si>
    <t>egy.mit.co2.tra.1|EG2</t>
  </si>
  <si>
    <t>egy.mit.co2.tra.1|EG3</t>
  </si>
  <si>
    <t>egy.mit.co2.tra.1|EG4</t>
  </si>
  <si>
    <t>egy.mit.co2.tra.2</t>
  </si>
  <si>
    <t>egy.mit.co2.tra.2|EG1</t>
  </si>
  <si>
    <t>Energy related CO2 emissions - Transport (policy)</t>
  </si>
  <si>
    <t>egy.mit.co2.tra.2|EG2</t>
  </si>
  <si>
    <t>egy.mit.co2.tra.2|EG3</t>
  </si>
  <si>
    <t>egy.mit.co2.tra.2|EG4</t>
  </si>
  <si>
    <t>egy.mit.co2.res.1</t>
  </si>
  <si>
    <t>egy.mit.co2.res.1|EG1</t>
  </si>
  <si>
    <t>Energy related CO2 emissions - Residential (baseline)</t>
  </si>
  <si>
    <t>egy.mit.co2.res.1|EG2</t>
  </si>
  <si>
    <t>egy.mit.co2.res.1|EG3</t>
  </si>
  <si>
    <t>egy.mit.co2.res.1|EG4</t>
  </si>
  <si>
    <t>egy.mit.co2.res.2</t>
  </si>
  <si>
    <t>egy.mit.co2.res.2|EG1</t>
  </si>
  <si>
    <t>Energy related CO2 emissions - Residential (policy)</t>
  </si>
  <si>
    <t>egy.mit.co2.res.2|EG2</t>
  </si>
  <si>
    <t>egy.mit.co2.res.2|EG3</t>
  </si>
  <si>
    <t>egy.mit.co2.res.2|EG4</t>
  </si>
  <si>
    <t>egy.mit.rev.new.usd.1|EG1</t>
  </si>
  <si>
    <t>Fiscal revenues by fuel, total, net of subsidies, baseline (real 2021 US$bn)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</si>
  <si>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</si>
  <si>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</si>
  <si>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</si>
  <si>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</si>
  <si>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</si>
  <si>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egy.mit.rev.new.usd.2|EG2</t>
  </si>
  <si>
    <t>egy.mit.rev.new.usd.2|EG3</t>
  </si>
  <si>
    <t>egy.mit.rev.new.usd.2|EG4</t>
  </si>
  <si>
    <t>egy.mit.rev.new.coa.usd.2|EG1</t>
  </si>
  <si>
    <t>Fiscal revenues, coal, policy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</si>
  <si>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</si>
  <si>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</si>
  <si>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</si>
  <si>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</si>
  <si>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</si>
  <si>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</si>
  <si>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</si>
  <si>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</si>
  <si>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</si>
  <si>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</si>
  <si>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</si>
  <si>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</si>
  <si>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</si>
  <si>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</si>
  <si>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</si>
  <si>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</si>
  <si>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</si>
  <si>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</si>
  <si>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</si>
  <si>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</si>
  <si>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</si>
  <si>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</si>
  <si>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</si>
  <si>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</si>
  <si>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</si>
  <si>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egy.mit.rev.new.oil.usd.2|EG2</t>
  </si>
  <si>
    <t>egy.mit.rev.new.oil.usd.2|EG3</t>
  </si>
  <si>
    <t>egy.mit.rev.new.oil.usd.2|EG4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</si>
  <si>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</si>
  <si>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</si>
  <si>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</si>
  <si>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</si>
  <si>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</si>
  <si>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</si>
  <si>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</si>
  <si>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egy.mit.eff.cptraj.2|EG2</t>
  </si>
  <si>
    <t>egy.mit.eff.cptraj.2|EG3</t>
  </si>
  <si>
    <t>egy.mit.eff.cptraj.2|EG4</t>
  </si>
  <si>
    <t>egy.air.ada.2464|EG1</t>
  </si>
  <si>
    <t>Averted deaths by age group: 25 to 64 years</t>
  </si>
  <si>
    <t>egy.air.ada.2464|EG2</t>
  </si>
  <si>
    <t>egy.air.ada.2464|EG3</t>
  </si>
  <si>
    <t>egy.air.ada.2464|EG4</t>
  </si>
  <si>
    <t>egy.air.ada.65|EG1</t>
  </si>
  <si>
    <t>Averted deaths by age group: 65+ years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</si>
  <si>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</si>
  <si>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</si>
  <si>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</si>
  <si>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</si>
  <si>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</si>
  <si>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egy.air.ada.u24|EG2</t>
  </si>
  <si>
    <t>egy.air.ada.u24|EG3</t>
  </si>
  <si>
    <t>egy.air.ada.u24|EG4</t>
  </si>
  <si>
    <t>egy.air.mort|EG1</t>
  </si>
  <si>
    <t>Baseline air pollution deaths</t>
  </si>
  <si>
    <t>egy.air.mort|EG2</t>
  </si>
  <si>
    <t>egy.air.mort|EG3</t>
  </si>
  <si>
    <t>egy.air.mort|EG4</t>
  </si>
  <si>
    <t>egy.mit.wel.air.pct</t>
  </si>
  <si>
    <t>egy.mit.wel.air.pct|EG1</t>
  </si>
  <si>
    <t>Air pollution co-benefits (% GDP)</t>
  </si>
  <si>
    <t>egy.mit.wel.air.pct|EG2</t>
  </si>
  <si>
    <t>egy.mit.wel.air.pct|EG3</t>
  </si>
  <si>
    <t>egy.mit.wel.air.pct|EG4</t>
  </si>
  <si>
    <t>egy.air.cad.net</t>
  </si>
  <si>
    <t>egy.air.cad.net|EG1</t>
  </si>
  <si>
    <t>Cumulative averted deaths - net</t>
  </si>
  <si>
    <t>egy.air.cad.net|EG2</t>
  </si>
  <si>
    <t>egy.air.cad.net|EG3</t>
  </si>
  <si>
    <t>egy.air.cad.net|EG4</t>
  </si>
  <si>
    <t>CBAM_Products - product-level engine, one block per bundle (eight CBAM goods)</t>
  </si>
  <si>
    <t>Each block: row 1 scalars (from Inputs), rows 2-9 products, row 10 totals. Units: Q kt, emissions MtCO2(e), revenues and rebates $m, prices $/t, obligations $/t of product. Formulas are the prototype's (cost pass-through dp -&gt; output Q = Qb(1+dp)^eps; process intensity via beta; CBAM obligation per tonne obl = MAX(0, CBF*P_EU*EI - S*MAX(0,d)) with d = carbon price paid net of rebate per tonne) plus the fuel-intensity factor xf (REBUILD only; = 1 in PROTOTYPE mode).</t>
  </si>
  <si>
    <t>Bundle 1A  -  Economy-wide fuel levy (EG1) + CBAM process emissions priced. Original used EG2 values (MajorIssues #3).</t>
  </si>
  <si>
    <t>tau: carbon price</t>
  </si>
  <si>
    <t>tau_p: process price</t>
  </si>
  <si>
    <t>obrrb: OBR rebate rate</t>
  </si>
  <si>
    <t>fundsp: fund shadow price</t>
  </si>
  <si>
    <t>incl_f</t>
  </si>
  <si>
    <t>incl_p</t>
  </si>
  <si>
    <t>xf: fuel-intensity factor</t>
  </si>
  <si>
    <t>CBF (selected conv.)</t>
  </si>
  <si>
    <t>P_EU</t>
  </si>
  <si>
    <t>S (selected conv.)</t>
  </si>
  <si>
    <t>CBF (FULL)</t>
  </si>
  <si>
    <t>CBF (NOPHASE)</t>
  </si>
  <si>
    <t>Year</t>
  </si>
  <si>
    <t>b_f</t>
  </si>
  <si>
    <t>beta set</t>
  </si>
  <si>
    <t>Q0 (kt)</t>
  </si>
  <si>
    <t>g</t>
  </si>
  <si>
    <t>X exports (kt)</t>
  </si>
  <si>
    <t>P ($/t)</t>
  </si>
  <si>
    <t>F (tCO2/t)</t>
  </si>
  <si>
    <t>G (tCO2e/t)</t>
  </si>
  <si>
    <t>beta</t>
  </si>
  <si>
    <t>Qb: baseline output</t>
  </si>
  <si>
    <t>kf: fuel cost $/t</t>
  </si>
  <si>
    <t>kp: process cost $/t</t>
  </si>
  <si>
    <t>m: rebate $/t</t>
  </si>
  <si>
    <t>dp: cost/price</t>
  </si>
  <si>
    <t>Q: output</t>
  </si>
  <si>
    <t>Ef: fuel emis.</t>
  </si>
  <si>
    <t>Ep: process emis.</t>
  </si>
  <si>
    <t>ER_f: fuel-int. resp.</t>
  </si>
  <si>
    <t>ER_p: process-int. resp.</t>
  </si>
  <si>
    <t>post fuel</t>
  </si>
  <si>
    <t>post process</t>
  </si>
  <si>
    <t>post total</t>
  </si>
  <si>
    <t>emrq_i: output ch.</t>
  </si>
  <si>
    <t>emrq_proc_i</t>
  </si>
  <si>
    <t>J_i: process&gt;0</t>
  </si>
  <si>
    <t>revf_i $m</t>
  </si>
  <si>
    <t>revp_i $m</t>
  </si>
  <si>
    <t>rev_i $m</t>
  </si>
  <si>
    <t>rebate_i $m</t>
  </si>
  <si>
    <t>EI: tCO2/t</t>
  </si>
  <si>
    <t>d: net price paid $/t</t>
  </si>
  <si>
    <t>obl (sel.) $/t</t>
  </si>
  <si>
    <t>obl (FULL) $/t</t>
  </si>
  <si>
    <t>obl (NOPHASE) $/t</t>
  </si>
  <si>
    <t>cbobl_i $m</t>
  </si>
  <si>
    <t>cbobl0_i $m</t>
  </si>
  <si>
    <t>w_den sel</t>
  </si>
  <si>
    <t>w_den FULL</t>
  </si>
  <si>
    <t>w_den NOPHASE</t>
  </si>
  <si>
    <t>w_num sel</t>
  </si>
  <si>
    <t>w_num FULL</t>
  </si>
  <si>
    <t>w_num NOPHASE</t>
  </si>
  <si>
    <t>X*post/Q</t>
  </si>
  <si>
    <t>X*(Ef+Ep)/Q</t>
  </si>
  <si>
    <t>X*covered/Q</t>
  </si>
  <si>
    <t>covered_i</t>
  </si>
  <si>
    <t>Ebase_i</t>
  </si>
  <si>
    <t>Efbase_i</t>
  </si>
  <si>
    <t>Epbase_i</t>
  </si>
  <si>
    <t>Total</t>
  </si>
  <si>
    <t>Bundle 2A  -  Economy-wide fuel levy (EG1), process not priced.</t>
  </si>
  <si>
    <t>Bundle 2B  -  As 2A with household transfers (EG2).</t>
  </si>
  <si>
    <t>Bundle 3A  -  Industry-only price (EG3): industrial energy CO2 + CBAM process emissions.</t>
  </si>
  <si>
    <t>Bundle 3B  -  3A + output-based rebate for CBAM producers (theta = 1: benchmark = own baseline intensity). Built from EG3 with OBR logic; EG4 (feebate run) is unusable (MajorIssues #8).</t>
  </si>
  <si>
    <t>Bundle 3C  -  3A with net revenue paid into an abatement fund (phi = 1) acting as shadow price sigma (Inputs A).</t>
  </si>
  <si>
    <t>Results - engine: block totals, block metrics, CPAT national quantities and metric composition</t>
  </si>
  <si>
    <t>Columns C..H = bundles. Keys (column B) are referenced by PolicyMatrix, Comparison and Checks via INDEX/MATCH. Block quantities come from CBAM_Products; national quantities from Inputs section C (CPAT). Mode / convention indicator: see row 3.</t>
  </si>
  <si>
    <t>Metric</t>
  </si>
  <si>
    <t>Key</t>
  </si>
  <si>
    <t>Definition / formula</t>
  </si>
  <si>
    <t>1. Bundle settings</t>
  </si>
  <si>
    <t>CPAT scenario used</t>
  </si>
  <si>
    <t>scen</t>
  </si>
  <si>
    <t>Inputs section D.</t>
  </si>
  <si>
    <t>Scope of the fuel levy</t>
  </si>
  <si>
    <t>scope</t>
  </si>
  <si>
    <t>ALL = economy-wide, IND = industry only.</t>
  </si>
  <si>
    <t>Process emissions priced (1/0)</t>
  </si>
  <si>
    <t>flag</t>
  </si>
  <si>
    <t>theta</t>
  </si>
  <si>
    <t>1 = output-based rebate at the firm's baseline intensity (3B).</t>
  </si>
  <si>
    <t>phi</t>
  </si>
  <si>
    <t>1 = all net revenue to the abatement fund (3C).</t>
  </si>
  <si>
    <t>tau: carbon price in the reporting year</t>
  </si>
  <si>
    <t>tau</t>
  </si>
  <si>
    <t>CPAT cptraj.2 of the scenario (block scalar B).</t>
  </si>
  <si>
    <t>tau_p: price on process emissions</t>
  </si>
  <si>
    <t>taup</t>
  </si>
  <si>
    <t>tau x process flag.</t>
  </si>
  <si>
    <t>OBR rebate rate</t>
  </si>
  <si>
    <t>obrrb</t>
  </si>
  <si>
    <t>theta x tau.</t>
  </si>
  <si>
    <t>Fund shadow price applied in the block</t>
  </si>
  <si>
    <t>fundsp</t>
  </si>
  <si>
    <t>phi x sigma (0 in PROTOTYPE mode).</t>
  </si>
  <si>
    <t>xf</t>
  </si>
  <si>
    <t>EXP(b_f (tau + fundsp)); 1 in PROTOTYPE mode.</t>
  </si>
  <si>
    <t>2. CBAM block totals (eight products; Mt CO2e, $m)</t>
  </si>
  <si>
    <t>E_base: block emissions at baseline output and intensity</t>
  </si>
  <si>
    <t>Ebase</t>
  </si>
  <si>
    <t>Mt</t>
  </si>
  <si>
    <t>Sum Qb (F+G)/1000; 62.424 in 2030 with EF v0.1 (prototype EFs: 61.157).</t>
  </si>
  <si>
    <t>E_base fuel part</t>
  </si>
  <si>
    <t>Efbase</t>
  </si>
  <si>
    <t>Sum Qb F/1000.</t>
  </si>
  <si>
    <t>E_base process part</t>
  </si>
  <si>
    <t>Epbase</t>
  </si>
  <si>
    <t>Sum Qb G/1000.</t>
  </si>
  <si>
    <t>Baseline output</t>
  </si>
  <si>
    <t>Qb</t>
  </si>
  <si>
    <t>kt</t>
  </si>
  <si>
    <t>Sum Q0 (1+g)^(Yr-BaseYr).</t>
  </si>
  <si>
    <t>Output after response</t>
  </si>
  <si>
    <t>Q</t>
  </si>
  <si>
    <t>Sum Qb (1+dp)^eps.</t>
  </si>
  <si>
    <t>Fuel emissions at post-response output, baseline intensity</t>
  </si>
  <si>
    <t>Ef</t>
  </si>
  <si>
    <t>Process emissions at post-response output, baseline intensity</t>
  </si>
  <si>
    <t>Ep</t>
  </si>
  <si>
    <t>ER_f: fuel-intensity response</t>
  </si>
  <si>
    <t>ERf</t>
  </si>
  <si>
    <t>Ef (xf - 1); 0 in PROTOTYPE mode.</t>
  </si>
  <si>
    <t>ER_p: process-intensity response</t>
  </si>
  <si>
    <t>ERp</t>
  </si>
  <si>
    <t>-Ep (1 - EXP(-beta (tau_p + fundsp))).</t>
  </si>
  <si>
    <t>Post-response fuel emissions</t>
  </si>
  <si>
    <t>emisf</t>
  </si>
  <si>
    <t>Ef + ER_f.</t>
  </si>
  <si>
    <t>Post-response process emissions</t>
  </si>
  <si>
    <t>emisp</t>
  </si>
  <si>
    <t>Ep + ER_p.</t>
  </si>
  <si>
    <t>Post-response block emissions</t>
  </si>
  <si>
    <t>emis</t>
  </si>
  <si>
    <t>emisf + emisp.</t>
  </si>
  <si>
    <t>emrq: output-channel reduction (fuel + process)</t>
  </si>
  <si>
    <t>emrq</t>
  </si>
  <si>
    <t>Sum (Ef+Ep)(1-(1+dp)^-eps) (negative = reduction).</t>
  </si>
  <si>
    <t>emrq (process part)</t>
  </si>
  <si>
    <t>emrq_proc</t>
  </si>
  <si>
    <t>Sum Ep (1-(1+dp)^-eps).</t>
  </si>
  <si>
    <t>Carbon revenue on fuel emissions</t>
  </si>
  <si>
    <t>revf</t>
  </si>
  <si>
    <t>$m</t>
  </si>
  <si>
    <t>(Ef+ER_f) tau.</t>
  </si>
  <si>
    <t>Carbon revenue on process emissions</t>
  </si>
  <si>
    <t>revp</t>
  </si>
  <si>
    <t>(Ep J + ER_p) tau_p.</t>
  </si>
  <si>
    <t>Block carbon revenue</t>
  </si>
  <si>
    <t>rev</t>
  </si>
  <si>
    <t>revf + revp.</t>
  </si>
  <si>
    <t>OBR rebate paid to block producers</t>
  </si>
  <si>
    <t>rebate</t>
  </si>
  <si>
    <t>Sum m Q/1000.</t>
  </si>
  <si>
    <t>CBAM obligation on EU exports (selected convention)</t>
  </si>
  <si>
    <t>cbobl</t>
  </si>
  <si>
    <t>Sum X Q/Q0 obl/1000.</t>
  </si>
  <si>
    <t>CBAM obligation with no domestic policy</t>
  </si>
  <si>
    <t>cbobl0</t>
  </si>
  <si>
    <t>Sum X (1+g)^t CBF P_EU (F+G)/1000.</t>
  </si>
  <si>
    <t>Block emissions covered by the carbon price</t>
  </si>
  <si>
    <t>covered</t>
  </si>
  <si>
    <t>Fuel if incl_f, process if incl_p and G&gt;0.</t>
  </si>
  <si>
    <t>emr: intensity-channel reduction (fuel + process)</t>
  </si>
  <si>
    <t>emr</t>
  </si>
  <si>
    <t>ER_f + ER_p.</t>
  </si>
  <si>
    <t>emrt: total block reduction (output + intensity)</t>
  </si>
  <si>
    <t>emrt</t>
  </si>
  <si>
    <t>emrq + emr.</t>
  </si>
  <si>
    <t>3. CBAM block metrics (prototype v0.11 definitions)</t>
  </si>
  <si>
    <t>cbcov: CBAM coverage (share of block emissions priced)</t>
  </si>
  <si>
    <t>cbcov</t>
  </si>
  <si>
    <t>PolicyMatrix M.</t>
  </si>
  <si>
    <t>cbcovx: coverage, export-weighted</t>
  </si>
  <si>
    <t>cbcovx</t>
  </si>
  <si>
    <t>Memo.</t>
  </si>
  <si>
    <t>cbintch: emissions-intensity change of the block</t>
  </si>
  <si>
    <t>cbintch</t>
  </si>
  <si>
    <t>PolicyMatrix N.</t>
  </si>
  <si>
    <t>cbintchx: intensity change, export-weighted</t>
  </si>
  <si>
    <t>cbintchx</t>
  </si>
  <si>
    <t>PolicyMatrix AN.</t>
  </si>
  <si>
    <t>cbqch: output-channel reduction / E_base</t>
  </si>
  <si>
    <t>cbqch</t>
  </si>
  <si>
    <t>PolicyMatrix U (industrial output change).</t>
  </si>
  <si>
    <t>emrt / E_base: total block emissions change</t>
  </si>
  <si>
    <t>emrt_pct</t>
  </si>
  <si>
    <t>PolicyMatrix T.</t>
  </si>
  <si>
    <t>cbint: block emissions intensity after response</t>
  </si>
  <si>
    <t>cbint</t>
  </si>
  <si>
    <t>tCO2e/t</t>
  </si>
  <si>
    <t>cbobch: change in CBAM obligation (incl. export volume change)</t>
  </si>
  <si>
    <t>cbobch</t>
  </si>
  <si>
    <t>cbobchu: change in CBAM obligation per unit exported (selected convention)</t>
  </si>
  <si>
    <t>cbobchu</t>
  </si>
  <si>
    <t>PolicyMatrix O.</t>
  </si>
  <si>
    <t>cbobchu under FULL (2030 phase-in on obligation, full deduction)</t>
  </si>
  <si>
    <t>cbobchu_full</t>
  </si>
  <si>
    <t>PolicyMatrix AQ.</t>
  </si>
  <si>
    <t>cbobchu under NOPHASE (no phase-in)</t>
  </si>
  <si>
    <t>cbobchu_nophase</t>
  </si>
  <si>
    <t>4. CPAT national quantities for the bundle's scenario, reporting year (Inputs section C)</t>
  </si>
  <si>
    <t>ghg0</t>
  </si>
  <si>
    <t>CPAT code row 'CV_ghg0' for the bundle's scenario.</t>
  </si>
  <si>
    <t>ghg1</t>
  </si>
  <si>
    <t>CPAT code row 'CV_ghg1' for the bundle's scenario.</t>
  </si>
  <si>
    <t>ippu0</t>
  </si>
  <si>
    <t>CPAT code row 'CV_ippu0' for the bundle's scenario.</t>
  </si>
  <si>
    <t>ippu1</t>
  </si>
  <si>
    <t>CPAT code row 'CV_ippu1' for the bundle's scenario.</t>
  </si>
  <si>
    <t>enr0</t>
  </si>
  <si>
    <t>CPAT code row 'CV_enr0' for the bundle's scenario.</t>
  </si>
  <si>
    <t>enr1</t>
  </si>
  <si>
    <t>CPAT code row 'CV_enr1' for the bundle's scenario.</t>
  </si>
  <si>
    <t>ind0</t>
  </si>
  <si>
    <t>CPAT code row 'CV_ind0' for the bundle's scenario.</t>
  </si>
  <si>
    <t>ind1</t>
  </si>
  <si>
    <t>CPAT code row 'CV_ind1' for the bundle's scenario.</t>
  </si>
  <si>
    <t>Delta total GHG (CPAT)</t>
  </si>
  <si>
    <t>dghg</t>
  </si>
  <si>
    <t>CPAT code row 'CV_dghg' for the bundle's scenario.</t>
  </si>
  <si>
    <t>Delta IPPU (CPAT)</t>
  </si>
  <si>
    <t>dippu</t>
  </si>
  <si>
    <t>CPAT code row 'CV_dippu' for the bundle's scenario.</t>
  </si>
  <si>
    <t>Delta energy CO2 (CPAT)</t>
  </si>
  <si>
    <t>denr</t>
  </si>
  <si>
    <t>CPAT code row 'CV_denr' for the bundle's scenario.</t>
  </si>
  <si>
    <t>Delta industry energy CO2 (CPAT)</t>
  </si>
  <si>
    <t>dind</t>
  </si>
  <si>
    <t>CPAT code row 'CV_dind' for the bundle's scenario.</t>
  </si>
  <si>
    <t>kappa: coverage factor of the CPAT run</t>
  </si>
  <si>
    <t>kappa</t>
  </si>
  <si>
    <t>CPAT code row 'CV_kappa' for the bundle's scenario.</t>
  </si>
  <si>
    <t>Carbon-tax revenue, six fuels (CPAT)</t>
  </si>
  <si>
    <t>revctax</t>
  </si>
  <si>
    <t>CPAT code row 'CV_revctax' for the bundle's scenario.</t>
  </si>
  <si>
    <t>Air-pollution deaths avoided (CPAT)</t>
  </si>
  <si>
    <t>CPAT code row 'CV_deaths' for the bundle's scenario.</t>
  </si>
  <si>
    <t>Baseline air-pollution deaths (CPAT)</t>
  </si>
  <si>
    <t>mort</t>
  </si>
  <si>
    <t>CPAT code row 'CV_mort' for the bundle's scenario.</t>
  </si>
  <si>
    <t>Delta net new revenue (CPAT)</t>
  </si>
  <si>
    <t>drev</t>
  </si>
  <si>
    <t>CPAT code row 'CV_drev' for the bundle's scenario.</t>
  </si>
  <si>
    <t>5. Composition of the Table-2 metrics (REBUILD method; PROTOTYPE mode changes only the block)</t>
  </si>
  <si>
    <t>SCALE active (1 = approximating full-coverage EG3)</t>
  </si>
  <si>
    <t>scale_active</t>
  </si>
  <si>
    <t>Only runs with kappa &lt; 1 are scaled; EG1/EG2 are numerically unchanged.</t>
  </si>
  <si>
    <t>Full-coverage scale factor for partial industry runs</t>
  </si>
  <si>
    <t>scale_fac</t>
  </si>
  <si>
    <t>SCALE approximation factor (1/kappa); 1 otherwise.</t>
  </si>
  <si>
    <t>Delta industry energy CO2 after SCALE adjustment</t>
  </si>
  <si>
    <t>dind_adj</t>
  </si>
  <si>
    <t>DeltaIndCO2_adj = DeltaIndCO2/kappa under SCALE.</t>
  </si>
  <si>
    <t>Delta energy CO2 after SCALE adjustment</t>
  </si>
  <si>
    <t>denr_adj</t>
  </si>
  <si>
    <t>DeltaEnergyCO2_adj = DeltaEnergyCO2 + (1/kappa - 1) DeltaIndCO2 under SCALE.</t>
  </si>
  <si>
    <t>Delta IPPU after SCALE adjustment</t>
  </si>
  <si>
    <t>dippu_adj</t>
  </si>
  <si>
    <t>DeltaIPPU_adj = DeltaIPPU/kappa under SCALE.</t>
  </si>
  <si>
    <t>Delta total GHG after SCALE adjustment</t>
  </si>
  <si>
    <t>dghg_adj</t>
  </si>
  <si>
    <t>DeltaGHG_adj = DeltaGHG + (1/kappa - 1)(DeltaIndCO2 + DeltaIPPU) under SCALE.</t>
  </si>
  <si>
    <t>Industry energy CO2 policy level after SCALE adjustment</t>
  </si>
  <si>
    <t>ind1_adj</t>
  </si>
  <si>
    <t>IndCO2_1_adj = IndCO2_0 + DeltaIndCO2_adj.</t>
  </si>
  <si>
    <t>Fuel emissions covered by the levy after SCALE adjustment</t>
  </si>
  <si>
    <t>Ef0_adj</t>
  </si>
  <si>
    <t>Coverage J uses kappa = 1 under SCALE; otherwise EnergyCO2 (ALL) or kappa x industry CO2 (IND).</t>
  </si>
  <si>
    <t>Carbon-tax revenue, six fuels after SCALE adjustment</t>
  </si>
  <si>
    <t>revctax_adj</t>
  </si>
  <si>
    <t>SCALE approximation: CPAT carbon-tax receipts on fuels are multiplied by 1/kappa.</t>
  </si>
  <si>
    <t>IPPU_other: response of non-CBAM IPPU</t>
  </si>
  <si>
    <t>ippu_other</t>
  </si>
  <si>
    <t>0 unless IppuOther = CPAT (then CPAT's scaling of the non-block IPPU remainder is kept).</t>
  </si>
  <si>
    <t>w: block share of the priced industrial fuel CO2</t>
  </si>
  <si>
    <t>w</t>
  </si>
  <si>
    <t>Weight of the OBR output-channel correction; under SCALE, w = E_f^base / IndCO2_0.</t>
  </si>
  <si>
    <t>D_obr: output-channel reduction removed by the OBR</t>
  </si>
  <si>
    <t>D_obr</t>
  </si>
  <si>
    <t>OBR neutralises the output share (1 - s_int) of the adjusted industrial fuel response for rebated producers (positive = less reduction).</t>
  </si>
  <si>
    <t>F_fund: extra fuel-intensity reduction bought by the fund outside the block</t>
  </si>
  <si>
    <t>F_fund</t>
  </si>
  <si>
    <t>Adjusted IndCO2_1 (EXP(b_f sigma) - 1) under SCALE; otherwise kappa x IndCO2_1 as in v0.2. Block products already carry sigma through xf and beta.</t>
  </si>
  <si>
    <t>K: total emissions reduction</t>
  </si>
  <si>
    <t>K</t>
  </si>
  <si>
    <t>CPAT delta GHG minus CPAT's IPPU scaling, plus block process responses (intensity + output), OBR and fund terms. PolicyMatrix K.</t>
  </si>
  <si>
    <t>L: total reduction, % of baseline total GHG</t>
  </si>
  <si>
    <t>L</t>
  </si>
  <si>
    <t>Single 2030 base (CPAT baseline incl. LULUCF). PolicyMatrix L.</t>
  </si>
  <si>
    <t>Fuel emissions covered by the levy</t>
  </si>
  <si>
    <t>Ef0</t>
  </si>
  <si>
    <t>Energy CO2 (ALL), kappa x industry energy CO2 (IND/AUTO), or full industry CO2 under SCALE.</t>
  </si>
  <si>
    <t>J: emissions coverage, % of total GHG</t>
  </si>
  <si>
    <t>J</t>
  </si>
  <si>
    <t>Covered fuel CO2 plus priced block process emissions over baseline total GHG. PolicyMatrix J.</t>
  </si>
  <si>
    <t>J as intended (kappa = 1: all industry priced)</t>
  </si>
  <si>
    <t>J_int</t>
  </si>
  <si>
    <t>Memo: coverage if the industry run had priced all industrial energy CO2.</t>
  </si>
  <si>
    <t>M: CBAM coverage</t>
  </si>
  <si>
    <t>M</t>
  </si>
  <si>
    <t>N: CBAM emissions-intensity reduction</t>
  </si>
  <si>
    <t>N</t>
  </si>
  <si>
    <t>O: CBAM obligations reduced per unit exported (selected convention)</t>
  </si>
  <si>
    <t>O</t>
  </si>
  <si>
    <t>O under FULL convention</t>
  </si>
  <si>
    <t>O_full</t>
  </si>
  <si>
    <t>O under NOPHASE convention</t>
  </si>
  <si>
    <t>O_nophase</t>
  </si>
  <si>
    <t>Gross carbon revenue</t>
  </si>
  <si>
    <t>P_gross</t>
  </si>
  <si>
    <t>CPAT carbon-tax receipts on fuels (scaled by 1/kappa under SCALE) + block process revenue. PolicyMatrix V / AO.</t>
  </si>
  <si>
    <t>OBR rebate to non-CBAM priced industry</t>
  </si>
  <si>
    <t>rebate_other</t>
  </si>
  <si>
    <t>Only if ThetaOther = 1.</t>
  </si>
  <si>
    <t>Total OBR rebates</t>
  </si>
  <si>
    <t>rebate_bn</t>
  </si>
  <si>
    <t>PolicyMatrix AP.</t>
  </si>
  <si>
    <t>P: carbon revenues raised (net of rebates and fund)</t>
  </si>
  <si>
    <t>P_net</t>
  </si>
  <si>
    <t>PolicyMatrix P.</t>
  </si>
  <si>
    <t>Fund budget (3C)</t>
  </si>
  <si>
    <t>fund_budget</t>
  </si>
  <si>
    <t>phi x net revenue.</t>
  </si>
  <si>
    <t>Fund outlay upper bound (3C)</t>
  </si>
  <si>
    <t>fund_outlay</t>
  </si>
  <si>
    <t>sigma x all intensity abatement (upper bound: pays sigma per tonne for all of it).</t>
  </si>
  <si>
    <t>Q: air-pollution deaths avoided</t>
  </si>
  <si>
    <t>Q_deaths</t>
  </si>
  <si>
    <t>CPAT deaths for the scenario, scaled by DeltaEnergyCO2_adj / DeltaEnergyCO2 under SCALE, then by OBR / fund energy-CO2 corrections. PolicyMatrix Q.</t>
  </si>
  <si>
    <t>R: % of total air-pollution deaths</t>
  </si>
  <si>
    <t>R</t>
  </si>
  <si>
    <t>PolicyMatrix R.</t>
  </si>
  <si>
    <t>T: industrial (block) emissions change</t>
  </si>
  <si>
    <t>T</t>
  </si>
  <si>
    <t>U: industrial (block) output change</t>
  </si>
  <si>
    <t>U</t>
  </si>
  <si>
    <t>PolicyMatrix U.</t>
  </si>
  <si>
    <t>AR: total change in net revenues (CPAT, less rebates / fund)</t>
  </si>
  <si>
    <t>AR</t>
  </si>
  <si>
    <t>CPAT delta net new revenue of the scenario minus the part returned as OBR rebates or paid into the fund. PolicyMatrix AR.</t>
  </si>
  <si>
    <t>Total covered emissions (fuel + priced process)</t>
  </si>
  <si>
    <t>AB_cov</t>
  </si>
  <si>
    <t>PolicyMatrix AB.</t>
  </si>
  <si>
    <t>Total covered CBAM emissions (pre-response)</t>
  </si>
  <si>
    <t>AE_cov</t>
  </si>
  <si>
    <t>PolicyMatrix AE.</t>
  </si>
  <si>
    <t>K decomposition check (should be 0)</t>
  </si>
  <si>
    <t>K_check</t>
  </si>
  <si>
    <t>PolicyMatrix AM.</t>
  </si>
  <si>
    <t>Egypt - Policy Options Matrix (rebuild v0.5 of AdHocCalculations.xlsb)</t>
  </si>
  <si>
    <t>Notes:</t>
  </si>
  <si>
    <t>Built 2026-10-04</t>
  </si>
  <si>
    <t>* relies on CPAT modeling (where feasible)</t>
  </si>
  <si>
    <t>** may require different modeling or assumptions to estimate sector-specific emission intensity reductions</t>
  </si>
  <si>
    <t>(+) CPAT assumptions</t>
  </si>
  <si>
    <t>Calculations (+)</t>
  </si>
  <si>
    <t>Other/Don't Trust (+)</t>
  </si>
  <si>
    <t>Code</t>
  </si>
  <si>
    <t>CPAT Scenario code</t>
  </si>
  <si>
    <t>Policy Bundle</t>
  </si>
  <si>
    <t>Examples of jurisdictions with experience</t>
  </si>
  <si>
    <t>Rationale</t>
  </si>
  <si>
    <t>Implementation in CPAT</t>
  </si>
  <si>
    <t>Scenario assumptions ($20 in 2030 for all)</t>
  </si>
  <si>
    <t>Carbon price in 2030</t>
  </si>
  <si>
    <t>Revenue recycling option</t>
  </si>
  <si>
    <t>Emissions coverage (% of total GHG)</t>
  </si>
  <si>
    <t>Estimated total emissions reductions (MtCO2)</t>
  </si>
  <si>
    <t>Estimated total emissions reductions  (% of baseline)</t>
  </si>
  <si>
    <t>CBAM coverage (% of CBAM sector emissions)</t>
  </si>
  <si>
    <t>Emissions intensity reduction, CBAM (% of baseline)</t>
  </si>
  <si>
    <t>CBAM obligations reduced**</t>
  </si>
  <si>
    <t>Carbon revenues raised ($bn)</t>
  </si>
  <si>
    <t>Air pollution deaths avoided</t>
  </si>
  <si>
    <t>% of total air pollution deaths</t>
  </si>
  <si>
    <t>Industrial Emissions Change</t>
  </si>
  <si>
    <t>Industrial Output Change</t>
  </si>
  <si>
    <t>Carbon Revenues</t>
  </si>
  <si>
    <t>Price</t>
  </si>
  <si>
    <t>Total Emissions (all GHG)</t>
  </si>
  <si>
    <t>Industrial CO2 Emissions</t>
  </si>
  <si>
    <t>CBAM Energy related</t>
  </si>
  <si>
    <t>CBAM process emissions</t>
  </si>
  <si>
    <t>Total Covered Emissions</t>
  </si>
  <si>
    <t>% coverage</t>
  </si>
  <si>
    <t>Total CBAM emissions</t>
  </si>
  <si>
    <t>Total Covered CBAM Emissions</t>
  </si>
  <si>
    <t>CPAT: change in total GHG, adjusted (Mt)</t>
  </si>
  <si>
    <t>less CPAT IPPU scaling, adjusted (Mt)</t>
  </si>
  <si>
    <t>Non-CBAM IPPU response (Mt)</t>
  </si>
  <si>
    <t>CBAM process intensity response (Mt)</t>
  </si>
  <si>
    <t>CBAM process output response (Mt)</t>
  </si>
  <si>
    <t>OBR output-channel correction (Mt)</t>
  </si>
  <si>
    <t>Fund extra fuel-intensity reduction (Mt)</t>
  </si>
  <si>
    <t>K decomposition check (=0)</t>
  </si>
  <si>
    <t>Intensity change, export-weighted</t>
  </si>
  <si>
    <t>Gross carbon revenue ($bn)</t>
  </si>
  <si>
    <t>OBR rebates ($bn)</t>
  </si>
  <si>
    <t>CBAM obligations reduced, FULL phase-in</t>
  </si>
  <si>
    <t>Total change in revenues (CPAT)</t>
  </si>
  <si>
    <t>National emissions covered by carbon pricing (IEA)</t>
  </si>
  <si>
    <t>Cobenefits (% of GDP)</t>
  </si>
  <si>
    <t>Fuel subsidy expenditures saved</t>
  </si>
  <si>
    <t>Policy Bundle Options - Carbon Pricing (modelled)</t>
  </si>
  <si>
    <t>Replaced by CPAT data</t>
  </si>
  <si>
    <t>Don't trust</t>
  </si>
  <si>
    <t>Carbon levy on all  fossil fuel consumption (upstream carbon price) + Upstream emissions in CBAM sectors only + recycling to public investment</t>
  </si>
  <si>
    <t>South Africa ($18), Washington State ($65)</t>
  </si>
  <si>
    <t>•  Economy-wide carbon price covering most GHG sectors 
•  Generates CBAM-deductible "carbon price effectively paid"
• Captures fuel-related and process emissions</t>
  </si>
  <si>
    <t>Energy CO2 only all sectors + CBAM process emissisons ONLY (close to 2B)</t>
  </si>
  <si>
    <t>$20 flat from 2028 (CPAT EG1 trajectory)</t>
  </si>
  <si>
    <t>Carbon levy on all fossil fuel consumption (upstream carbon price) 
+ recycling to public investment</t>
  </si>
  <si>
    <t>Canada (prior to 2025), Mexico ($4), Colombia ($8)</t>
  </si>
  <si>
    <t>•  Applied at point of fuel entry into the economy at low administrative cost by relying on an existing excise tax administration system 
• Can start gradually by recalculating existing excise duty rates on carbon content
•  Broad coverage across all fuel-consuming sectors but can miss process emissions
•  Generates measurable, verifiable carbon price for CBAM credit claims, but requires further estimates of emissions covered</t>
  </si>
  <si>
    <t>Energy CO2 only all sectors; revenues for public investment</t>
  </si>
  <si>
    <t>$20 flat from 2027</t>
  </si>
  <si>
    <t>70-85% (IEA)</t>
  </si>
  <si>
    <t>Carbon levy on all  fossil fuel consumption (upstream carbon price) 
+ recycling to households</t>
  </si>
  <si>
    <t>Energy CO2 only all sectors: revenues per capita transfers</t>
  </si>
  <si>
    <t>Downstream carbon price on heavy industry 
+ recycling to households</t>
  </si>
  <si>
    <t>Chile ($35 by 2030)</t>
  </si>
  <si>
    <t>• Can be implemented with carbon levy or cap-and-trade system
• Generates easily measured carbon price for reducing CBAM obligations
• Raises revenues that can be recycled to address distributional concerns or public priorities</t>
  </si>
  <si>
    <t>Energy CO2 only for ALL industry plus all process emisssions CBAM sectors</t>
  </si>
  <si>
    <t>Phased-in price from $5 to $50 in 2034 ($20 in 2030)</t>
  </si>
  <si>
    <t>23% (IEA)</t>
  </si>
  <si>
    <t>Downstream carbon price on heavy industry +
free allocation for CBAM producers (output-based)</t>
  </si>
  <si>
    <t>China, India, Türkiye, Canadian provinces </t>
  </si>
  <si>
    <t xml:space="preserve">•  OBR / free allocation protects firm competitiveness by reducing net carbon costs
• Can be implemented with tradable performance standard, baseline and credit system, cap-and-trade with output-based allocation, or feebate
•  Maintains carbon price incentive at the margin 
•  Rebate limits the CBAM deduction </t>
  </si>
  <si>
    <t>Downstream carbon price on heavy industry +
rebate for industrial abatement</t>
  </si>
  <si>
    <t>Alberta TIER</t>
  </si>
  <si>
    <t>•  same as 3A, with revenues supporting additional emission reductions
•  Rebates do not reduce CBAM deduction</t>
  </si>
  <si>
    <t>Policy Bundle Options - Carbon Pricing (non-modelled)</t>
  </si>
  <si>
    <t>3D</t>
  </si>
  <si>
    <t>Downstream carbon price on heavy industry with domestic offsets ($5) allowed up to 50%</t>
  </si>
  <si>
    <t>Colombia, Chile</t>
  </si>
  <si>
    <t>•  similar to 3D, but credits offset emissions, so project-based reductions are not additional
•  Lower price of credits reduces effective carbon price for CBAM</t>
  </si>
  <si>
    <t>Firms (domestic production)</t>
  </si>
  <si>
    <t>less than 3A due to lower effective price and offset additionality</t>
  </si>
  <si>
    <t>50% x price x industrial emissions</t>
  </si>
  <si>
    <t>3E</t>
  </si>
  <si>
    <t>Downstream carbon price on heavy industry + 
OBR for CBAM producers +
carbon credit purchases on EU exports</t>
  </si>
  <si>
    <t>(academic proposal)</t>
  </si>
  <si>
    <t>•  ETS targeted to producers, protects firm competitiveness, CBAM compliant 
•  OBR rebates offset by carbon credit purchases on EU-bound exports, restoring full domestic carbon price signal 
•  Firms selling domestically retain competitive protection; EU exporters get full CBAM credit</t>
  </si>
  <si>
    <t>more than 3B due to offset outcomes</t>
  </si>
  <si>
    <t>CBAM embedded emission reductions + carbon price paid</t>
  </si>
  <si>
    <t>4A</t>
  </si>
  <si>
    <t>Voluntary export contribution to decarbonization fund</t>
  </si>
  <si>
    <t>(government proposal)</t>
  </si>
  <si>
    <t xml:space="preserve">•  Contributions presented as evidence of carbon cost "effectively paid" 
•  CBAM rules require a legally enforceable obligation — voluntary schemes face significant eligibility risk 
•  May serve as transitional or complementary measure </t>
  </si>
  <si>
    <t>$100 (presumed CBAM certificate price)</t>
  </si>
  <si>
    <t>Decarbonization fund</t>
  </si>
  <si>
    <t>0% (same as no policy but revenues redirected)</t>
  </si>
  <si>
    <t>only from expenditures</t>
  </si>
  <si>
    <t>most likely only from resulting reductions</t>
  </si>
  <si>
    <t>4B</t>
  </si>
  <si>
    <t>Voluntary purchase of domestic A6 credits</t>
  </si>
  <si>
    <t>(none)</t>
  </si>
  <si>
    <t>•  Allows domestic firms to purchase and retire certified emission reduction credits (e.g., under Article 6.4 PACM or authorized A6.2 ITMOs) as evidence of a carbon cost effectively paid 
•  CBAM eligibility unlikely outside of a domestic compliance system
•  Most viable as a complementary or transitional instrument alongside a formal carbon price</t>
  </si>
  <si>
    <t>$30 A6 credit price</t>
  </si>
  <si>
    <t>A6 projects</t>
  </si>
  <si>
    <t>only from offset outcomes and requires NDC credibility</t>
  </si>
  <si>
    <t>Policy Bundle Options - Non-Carbon Pricing (reduce certificate quantity only)</t>
  </si>
  <si>
    <t>Clean power expansion</t>
  </si>
  <si>
    <t>•  Reduces indirect (Scope 2) emissions embedded in electricity-intensive CBAM exports (aluminum, fertilizers) 
•  Lowers CBAM liability for fertilizers and cement
•  Supports NDC targets and long-term competitiveness</t>
  </si>
  <si>
    <t>Reduces scope 2 emissions for fertilizers and cement</t>
  </si>
  <si>
    <t>negative, if electricity prices below cost recovery</t>
  </si>
  <si>
    <t>Emissions performance or efficiency standards for CBAM sectors</t>
  </si>
  <si>
    <t>EU BAT benchmarks; US Clean Air Act</t>
  </si>
  <si>
    <t>•  Mandates emissions intensity limits for cement, steel, aluminum, fertilizer producers 
•  Directly reduces CBAM exposure by narrowing gap to EU benchmark
•  Does not generate a CBAM-deductible credit but reduces certificates needed</t>
  </si>
  <si>
    <t xml:space="preserve">CBAM embedded emission reductions </t>
  </si>
  <si>
    <t>Green electricity procurement / renewable energy mandates for industry</t>
  </si>
  <si>
    <t>EU Renewable Energy Directive; Morocco industrial RE zones</t>
  </si>
  <si>
    <t>•  Mandates or incentivizes CBAM-covered producers to source certified renewable electricity 
•  Reduces Scope 2 emissions embedded in exports, lowering obligations for fertilizers and cement 
•  Leverages Egypt's significant solar and wind potential</t>
  </si>
  <si>
    <t>Concessional finance / green industrial policy for decarbonization</t>
  </si>
  <si>
    <t>EU Innovation Fund; World Bank climate finance instruments</t>
  </si>
  <si>
    <t>•  Subsidized financing for decarbonization investment in CBAM-covered sectors 
•  Reduces emissions intensity without an explicit carbon price 
•  Can be paired with any of the above pricing instruments</t>
  </si>
  <si>
    <t>Rows 7-12 are live (Results sheet). Rows 14-22 are copied verbatim from the original (non-modelled bundles, not recomputed, grey). Columns AF-AQ are redefined (yellow headers) - see ReadMe.</t>
  </si>
  <si>
    <t>Standard Price Trajectories ($/tCO2) and CBAM phase-in (live from Inputs)</t>
  </si>
  <si>
    <t>Price Trajectory 1 (flat; 1A, 2A, 2B = CPAT EG1/EG2)</t>
  </si>
  <si>
    <t>Price Trajectory 2 (rising; 3A, 3B, 3C = CPAT EG3 cptraj.2)</t>
  </si>
  <si>
    <t>CBAM phase-in factor (EU definitive period)</t>
  </si>
  <si>
    <t>Comparison - original PolicyMatrix (static), results-note Table 2 (static), rebuilt (live), prototype v0.11 (static)</t>
  </si>
  <si>
    <t>Static columns were transcribed from AdHocCalculations.xlsb (2030 values) and the results note; prototype columns from CPAT_Industry_Kernel_Egypt_v0.11.xlsx run per bundle and convention (prototype_v0_11_results.json). Section 2 is the PROTOTYPE-mode verification: with Mode = PROTOTYPE every row must PASS.</t>
  </si>
  <si>
    <t>1. Table-2 metrics by bundle: original | Table 2 | rebuilt (live, selected Mode/Conv) | prototype FULL | prototype NOPHASE</t>
  </si>
  <si>
    <t>Original (2030)</t>
  </si>
  <si>
    <t>Table 2</t>
  </si>
  <si>
    <t>Rebuilt (live)</t>
  </si>
  <si>
    <t>Proto FULL</t>
  </si>
  <si>
    <t>Proto NOPHASE</t>
  </si>
  <si>
    <t>Rebuilt - Original</t>
  </si>
  <si>
    <t>Rebuilt - Proto(sel)</t>
  </si>
  <si>
    <t>Comment</t>
  </si>
  <si>
    <t>J: emissions coverage (% total GHG)</t>
  </si>
  <si>
    <t>K: total emissions reduction (Mt)</t>
  </si>
  <si>
    <t>L: reduction, % of baseline GHG</t>
  </si>
  <si>
    <t>N: CBAM intensity reduction</t>
  </si>
  <si>
    <t>O: CBAM obligations reduced per unit</t>
  </si>
  <si>
    <t>P: carbon revenues raised ($bn)</t>
  </si>
  <si>
    <t>Q: deaths avoided</t>
  </si>
  <si>
    <t>R: % of air-pollution deaths</t>
  </si>
  <si>
    <t>T: industrial emissions change</t>
  </si>
  <si>
    <t>U: industrial output change</t>
  </si>
  <si>
    <t>AR: change in net revenues ($bn)</t>
  </si>
  <si>
    <t>n/a</t>
  </si>
  <si>
    <t>2. PROTOTYPE-mode verification: CBAM block metrics (live) vs prototype v0.11 for the selected convention</t>
  </si>
  <si>
    <t>Metric (prototype name)</t>
  </si>
  <si>
    <t>Live (Results)</t>
  </si>
  <si>
    <t>Proto (sel. conv.)</t>
  </si>
  <si>
    <t>Live - Proto(sel)</t>
  </si>
  <si>
    <t>Check</t>
  </si>
  <si>
    <t>Definition</t>
  </si>
  <si>
    <t>CBAM coverage</t>
  </si>
  <si>
    <t>Intensity change</t>
  </si>
  <si>
    <t>Coverage, export-weighted</t>
  </si>
  <si>
    <t>Output-channel reduction / E_base</t>
  </si>
  <si>
    <t>Output-channel reduction (Mt)</t>
  </si>
  <si>
    <t>Total block reduction (Mt)</t>
  </si>
  <si>
    <t>Post-response block emissions (Mt)</t>
  </si>
  <si>
    <t>emrp</t>
  </si>
  <si>
    <t>Process intensity response (Mt)</t>
  </si>
  <si>
    <t>emrf</t>
  </si>
  <si>
    <t>Fuel intensity response (Mt)</t>
  </si>
  <si>
    <t>Intensity-channel reduction (Mt)</t>
  </si>
  <si>
    <t>Fuel carbon revenue ($m)</t>
  </si>
  <si>
    <t>Process carbon revenue ($m)</t>
  </si>
  <si>
    <t>Block carbon revenue ($m)</t>
  </si>
  <si>
    <t>CBAM obligation ($m)</t>
  </si>
  <si>
    <t>CBAM obligation, no policy ($m)</t>
  </si>
  <si>
    <t>Change in CBAM obligation</t>
  </si>
  <si>
    <t>Change in CBAM obligation per unit</t>
  </si>
  <si>
    <t>Block intensity (t/t)</t>
  </si>
  <si>
    <t>Post-response fuel emissions (Mt)</t>
  </si>
  <si>
    <t>Post-response process emissions (Mt)</t>
  </si>
  <si>
    <t>PROTOTYPE-mode checks passed / failed</t>
  </si>
  <si>
    <t>Issues resolved - the 19 items of MajorIssues.docx mapped to the rebuild</t>
  </si>
  <si>
    <t>#</t>
  </si>
  <si>
    <t>Issue (MajorIssues.docx)</t>
  </si>
  <si>
    <t>Root cause in AdHocCalculations.xlsb</t>
  </si>
  <si>
    <t>Resolution in the rebuild</t>
  </si>
  <si>
    <t>Where</t>
  </si>
  <si>
    <t>Status</t>
  </si>
  <si>
    <t>Residual / flag for review</t>
  </si>
  <si>
    <t>GHG-tab percentage denominators (division by 2022 values gives e.g. 107%).</t>
  </si>
  <si>
    <t>GHG tab divided 2030 policy values by 2022 baseline values.</t>
  </si>
  <si>
    <t>All percentages use the CPAT baseline of the reporting year (Inputs section C, Yr). GHG tab not rebuilt (unused by Table 2).</t>
  </si>
  <si>
    <t>Inputs C; Results L, R</t>
  </si>
  <si>
    <t>Resolved</t>
  </si>
  <si>
    <t>GHG tab omitted; nothing in Table 2 depended on it.</t>
  </si>
  <si>
    <t>3B deaths avoided (345) stale / unexplained.</t>
  </si>
  <si>
    <t>Hard-typed number from an earlier run, not linked to any scenario.</t>
  </si>
  <si>
    <t>Q = CPAT deaths of the bundle's scenario (EG3 for 3B), rescaled by the change in energy CO2 after the OBR correction.</t>
  </si>
  <si>
    <t>Results Q_deaths</t>
  </si>
  <si>
    <t>Rescaling is proportional (approximation) - see methodology note.</t>
  </si>
  <si>
    <t>1A built on EG2 (two-sector CPAT run) instead of EG1 (all-fuel run).</t>
  </si>
  <si>
    <t>Row 7 referenced row 9 values (Q7 = Q9 x K7/K9 etc.).</t>
  </si>
  <si>
    <t>Bundle table maps 1A -&gt; EG1 explicitly; every 1A quantity reads EG1 columns.</t>
  </si>
  <si>
    <t>Inputs D; Results scen</t>
  </si>
  <si>
    <t>Mixed base years (2026 in some cells, 2030 in others).</t>
  </si>
  <si>
    <t>Hand-copied values from different CPAT columns.</t>
  </si>
  <si>
    <t>One reporting year switch (Yr) drives every CPAT lookup; price trajectories read the same year.</t>
  </si>
  <si>
    <t>Inputs A (Yr)</t>
  </si>
  <si>
    <t>Price start '2027' in the text vs 2028 in CPAT.</t>
  </si>
  <si>
    <t>Typed label.</t>
  </si>
  <si>
    <t>G7 label corrected; trajectories rows 27-28 are live from the CPAT cptraj vector (first non-zero year 2028).</t>
  </si>
  <si>
    <t>PolicyMatrix G7, rows 26-29</t>
  </si>
  <si>
    <t>AR = 10.62 (EG2 value) used for 2A although 2A is EG1 (10.43).</t>
  </si>
  <si>
    <t>Row-7/8 cells copied from row 9.</t>
  </si>
  <si>
    <t>AR = CPAT delta net revenue of the bundle's own scenario, less rebates / fund.</t>
  </si>
  <si>
    <t>Results AR</t>
  </si>
  <si>
    <t>Definition broadened (net of OBR / fund); original AR was gross.</t>
  </si>
  <si>
    <t>Inputs tab misaligned (columns I-N drift from ~row 110).</t>
  </si>
  <si>
    <t>Pasted blocks of different length.</t>
  </si>
  <si>
    <t>CPAT data are a single keyed table (code|scenario) read by INDEX/MATCH; no positional pasting.</t>
  </si>
  <si>
    <t>CPAT_Outputs; Inputs C</t>
  </si>
  <si>
    <t>EG4 misconfigured (feebate off; near-zero effect).</t>
  </si>
  <si>
    <t>CPAT scenario set-up.</t>
  </si>
  <si>
    <t>EG4 is not used by any bundle (kept in CPAT_Outputs as memo only).</t>
  </si>
  <si>
    <t>Inputs D</t>
  </si>
  <si>
    <t>Resolved (by exclusion)</t>
  </si>
  <si>
    <t>Re-run EG4 in CPAT if a feebate bundle is wanted.</t>
  </si>
  <si>
    <t>3B: table says -18.1 Mt, text says 13.6.</t>
  </si>
  <si>
    <t>Two unreconciled calculations.</t>
  </si>
  <si>
    <t>Single K for every bundle, decomposed in AF-AM; 3B = EG3 with the OBR output-channel correction D_obr.</t>
  </si>
  <si>
    <t>Results K, D_obr; PolicyMatrix AF-AM</t>
  </si>
  <si>
    <t>3B K is now smaller in magnitude than 3A (OBR removes the output channel).</t>
  </si>
  <si>
    <t>3A revenue 1.1 / 2.4 / 0.9 $bn inconsistent (1.1 = 20 x 53.6).</t>
  </si>
  <si>
    <t>Three different revenue concepts in different places.</t>
  </si>
  <si>
    <t>P = CPAT carbon-tax receipts on fuels (post-response) + block process revenue (post-response), net of rebates / fund; gross shown in AO.</t>
  </si>
  <si>
    <t>Results P_gross, P_net</t>
  </si>
  <si>
    <t>3A ~1.5 $bn (0.93 fuels + 0.62 process).</t>
  </si>
  <si>
    <t>Three different percentage denominators (249 / 488.7 / 594 Mt).</t>
  </si>
  <si>
    <t>Mixed sector totals and years.</t>
  </si>
  <si>
    <t>One denominator: CPAT total GHG incl. LULUCF, baseline, reporting year (X column).</t>
  </si>
  <si>
    <t>Results ghg0, L, J</t>
  </si>
  <si>
    <t>Coverage 72% / 65% typed; the sheet's own columns imply 59% / 53%.</t>
  </si>
  <si>
    <t>Typed values.</t>
  </si>
  <si>
    <t>J computed: covered fuel CO2 (economy-wide energy CO2 for ALL; kappa x industry energy CO2 for IND) + priced block process emissions, over total GHG.</t>
  </si>
  <si>
    <t>Results J, J_int, kappa</t>
  </si>
  <si>
    <t>Industry bundles: kappa(EG3) = 0.54 (only part of industry priced in the CPAT run) - J_int shows the intended coverage.</t>
  </si>
  <si>
    <t>'All industry' in 3A but only part of industrial energy CO2 is priced in EG3 (14% reduction vs 2A's).</t>
  </si>
  <si>
    <t>CPAT EG3 run priced a subset of industrial fuel use.</t>
  </si>
  <si>
    <t>kappa = eff.cptraj / cptraj x enr0/ind0 (capped at 1) makes the partial coverage explicit; J_int memo shows the intended full-industry coverage.</t>
  </si>
  <si>
    <t>Inputs C (CV_kappa), KappaMode</t>
  </si>
  <si>
    <t>Flagged</t>
  </si>
  <si>
    <t>v0.5 default KappaMode=SCALE approximates full coverage; recommend re-running EG3 with all industrial fuels priced, then set KappaMode = ONE or retire SCALE.</t>
  </si>
  <si>
    <t>-0.549%/$ half-elasticity untraceable.</t>
  </si>
  <si>
    <t>Legacy constant.</t>
  </si>
  <si>
    <t>Replaced by process half-elasticities beta = -LN(1-ER100)/100 from the IPCC-based set (BetaSet switch; PROTOTYPE set available).</t>
  </si>
  <si>
    <t>Inputs E (PT_ER, PT_Beta)</t>
  </si>
  <si>
    <t>beta set choice is a judgement (TASK-D).</t>
  </si>
  <si>
    <t>K11 = -13.592 x (2/3)/0.5 untraceable.</t>
  </si>
  <si>
    <t>3B K built from CPAT EG3 with the OBR correction D_obr = -(1-s_int) w dInd; s_int from the elasticities on Inputs.</t>
  </si>
  <si>
    <t>Results D_obr, SInt</t>
  </si>
  <si>
    <t>CBAM base 53.6 Mt untraceable.</t>
  </si>
  <si>
    <t>E_base = sum over eight products of Qb (F+G)/1000 from the product table (62.424 Mt in 2030 with Egypt CBAM EF v0.1; 61.157 Mt with the prototype EFs, EFSet = PROTOTYPE).</t>
  </si>
  <si>
    <t>Inputs E; Results Ebase</t>
  </si>
  <si>
    <t>Process emissions double-counted (CPAT scales IPPU with industrial energy CO2).</t>
  </si>
  <si>
    <t>CPAT delta GHG already contains an IPPU response proportional to the fuel response.</t>
  </si>
  <si>
    <t>K removes CPAT's IPPU change (AG) and adds the block's explicit process responses (AI intensity via beta, AJ output channel); non-block IPPU set to 0 unless IppuOther = CPAT.</t>
  </si>
  <si>
    <t>Results K; PolicyMatrix AF-AM</t>
  </si>
  <si>
    <t>Non-block IPPU (~43% of IPPU) assumed unresponsive by default.</t>
  </si>
  <si>
    <t>Output change for 1A/2A/2B set equal to 3B's -8.3%.</t>
  </si>
  <si>
    <t>Cross-row reference U = $U$11.</t>
  </si>
  <si>
    <t>U = cbqch of the bundle's own block (output channel), T = emrt / E_base.</t>
  </si>
  <si>
    <t>Results U, T</t>
  </si>
  <si>
    <t>Deaths scaled by process CO2 (no air-quality effect).</t>
  </si>
  <si>
    <t>Scaling by total K.</t>
  </si>
  <si>
    <t>Deaths rescaled by the change in energy CO2 only ((dEnr + D_obr + F_fund)/dEnr); process emissions excluded.</t>
  </si>
  <si>
    <t>Checks - all PASS expected (PROTOTYPE verification is n/a in REBUILD mode)</t>
  </si>
  <si>
    <t>Value</t>
  </si>
  <si>
    <t>Result</t>
  </si>
  <si>
    <t>Mode switch valid (REBUILD / PROTOTYPE)</t>
  </si>
  <si>
    <t>CBAM convention valid (FULL / NOPHASE / SCALED)</t>
  </si>
  <si>
    <t>Reporting year present in CPAT_Outputs</t>
  </si>
  <si>
    <t>No errors in Inputs section C (CPAT values)</t>
  </si>
  <si>
    <t>No errors in Results</t>
  </si>
  <si>
    <t>No errors in CBAM_Products</t>
  </si>
  <si>
    <t>No errors in PolicyMatrix rows 7-12</t>
  </si>
  <si>
    <t>E_base (2030) = prototype 61.1572316750106 Mt when Yr = 2030 and EFSet = PROTOTYPE</t>
  </si>
  <si>
    <t>PolicyMatrix K equals Results K for all six bundles</t>
  </si>
  <si>
    <t>K decomposition closes (sum of AF..AL = K) for all bundles</t>
  </si>
  <si>
    <t>Coverage J within [0,1]</t>
  </si>
  <si>
    <t>CBAM coverage M within [0,1]</t>
  </si>
  <si>
    <t>Intensity change N &lt;= 0 and output change U &lt;= 0 for all bundles</t>
  </si>
  <si>
    <t>Total reduction K &lt;= 0 for all bundles</t>
  </si>
  <si>
    <t>PROTOTYPE mode: all Comparison section-2 rows PASS (0 FAIL)</t>
  </si>
  <si>
    <t>3C fund outlay upper bound &lt;= fund budget</t>
  </si>
  <si>
    <t>Net revenue P &gt;= 0 for all bundles</t>
  </si>
  <si>
    <t>Flat trajectory (Yr) equals CPAT EG1 cptraj.2 (Yr)</t>
  </si>
  <si>
    <t>Block process + fuel baseline emissions below CPAT IPPU / industry energy CO2 (EG1 2030)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</si>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</sst>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0"/>
    <numFmt numFmtId="165" formatCode="#,##0.000"/>
    <numFmt numFmtId="166" formatCode="0.0%"/>
    <numFmt numFmtId="167" formatCode="0.0000"/>
    <numFmt numFmtId="168" formatCode="0.000"/>
    <numFmt numFmtId="169" formatCode="0.0"/>
    <numFmt numFmtId="170" formatCode="#,##0.0000"/>
    <numFmt numFmtId="171" formatCode="#,##0.0"/>
    <numFmt numFmtId="172" formatCode="0.000000"/>
    <numFmt numFmtId="173" formatCode="_(* #,##0_);_(* \(#,##0\);_(* &quot;-&quot;??_);_(@_)"/>
    <numFmt numFmtId="174" formatCode="\$#,##0_);[Red]\(\$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78F0"/>
      <name val="Arial"/>
    </font>
    <font>
      <sz val="10"/>
      <color rgb="FFBFBFB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DBED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2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/>
    <xf numFmtId="3" fontId="4" fillId="8" borderId="1" xfId="0" applyNumberFormat="1" applyFont="1" applyFill="1" applyBorder="1"/>
    <xf numFmtId="166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167" fontId="4" fillId="0" borderId="1" xfId="0" applyNumberFormat="1" applyFont="1" applyBorder="1"/>
    <xf numFmtId="10" fontId="4" fillId="8" borderId="1" xfId="0" applyNumberFormat="1" applyFont="1" applyFill="1" applyBorder="1"/>
    <xf numFmtId="10" fontId="4" fillId="6" borderId="1" xfId="0" applyNumberFormat="1" applyFont="1" applyFill="1" applyBorder="1"/>
    <xf numFmtId="164" fontId="4" fillId="6" borderId="1" xfId="0" applyNumberFormat="1" applyFont="1" applyFill="1" applyBorder="1"/>
    <xf numFmtId="167" fontId="4" fillId="4" borderId="1" xfId="0" applyNumberFormat="1" applyFont="1" applyFill="1" applyBorder="1"/>
    <xf numFmtId="169" fontId="4" fillId="8" borderId="1" xfId="0" applyNumberFormat="1" applyFont="1" applyFill="1" applyBorder="1"/>
    <xf numFmtId="169" fontId="4" fillId="0" borderId="1" xfId="0" applyNumberFormat="1" applyFont="1" applyBorder="1"/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70" fontId="4" fillId="7" borderId="1" xfId="0" applyNumberFormat="1" applyFont="1" applyFill="1" applyBorder="1"/>
    <xf numFmtId="170" fontId="4" fillId="0" borderId="1" xfId="0" applyNumberFormat="1" applyFont="1" applyBorder="1"/>
    <xf numFmtId="0" fontId="3" fillId="4" borderId="1" xfId="0" applyFont="1" applyFill="1" applyBorder="1"/>
    <xf numFmtId="170" fontId="3" fillId="4" borderId="1" xfId="0" applyNumberFormat="1" applyFont="1" applyFill="1" applyBorder="1"/>
    <xf numFmtId="0" fontId="3" fillId="6" borderId="0" xfId="0" applyFont="1" applyFill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72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9" borderId="0" xfId="0" applyFont="1" applyFill="1" applyAlignment="1">
      <alignment vertical="top" wrapText="1"/>
    </xf>
    <xf numFmtId="9" fontId="7" fillId="9" borderId="0" xfId="0" applyNumberFormat="1" applyFont="1" applyFill="1" applyAlignment="1">
      <alignment vertical="top" wrapText="1"/>
    </xf>
    <xf numFmtId="169" fontId="7" fillId="9" borderId="0" xfId="0" applyNumberFormat="1" applyFont="1" applyFill="1" applyAlignment="1">
      <alignment vertical="top" wrapText="1"/>
    </xf>
    <xf numFmtId="173" fontId="7" fillId="9" borderId="0" xfId="0" applyNumberFormat="1" applyFont="1" applyFill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43" fontId="4" fillId="0" borderId="0" xfId="0" applyNumberFormat="1" applyFont="1" applyAlignment="1">
      <alignment vertical="top" wrapText="1"/>
    </xf>
    <xf numFmtId="2" fontId="4" fillId="6" borderId="0" xfId="0" applyNumberFormat="1" applyFont="1" applyFill="1" applyAlignment="1">
      <alignment vertical="top" wrapText="1"/>
    </xf>
    <xf numFmtId="172" fontId="4" fillId="6" borderId="0" xfId="0" applyNumberFormat="1" applyFont="1" applyFill="1" applyAlignment="1">
      <alignment vertical="top" wrapText="1"/>
    </xf>
    <xf numFmtId="166" fontId="4" fillId="6" borderId="0" xfId="0" applyNumberFormat="1" applyFont="1" applyFill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9" fontId="5" fillId="4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9" fontId="5" fillId="4" borderId="0" xfId="0" applyNumberFormat="1" applyFont="1" applyFill="1" applyAlignment="1">
      <alignment vertical="top" wrapText="1"/>
    </xf>
    <xf numFmtId="43" fontId="5" fillId="4" borderId="0" xfId="0" applyNumberFormat="1" applyFont="1" applyFill="1" applyAlignment="1">
      <alignment vertical="top"/>
    </xf>
    <xf numFmtId="0" fontId="6" fillId="0" borderId="0" xfId="0" applyFont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0" fontId="4" fillId="4" borderId="1" xfId="0" applyFont="1" applyFill="1" applyBorder="1"/>
    <xf numFmtId="2" fontId="4" fillId="0" borderId="1" xfId="0" applyNumberFormat="1" applyFont="1" applyBorder="1"/>
    <xf numFmtId="2" fontId="4" fillId="8" borderId="1" xfId="0" applyNumberFormat="1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72" fontId="4" fillId="8" borderId="1" xfId="0" applyNumberFormat="1" applyFont="1" applyFill="1" applyBorder="1"/>
    <xf numFmtId="172" fontId="4" fillId="0" borderId="1" xfId="0" applyNumberFormat="1" applyFont="1" applyBorder="1"/>
    <xf numFmtId="1" fontId="4" fillId="8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6" borderId="0" xfId="0" applyFont="1" applyFill="1"/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20" customWidth="1"/>
  </cols>
  <sheetData>
    <row r="1" spans="1:2" ht="22.05" customHeight="1" x14ac:dyDescent="0.45">
      <c r="A1" s="90" t="s">
        <v>0</v>
      </c>
      <c r="B1" s="91"/>
    </row>
    <row r="3" spans="1:2" ht="45" customHeight="1" x14ac:dyDescent="0.45">
      <c r="A3" s="1" t="s">
        <v>1</v>
      </c>
      <c r="B3" s="2" t="s">
        <v>2</v>
      </c>
    </row>
    <row r="4" spans="1:2" ht="45" customHeight="1" x14ac:dyDescent="0.45">
      <c r="A4" s="1" t="s">
        <v>3</v>
      </c>
      <c r="B4" s="2" t="s">
        <v>4</v>
      </c>
    </row>
    <row r="5" spans="1:2" ht="60" customHeight="1" x14ac:dyDescent="0.45">
      <c r="A5" s="1" t="s">
        <v>5</v>
      </c>
      <c r="B5" s="2" t="s">
        <v>6</v>
      </c>
    </row>
    <row r="6" spans="1:2" ht="105" customHeight="1" x14ac:dyDescent="0.45">
      <c r="A6" s="1" t="s">
        <v>7</v>
      </c>
      <c r="B6" s="2" t="s">
        <v>8</v>
      </c>
    </row>
    <row r="7" spans="1:2" ht="75" customHeight="1" x14ac:dyDescent="0.45">
      <c r="A7" s="1" t="s">
        <v>9</v>
      </c>
      <c r="B7" s="2" t="s">
        <v>10</v>
      </c>
    </row>
    <row r="8" spans="1:2" ht="45" customHeight="1" x14ac:dyDescent="0.45">
      <c r="A8" s="1" t="s">
        <v>11</v>
      </c>
      <c r="B8" s="2" t="s">
        <v>12</v>
      </c>
    </row>
    <row r="9" spans="1:2" ht="75" customHeight="1" x14ac:dyDescent="0.45">
      <c r="A9" s="1" t="s">
        <v>13</v>
      </c>
      <c r="B9" s="2" t="s">
        <v>14</v>
      </c>
    </row>
    <row r="10" spans="1:2" ht="30" customHeight="1" x14ac:dyDescent="0.45">
      <c r="A10" s="1" t="s">
        <v>15</v>
      </c>
      <c r="B10" s="2" t="s">
        <v>16</v>
      </c>
    </row>
    <row r="11" spans="1:2" ht="60" customHeight="1" x14ac:dyDescent="0.45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6" customWidth="1"/>
    <col min="2" max="2" width="14" customWidth="1"/>
    <col min="3" max="3" width="15" customWidth="1"/>
    <col min="4" max="5" width="14" customWidth="1"/>
    <col min="6" max="8" width="13" customWidth="1"/>
    <col min="9" max="17" width="12" customWidth="1"/>
    <col min="18" max="21" width="10" customWidth="1"/>
  </cols>
  <sheetData>
    <row r="1" spans="1:21" ht="22.05" customHeight="1" x14ac:dyDescent="0.45">
      <c r="A1" s="90" t="s">
        <v>19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x14ac:dyDescent="0.45">
      <c r="A2" s="98" t="s">
        <v>20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4" spans="1:21" x14ac:dyDescent="0.45">
      <c r="A4" s="93" t="s">
        <v>21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1" ht="26.25" x14ac:dyDescent="0.4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4" t="s">
        <v>27</v>
      </c>
      <c r="G5" s="95"/>
      <c r="H5" s="95"/>
      <c r="I5" s="95"/>
      <c r="J5" s="95"/>
      <c r="K5" s="95"/>
      <c r="L5" s="95"/>
      <c r="M5" s="95"/>
      <c r="N5" s="95"/>
      <c r="O5" s="95"/>
      <c r="P5" s="96"/>
    </row>
    <row r="6" spans="1:21" ht="42" customHeight="1" x14ac:dyDescent="0.45">
      <c r="A6" s="5" t="s">
        <v>28</v>
      </c>
      <c r="B6" s="6" t="s">
        <v>29</v>
      </c>
      <c r="C6" s="2" t="s">
        <v>30</v>
      </c>
      <c r="D6" s="7" t="str">
        <f>UPPER(TRIM(B6))</f>
        <v>REBUILD</v>
      </c>
      <c r="E6" s="8" t="s">
        <v>31</v>
      </c>
      <c r="F6" s="92" t="s">
        <v>32</v>
      </c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21" ht="42" customHeight="1" x14ac:dyDescent="0.45">
      <c r="A7" s="5" t="s">
        <v>33</v>
      </c>
      <c r="B7" s="6" t="s">
        <v>34</v>
      </c>
      <c r="C7" s="2" t="s">
        <v>35</v>
      </c>
      <c r="D7" s="7" t="str">
        <f>UPPER(TRIM(B7))</f>
        <v>FULL</v>
      </c>
      <c r="E7" s="8" t="s">
        <v>36</v>
      </c>
      <c r="F7" s="92" t="s">
        <v>37</v>
      </c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1" ht="42" customHeight="1" x14ac:dyDescent="0.45">
      <c r="A8" s="5" t="s">
        <v>38</v>
      </c>
      <c r="B8" s="6">
        <v>2030</v>
      </c>
      <c r="C8" s="2" t="s">
        <v>39</v>
      </c>
      <c r="D8" s="7">
        <f>B8</f>
        <v>2030</v>
      </c>
      <c r="E8" s="8" t="s">
        <v>40</v>
      </c>
      <c r="F8" s="92" t="s">
        <v>41</v>
      </c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21" ht="42" customHeight="1" x14ac:dyDescent="0.45">
      <c r="A9" s="5" t="s">
        <v>42</v>
      </c>
      <c r="B9" s="6">
        <v>20</v>
      </c>
      <c r="C9" s="2" t="s">
        <v>43</v>
      </c>
      <c r="D9" s="7">
        <f>IF(Mode="PROTOTYPE",0,B9)</f>
        <v>20</v>
      </c>
      <c r="E9" s="8" t="s">
        <v>44</v>
      </c>
      <c r="F9" s="92" t="s">
        <v>45</v>
      </c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21" ht="42" customHeight="1" x14ac:dyDescent="0.45">
      <c r="A10" s="5" t="s">
        <v>46</v>
      </c>
      <c r="B10" s="6" t="s">
        <v>47</v>
      </c>
      <c r="C10" s="2" t="s">
        <v>48</v>
      </c>
      <c r="D10" s="7" t="str">
        <f>IF(Mode="PROTOTYPE","PROTOTYPE",UPPER(TRIM(B10)))</f>
        <v>IPCC_CENTRAL</v>
      </c>
      <c r="E10" s="8" t="s">
        <v>49</v>
      </c>
      <c r="F10" s="92" t="s">
        <v>50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21" ht="42" customHeight="1" x14ac:dyDescent="0.45">
      <c r="A11" s="5" t="s">
        <v>51</v>
      </c>
      <c r="B11" s="6" t="s">
        <v>52</v>
      </c>
      <c r="C11" s="2" t="s">
        <v>53</v>
      </c>
      <c r="D11" s="7" t="str">
        <f>IF(Mode="PROTOTYPE","PROTOTYPE",UPPER(TRIM(B11)))</f>
        <v>EGY_EF_V01</v>
      </c>
      <c r="E11" s="8" t="s">
        <v>54</v>
      </c>
      <c r="F11" s="92" t="s">
        <v>55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21" ht="42" customHeight="1" x14ac:dyDescent="0.45">
      <c r="A12" s="5" t="s">
        <v>56</v>
      </c>
      <c r="B12" s="6" t="s">
        <v>57</v>
      </c>
      <c r="C12" s="2" t="s">
        <v>58</v>
      </c>
      <c r="D12" s="7" t="str">
        <f>UPPER(TRIM(B12))</f>
        <v>EG1</v>
      </c>
      <c r="E12" s="8" t="s">
        <v>59</v>
      </c>
      <c r="F12" s="92" t="s">
        <v>60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21" ht="42" customHeight="1" x14ac:dyDescent="0.45">
      <c r="A13" s="5" t="s">
        <v>61</v>
      </c>
      <c r="B13" s="6">
        <v>1</v>
      </c>
      <c r="C13" s="2" t="s">
        <v>62</v>
      </c>
      <c r="D13" s="7">
        <f>IF(Mode="PROTOTYPE",0,B13)</f>
        <v>1</v>
      </c>
      <c r="E13" s="8" t="s">
        <v>63</v>
      </c>
      <c r="F13" s="92" t="s">
        <v>64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21" ht="42" customHeight="1" x14ac:dyDescent="0.45">
      <c r="A14" s="5" t="s">
        <v>65</v>
      </c>
      <c r="B14" s="6" t="s">
        <v>66</v>
      </c>
      <c r="C14" s="2" t="s">
        <v>67</v>
      </c>
      <c r="D14" s="7" t="str">
        <f>UPPER(TRIM(B14))</f>
        <v>NONE</v>
      </c>
      <c r="E14" s="8" t="s">
        <v>68</v>
      </c>
      <c r="F14" s="92" t="s">
        <v>69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21" ht="42" customHeight="1" x14ac:dyDescent="0.45">
      <c r="A15" s="5" t="s">
        <v>70</v>
      </c>
      <c r="B15" s="6" t="s">
        <v>71</v>
      </c>
      <c r="C15" s="2" t="s">
        <v>72</v>
      </c>
      <c r="D15" s="7" t="str">
        <f>UPPER(TRIM(B15))</f>
        <v>SCALE</v>
      </c>
      <c r="E15" s="8" t="s">
        <v>73</v>
      </c>
      <c r="F15" s="92" t="s">
        <v>74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7" spans="1:16" x14ac:dyDescent="0.45">
      <c r="A17" s="93" t="s">
        <v>75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39.4" x14ac:dyDescent="0.45">
      <c r="A18" s="4" t="s">
        <v>76</v>
      </c>
      <c r="B18" s="4" t="s">
        <v>23</v>
      </c>
      <c r="C18" s="4" t="s">
        <v>77</v>
      </c>
      <c r="D18" s="4" t="s">
        <v>78</v>
      </c>
      <c r="E18" s="4" t="s">
        <v>26</v>
      </c>
      <c r="F18" s="94" t="s">
        <v>79</v>
      </c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1:16" ht="30" customHeight="1" x14ac:dyDescent="0.45">
      <c r="A19" s="5" t="s">
        <v>80</v>
      </c>
      <c r="B19" s="9">
        <v>-0.5</v>
      </c>
      <c r="C19" s="10" t="s">
        <v>81</v>
      </c>
      <c r="D19" s="7">
        <f>B19</f>
        <v>-0.5</v>
      </c>
      <c r="E19" s="8" t="s">
        <v>82</v>
      </c>
      <c r="F19" s="92" t="s">
        <v>83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1:16" ht="30" customHeight="1" x14ac:dyDescent="0.45">
      <c r="A20" s="5" t="s">
        <v>84</v>
      </c>
      <c r="B20" s="9">
        <v>-0.5</v>
      </c>
      <c r="C20" s="10" t="s">
        <v>81</v>
      </c>
      <c r="D20" s="7">
        <f>B20</f>
        <v>-0.5</v>
      </c>
      <c r="E20" s="8" t="s">
        <v>85</v>
      </c>
      <c r="F20" s="92" t="s">
        <v>86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1:16" ht="30" customHeight="1" x14ac:dyDescent="0.45">
      <c r="A21" s="5" t="s">
        <v>87</v>
      </c>
      <c r="B21" s="11" t="s">
        <v>88</v>
      </c>
      <c r="C21" s="10" t="s">
        <v>81</v>
      </c>
      <c r="D21" s="7">
        <f>EpsF*(1+EpsU)/(EpsU+EpsF*(1+EpsU))</f>
        <v>0.33333333333333331</v>
      </c>
      <c r="E21" s="8" t="s">
        <v>89</v>
      </c>
      <c r="F21" s="92" t="s">
        <v>90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1:16" ht="30" customHeight="1" x14ac:dyDescent="0.45">
      <c r="A22" s="5" t="s">
        <v>91</v>
      </c>
      <c r="B22" s="9">
        <v>-0.5</v>
      </c>
      <c r="C22" s="10" t="s">
        <v>81</v>
      </c>
      <c r="D22" s="7">
        <f>B22</f>
        <v>-0.5</v>
      </c>
      <c r="E22" s="8" t="s">
        <v>92</v>
      </c>
      <c r="F22" s="92" t="s">
        <v>93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1:16" ht="30" customHeight="1" x14ac:dyDescent="0.45">
      <c r="A23" s="5" t="s">
        <v>94</v>
      </c>
      <c r="B23" s="9">
        <v>-0.4</v>
      </c>
      <c r="C23" s="10" t="s">
        <v>81</v>
      </c>
      <c r="D23" s="7">
        <f t="shared" ref="D23:D30" si="0">IF(Mode="PROTOTYPE",EpsQ,B23)</f>
        <v>-0.4</v>
      </c>
      <c r="E23" s="8" t="s">
        <v>95</v>
      </c>
      <c r="F23" s="92" t="s">
        <v>96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1:16" ht="30" customHeight="1" x14ac:dyDescent="0.45">
      <c r="A24" s="5" t="s">
        <v>97</v>
      </c>
      <c r="B24" s="9">
        <v>-0.4</v>
      </c>
      <c r="C24" s="10" t="s">
        <v>81</v>
      </c>
      <c r="D24" s="7">
        <f t="shared" si="0"/>
        <v>-0.4</v>
      </c>
      <c r="E24" s="8" t="s">
        <v>98</v>
      </c>
      <c r="F24" s="92" t="s">
        <v>96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ht="30" customHeight="1" x14ac:dyDescent="0.45">
      <c r="A25" s="5" t="s">
        <v>99</v>
      </c>
      <c r="B25" s="9">
        <v>-0.4</v>
      </c>
      <c r="C25" s="10" t="s">
        <v>81</v>
      </c>
      <c r="D25" s="7">
        <f t="shared" si="0"/>
        <v>-0.4</v>
      </c>
      <c r="E25" s="8" t="s">
        <v>100</v>
      </c>
      <c r="F25" s="92" t="s">
        <v>96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1:16" ht="30" customHeight="1" x14ac:dyDescent="0.45">
      <c r="A26" s="5" t="s">
        <v>101</v>
      </c>
      <c r="B26" s="9">
        <v>-0.1</v>
      </c>
      <c r="C26" s="10" t="s">
        <v>81</v>
      </c>
      <c r="D26" s="7">
        <f t="shared" si="0"/>
        <v>-0.1</v>
      </c>
      <c r="E26" s="8" t="s">
        <v>102</v>
      </c>
      <c r="F26" s="92" t="s">
        <v>96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 ht="30" customHeight="1" x14ac:dyDescent="0.45">
      <c r="A27" s="5" t="s">
        <v>103</v>
      </c>
      <c r="B27" s="9">
        <v>-0.4</v>
      </c>
      <c r="C27" s="10" t="s">
        <v>81</v>
      </c>
      <c r="D27" s="7">
        <f t="shared" si="0"/>
        <v>-0.4</v>
      </c>
      <c r="E27" s="8" t="s">
        <v>104</v>
      </c>
      <c r="F27" s="92" t="s">
        <v>96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spans="1:16" ht="30" customHeight="1" x14ac:dyDescent="0.45">
      <c r="A28" s="5" t="s">
        <v>105</v>
      </c>
      <c r="B28" s="9">
        <v>-0.4</v>
      </c>
      <c r="C28" s="10" t="s">
        <v>81</v>
      </c>
      <c r="D28" s="7">
        <f t="shared" si="0"/>
        <v>-0.4</v>
      </c>
      <c r="E28" s="8" t="s">
        <v>106</v>
      </c>
      <c r="F28" s="92" t="s">
        <v>96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spans="1:16" ht="30" customHeight="1" x14ac:dyDescent="0.45">
      <c r="A29" s="5" t="s">
        <v>107</v>
      </c>
      <c r="B29" s="9">
        <v>-0.4</v>
      </c>
      <c r="C29" s="10" t="s">
        <v>81</v>
      </c>
      <c r="D29" s="7">
        <f t="shared" si="0"/>
        <v>-0.4</v>
      </c>
      <c r="E29" s="8" t="s">
        <v>108</v>
      </c>
      <c r="F29" s="92" t="s">
        <v>96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spans="1:16" ht="30" customHeight="1" x14ac:dyDescent="0.45">
      <c r="A30" s="5" t="s">
        <v>109</v>
      </c>
      <c r="B30" s="9">
        <v>-0.5</v>
      </c>
      <c r="C30" s="10" t="s">
        <v>81</v>
      </c>
      <c r="D30" s="7">
        <f t="shared" si="0"/>
        <v>-0.5</v>
      </c>
      <c r="E30" s="8" t="s">
        <v>110</v>
      </c>
      <c r="F30" s="92" t="s">
        <v>96</v>
      </c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spans="1:16" ht="30" customHeight="1" x14ac:dyDescent="0.45">
      <c r="A31" s="5" t="s">
        <v>111</v>
      </c>
      <c r="B31" s="9">
        <v>100</v>
      </c>
      <c r="C31" s="10" t="s">
        <v>112</v>
      </c>
      <c r="D31" s="7">
        <f>B31</f>
        <v>100</v>
      </c>
      <c r="E31" s="8" t="s">
        <v>113</v>
      </c>
      <c r="F31" s="92" t="s">
        <v>114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spans="1:16" ht="30" customHeight="1" x14ac:dyDescent="0.45">
      <c r="A32" s="5" t="s">
        <v>115</v>
      </c>
      <c r="B32" s="9">
        <v>122</v>
      </c>
      <c r="C32" s="10" t="s">
        <v>112</v>
      </c>
      <c r="D32" s="7">
        <f>B32</f>
        <v>122</v>
      </c>
      <c r="E32" s="8" t="s">
        <v>116</v>
      </c>
      <c r="F32" s="92" t="s">
        <v>117</v>
      </c>
      <c r="G32" s="91"/>
      <c r="H32" s="91"/>
      <c r="I32" s="91"/>
      <c r="J32" s="91"/>
      <c r="K32" s="91"/>
      <c r="L32" s="91"/>
      <c r="M32" s="91"/>
      <c r="N32" s="91"/>
      <c r="O32" s="91"/>
      <c r="P32" s="91"/>
    </row>
    <row r="33" spans="1:16" ht="30" customHeight="1" x14ac:dyDescent="0.45">
      <c r="A33" s="5" t="s">
        <v>118</v>
      </c>
      <c r="B33" s="11" t="s">
        <v>88</v>
      </c>
      <c r="C33" s="10" t="s">
        <v>119</v>
      </c>
      <c r="D33" s="12">
        <f>SInt*LN(INDEX(CV_ind1,MATCH(BfScen,CV_Hdr,0))/INDEX(CV_ind0,MATCH(BfScen,CV_Hdr,0)))/INDEX(CV_cptraj,MATCH(BfScen,CV_Hdr,0))</f>
        <v>-2.4955979362141917E-3</v>
      </c>
      <c r="E33" s="8" t="s">
        <v>120</v>
      </c>
      <c r="F33" s="92" t="s">
        <v>121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</row>
    <row r="34" spans="1:16" ht="30" customHeight="1" x14ac:dyDescent="0.45">
      <c r="A34" s="5" t="s">
        <v>122</v>
      </c>
      <c r="B34" s="11" t="s">
        <v>88</v>
      </c>
      <c r="C34" s="10" t="s">
        <v>81</v>
      </c>
      <c r="D34" s="7">
        <f>INDEX(YV_CBF,MATCH(Yr,YV_Years,0))</f>
        <v>0.48499999999999999</v>
      </c>
      <c r="E34" s="8" t="s">
        <v>123</v>
      </c>
      <c r="F34" s="92" t="s">
        <v>124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</row>
    <row r="35" spans="1:16" ht="30" customHeight="1" x14ac:dyDescent="0.45">
      <c r="A35" s="5" t="s">
        <v>125</v>
      </c>
      <c r="B35" s="11" t="s">
        <v>88</v>
      </c>
      <c r="C35" s="10" t="s">
        <v>81</v>
      </c>
      <c r="D35" s="7">
        <f>IF(Conv="NOPHASE",1,CBFyr)</f>
        <v>0.48499999999999999</v>
      </c>
      <c r="E35" s="8" t="s">
        <v>126</v>
      </c>
      <c r="F35" s="92" t="s">
        <v>127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spans="1:16" ht="30" customHeight="1" x14ac:dyDescent="0.45">
      <c r="A36" s="5" t="s">
        <v>128</v>
      </c>
      <c r="B36" s="11" t="s">
        <v>88</v>
      </c>
      <c r="C36" s="10" t="s">
        <v>81</v>
      </c>
      <c r="D36" s="7">
        <f>IF(Conv="SCALED",CBFyr,1)</f>
        <v>1</v>
      </c>
      <c r="E36" s="8" t="s">
        <v>129</v>
      </c>
      <c r="F36" s="92" t="s">
        <v>130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spans="1:16" ht="30" customHeight="1" x14ac:dyDescent="0.45">
      <c r="A37" s="5" t="s">
        <v>131</v>
      </c>
      <c r="B37" s="9">
        <v>2024</v>
      </c>
      <c r="C37" s="10" t="s">
        <v>132</v>
      </c>
      <c r="D37" s="7">
        <f>B37</f>
        <v>2024</v>
      </c>
      <c r="E37" s="8" t="s">
        <v>133</v>
      </c>
      <c r="F37" s="92" t="s">
        <v>134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9" spans="1:16" x14ac:dyDescent="0.45">
      <c r="A39" s="93" t="s">
        <v>135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</row>
    <row r="40" spans="1:16" x14ac:dyDescent="0.45">
      <c r="A40" s="4" t="s">
        <v>136</v>
      </c>
      <c r="B40" s="4" t="s">
        <v>137</v>
      </c>
      <c r="C40" s="4" t="s">
        <v>57</v>
      </c>
      <c r="D40" s="4" t="s">
        <v>138</v>
      </c>
      <c r="E40" s="4" t="s">
        <v>139</v>
      </c>
      <c r="F40" s="4" t="s">
        <v>140</v>
      </c>
      <c r="G40" s="4" t="s">
        <v>77</v>
      </c>
      <c r="H40" s="94" t="s">
        <v>27</v>
      </c>
      <c r="I40" s="95"/>
      <c r="J40" s="95"/>
      <c r="K40" s="95"/>
      <c r="L40" s="95"/>
      <c r="M40" s="95"/>
      <c r="N40" s="95"/>
      <c r="O40" s="95"/>
      <c r="P40" s="96"/>
    </row>
    <row r="41" spans="1:16" x14ac:dyDescent="0.45">
      <c r="A41" s="13" t="s">
        <v>141</v>
      </c>
      <c r="B41" s="8" t="s">
        <v>142</v>
      </c>
      <c r="C41" s="14">
        <f t="shared" ref="C41:F62" si="1">INDEX(CPO_Data,MATCH($B41&amp;"|"&amp;C$40,CPO_Keys,0),MATCH(Yr,CPO_Years,0))</f>
        <v>594.15599999999995</v>
      </c>
      <c r="D41" s="14">
        <f t="shared" si="1"/>
        <v>594.15599999999995</v>
      </c>
      <c r="E41" s="14">
        <f t="shared" si="1"/>
        <v>594.15599999999995</v>
      </c>
      <c r="F41" s="14">
        <f t="shared" si="1"/>
        <v>594.15599999999995</v>
      </c>
      <c r="G41" s="10" t="s">
        <v>143</v>
      </c>
    </row>
    <row r="42" spans="1:16" x14ac:dyDescent="0.45">
      <c r="A42" s="13" t="s">
        <v>144</v>
      </c>
      <c r="B42" s="8" t="s">
        <v>145</v>
      </c>
      <c r="C42" s="14">
        <f t="shared" si="1"/>
        <v>555.279</v>
      </c>
      <c r="D42" s="14">
        <f t="shared" si="1"/>
        <v>553.154</v>
      </c>
      <c r="E42" s="14">
        <f t="shared" si="1"/>
        <v>572.61400000000003</v>
      </c>
      <c r="F42" s="14">
        <f t="shared" si="1"/>
        <v>584.53899999999999</v>
      </c>
      <c r="G42" s="10" t="s">
        <v>143</v>
      </c>
    </row>
    <row r="43" spans="1:16" x14ac:dyDescent="0.45">
      <c r="A43" s="13" t="s">
        <v>146</v>
      </c>
      <c r="B43" s="8" t="s">
        <v>147</v>
      </c>
      <c r="C43" s="14">
        <f t="shared" si="1"/>
        <v>85.97</v>
      </c>
      <c r="D43" s="14">
        <f t="shared" si="1"/>
        <v>85.97</v>
      </c>
      <c r="E43" s="14">
        <f t="shared" si="1"/>
        <v>85.97</v>
      </c>
      <c r="F43" s="14">
        <f t="shared" si="1"/>
        <v>85.97</v>
      </c>
      <c r="G43" s="10" t="s">
        <v>143</v>
      </c>
    </row>
    <row r="44" spans="1:16" x14ac:dyDescent="0.45">
      <c r="A44" s="13" t="s">
        <v>148</v>
      </c>
      <c r="B44" s="8" t="s">
        <v>149</v>
      </c>
      <c r="C44" s="14">
        <f t="shared" si="1"/>
        <v>74.015000000000001</v>
      </c>
      <c r="D44" s="14">
        <f t="shared" si="1"/>
        <v>73.406999999999996</v>
      </c>
      <c r="E44" s="14">
        <f t="shared" si="1"/>
        <v>77.707999999999998</v>
      </c>
      <c r="F44" s="14">
        <f t="shared" si="1"/>
        <v>86.076999999999998</v>
      </c>
      <c r="G44" s="10" t="s">
        <v>143</v>
      </c>
    </row>
    <row r="45" spans="1:16" x14ac:dyDescent="0.45">
      <c r="A45" s="13" t="s">
        <v>150</v>
      </c>
      <c r="B45" s="8" t="s">
        <v>151</v>
      </c>
      <c r="C45" s="14">
        <f t="shared" si="1"/>
        <v>340.66</v>
      </c>
      <c r="D45" s="14">
        <f t="shared" si="1"/>
        <v>340.66</v>
      </c>
      <c r="E45" s="14">
        <f t="shared" si="1"/>
        <v>340.66</v>
      </c>
      <c r="F45" s="14">
        <f t="shared" si="1"/>
        <v>340.66</v>
      </c>
      <c r="G45" s="10" t="s">
        <v>152</v>
      </c>
    </row>
    <row r="46" spans="1:16" x14ac:dyDescent="0.45">
      <c r="A46" s="13" t="s">
        <v>153</v>
      </c>
      <c r="B46" s="8" t="s">
        <v>154</v>
      </c>
      <c r="C46" s="14">
        <f t="shared" si="1"/>
        <v>313.86500000000001</v>
      </c>
      <c r="D46" s="14">
        <f t="shared" si="1"/>
        <v>312.39600000000002</v>
      </c>
      <c r="E46" s="14">
        <f t="shared" si="1"/>
        <v>327.45299999999997</v>
      </c>
      <c r="F46" s="14">
        <f t="shared" si="1"/>
        <v>330.99</v>
      </c>
      <c r="G46" s="10" t="s">
        <v>152</v>
      </c>
    </row>
    <row r="47" spans="1:16" x14ac:dyDescent="0.45">
      <c r="A47" s="13" t="s">
        <v>155</v>
      </c>
      <c r="B47" s="8" t="s">
        <v>156</v>
      </c>
      <c r="C47" s="14">
        <f t="shared" si="1"/>
        <v>88.972999999999999</v>
      </c>
      <c r="D47" s="14">
        <f t="shared" si="1"/>
        <v>88.972999999999999</v>
      </c>
      <c r="E47" s="14">
        <f t="shared" si="1"/>
        <v>88.972999999999999</v>
      </c>
      <c r="F47" s="14">
        <f t="shared" si="1"/>
        <v>88.972999999999999</v>
      </c>
      <c r="G47" s="10" t="s">
        <v>152</v>
      </c>
    </row>
    <row r="48" spans="1:16" x14ac:dyDescent="0.45">
      <c r="A48" s="13" t="s">
        <v>157</v>
      </c>
      <c r="B48" s="8" t="s">
        <v>158</v>
      </c>
      <c r="C48" s="14">
        <f t="shared" si="1"/>
        <v>76.599999999999994</v>
      </c>
      <c r="D48" s="14">
        <f t="shared" si="1"/>
        <v>75.971000000000004</v>
      </c>
      <c r="E48" s="14">
        <f t="shared" si="1"/>
        <v>80.421999999999997</v>
      </c>
      <c r="F48" s="14">
        <f t="shared" si="1"/>
        <v>89.084000000000003</v>
      </c>
      <c r="G48" s="10" t="s">
        <v>152</v>
      </c>
    </row>
    <row r="49" spans="1:16" x14ac:dyDescent="0.45">
      <c r="A49" s="13" t="s">
        <v>159</v>
      </c>
      <c r="B49" s="8" t="s">
        <v>160</v>
      </c>
      <c r="C49" s="14">
        <f t="shared" si="1"/>
        <v>20</v>
      </c>
      <c r="D49" s="14">
        <f t="shared" si="1"/>
        <v>20</v>
      </c>
      <c r="E49" s="14">
        <f t="shared" si="1"/>
        <v>20</v>
      </c>
      <c r="F49" s="14">
        <f t="shared" si="1"/>
        <v>0</v>
      </c>
      <c r="G49" s="10" t="s">
        <v>112</v>
      </c>
    </row>
    <row r="50" spans="1:16" x14ac:dyDescent="0.45">
      <c r="A50" s="13" t="s">
        <v>161</v>
      </c>
      <c r="B50" s="8" t="s">
        <v>162</v>
      </c>
      <c r="C50" s="14">
        <f t="shared" si="1"/>
        <v>19.8</v>
      </c>
      <c r="D50" s="14">
        <f t="shared" si="1"/>
        <v>19.800999999999998</v>
      </c>
      <c r="E50" s="14">
        <f t="shared" si="1"/>
        <v>2.8069999999999999</v>
      </c>
      <c r="F50" s="14">
        <f t="shared" si="1"/>
        <v>0</v>
      </c>
      <c r="G50" s="10" t="s">
        <v>112</v>
      </c>
    </row>
    <row r="51" spans="1:16" x14ac:dyDescent="0.45">
      <c r="A51" s="13" t="s">
        <v>163</v>
      </c>
      <c r="B51" s="8" t="s">
        <v>164</v>
      </c>
      <c r="C51" s="14">
        <f t="shared" si="1"/>
        <v>-47.61</v>
      </c>
      <c r="D51" s="14">
        <f t="shared" si="1"/>
        <v>-47.61</v>
      </c>
      <c r="E51" s="14">
        <f t="shared" si="1"/>
        <v>-47.61</v>
      </c>
      <c r="F51" s="14">
        <f t="shared" si="1"/>
        <v>-47.61</v>
      </c>
      <c r="G51" s="10" t="s">
        <v>165</v>
      </c>
    </row>
    <row r="52" spans="1:16" x14ac:dyDescent="0.45">
      <c r="A52" s="13" t="s">
        <v>166</v>
      </c>
      <c r="B52" s="8" t="s">
        <v>167</v>
      </c>
      <c r="C52" s="14">
        <f t="shared" si="1"/>
        <v>-37.18</v>
      </c>
      <c r="D52" s="14">
        <f t="shared" si="1"/>
        <v>-36.99</v>
      </c>
      <c r="E52" s="14">
        <f t="shared" si="1"/>
        <v>-44.92</v>
      </c>
      <c r="F52" s="14">
        <f t="shared" si="1"/>
        <v>-40.909999999999997</v>
      </c>
      <c r="G52" s="10" t="s">
        <v>165</v>
      </c>
    </row>
    <row r="53" spans="1:16" x14ac:dyDescent="0.45">
      <c r="A53" s="13" t="s">
        <v>168</v>
      </c>
      <c r="B53" s="8" t="s">
        <v>169</v>
      </c>
      <c r="C53" s="14">
        <f t="shared" si="1"/>
        <v>0.16</v>
      </c>
      <c r="D53" s="14">
        <f t="shared" si="1"/>
        <v>0.16</v>
      </c>
      <c r="E53" s="14">
        <f t="shared" si="1"/>
        <v>0.16</v>
      </c>
      <c r="F53" s="14">
        <f t="shared" si="1"/>
        <v>0</v>
      </c>
      <c r="G53" s="10" t="s">
        <v>165</v>
      </c>
    </row>
    <row r="54" spans="1:16" x14ac:dyDescent="0.45">
      <c r="A54" s="13" t="s">
        <v>170</v>
      </c>
      <c r="B54" s="8" t="s">
        <v>171</v>
      </c>
      <c r="C54" s="14">
        <f t="shared" si="1"/>
        <v>1.72</v>
      </c>
      <c r="D54" s="14">
        <f t="shared" si="1"/>
        <v>1.71</v>
      </c>
      <c r="E54" s="14">
        <f t="shared" si="1"/>
        <v>7.0000000000000007E-2</v>
      </c>
      <c r="F54" s="14">
        <f t="shared" si="1"/>
        <v>0</v>
      </c>
      <c r="G54" s="10" t="s">
        <v>165</v>
      </c>
    </row>
    <row r="55" spans="1:16" x14ac:dyDescent="0.45">
      <c r="A55" s="13" t="s">
        <v>172</v>
      </c>
      <c r="B55" s="8" t="s">
        <v>173</v>
      </c>
      <c r="C55" s="14">
        <f t="shared" si="1"/>
        <v>0.59</v>
      </c>
      <c r="D55" s="14">
        <f t="shared" si="1"/>
        <v>0.59</v>
      </c>
      <c r="E55" s="14">
        <f t="shared" si="1"/>
        <v>0</v>
      </c>
      <c r="F55" s="14">
        <f t="shared" si="1"/>
        <v>0</v>
      </c>
      <c r="G55" s="10" t="s">
        <v>165</v>
      </c>
    </row>
    <row r="56" spans="1:16" x14ac:dyDescent="0.45">
      <c r="A56" s="13" t="s">
        <v>174</v>
      </c>
      <c r="B56" s="8" t="s">
        <v>175</v>
      </c>
      <c r="C56" s="14">
        <f t="shared" si="1"/>
        <v>0.4</v>
      </c>
      <c r="D56" s="14">
        <f t="shared" si="1"/>
        <v>0.39</v>
      </c>
      <c r="E56" s="14">
        <f t="shared" si="1"/>
        <v>0.18</v>
      </c>
      <c r="F56" s="14">
        <f t="shared" si="1"/>
        <v>0</v>
      </c>
      <c r="G56" s="10" t="s">
        <v>165</v>
      </c>
    </row>
    <row r="57" spans="1:16" x14ac:dyDescent="0.45">
      <c r="A57" s="13" t="s">
        <v>176</v>
      </c>
      <c r="B57" s="8" t="s">
        <v>177</v>
      </c>
      <c r="C57" s="14">
        <f t="shared" si="1"/>
        <v>2.7</v>
      </c>
      <c r="D57" s="14">
        <f t="shared" si="1"/>
        <v>2.68</v>
      </c>
      <c r="E57" s="14">
        <f t="shared" si="1"/>
        <v>0.49</v>
      </c>
      <c r="F57" s="14">
        <f t="shared" si="1"/>
        <v>0</v>
      </c>
      <c r="G57" s="10" t="s">
        <v>165</v>
      </c>
    </row>
    <row r="58" spans="1:16" x14ac:dyDescent="0.45">
      <c r="A58" s="13" t="s">
        <v>178</v>
      </c>
      <c r="B58" s="8" t="s">
        <v>179</v>
      </c>
      <c r="C58" s="14">
        <f t="shared" si="1"/>
        <v>0.66</v>
      </c>
      <c r="D58" s="14">
        <f t="shared" si="1"/>
        <v>0.66</v>
      </c>
      <c r="E58" s="14">
        <f t="shared" si="1"/>
        <v>0.03</v>
      </c>
      <c r="F58" s="14">
        <f t="shared" si="1"/>
        <v>0</v>
      </c>
      <c r="G58" s="10" t="s">
        <v>165</v>
      </c>
    </row>
    <row r="59" spans="1:16" x14ac:dyDescent="0.45">
      <c r="A59" s="13" t="s">
        <v>180</v>
      </c>
      <c r="B59" s="8" t="s">
        <v>181</v>
      </c>
      <c r="C59" s="14">
        <f t="shared" si="1"/>
        <v>525</v>
      </c>
      <c r="D59" s="14">
        <f t="shared" si="1"/>
        <v>547</v>
      </c>
      <c r="E59" s="14">
        <f t="shared" si="1"/>
        <v>182</v>
      </c>
      <c r="F59" s="14">
        <f t="shared" si="1"/>
        <v>71</v>
      </c>
      <c r="G59" s="10" t="s">
        <v>182</v>
      </c>
    </row>
    <row r="60" spans="1:16" x14ac:dyDescent="0.45">
      <c r="A60" s="13" t="s">
        <v>183</v>
      </c>
      <c r="B60" s="8" t="s">
        <v>184</v>
      </c>
      <c r="C60" s="14">
        <f t="shared" si="1"/>
        <v>960</v>
      </c>
      <c r="D60" s="14">
        <f t="shared" si="1"/>
        <v>1002</v>
      </c>
      <c r="E60" s="14">
        <f t="shared" si="1"/>
        <v>338</v>
      </c>
      <c r="F60" s="14">
        <f t="shared" si="1"/>
        <v>132</v>
      </c>
      <c r="G60" s="10" t="s">
        <v>182</v>
      </c>
    </row>
    <row r="61" spans="1:16" x14ac:dyDescent="0.45">
      <c r="A61" s="13" t="s">
        <v>185</v>
      </c>
      <c r="B61" s="8" t="s">
        <v>186</v>
      </c>
      <c r="C61" s="14">
        <f t="shared" si="1"/>
        <v>79</v>
      </c>
      <c r="D61" s="14">
        <f t="shared" si="1"/>
        <v>82</v>
      </c>
      <c r="E61" s="14">
        <f t="shared" si="1"/>
        <v>26</v>
      </c>
      <c r="F61" s="14">
        <f t="shared" si="1"/>
        <v>10</v>
      </c>
      <c r="G61" s="10" t="s">
        <v>182</v>
      </c>
    </row>
    <row r="62" spans="1:16" x14ac:dyDescent="0.45">
      <c r="A62" s="13" t="s">
        <v>187</v>
      </c>
      <c r="B62" s="8" t="s">
        <v>188</v>
      </c>
      <c r="C62" s="14">
        <f t="shared" si="1"/>
        <v>82651</v>
      </c>
      <c r="D62" s="14">
        <f t="shared" si="1"/>
        <v>82651</v>
      </c>
      <c r="E62" s="14">
        <f t="shared" si="1"/>
        <v>82651</v>
      </c>
      <c r="F62" s="14">
        <f t="shared" si="1"/>
        <v>82651</v>
      </c>
      <c r="G62" s="10" t="s">
        <v>182</v>
      </c>
    </row>
    <row r="63" spans="1:16" x14ac:dyDescent="0.45">
      <c r="A63" s="5" t="s">
        <v>189</v>
      </c>
      <c r="B63" s="8" t="s">
        <v>190</v>
      </c>
      <c r="C63" s="15">
        <f>SUM(C53:C58)</f>
        <v>6.23</v>
      </c>
      <c r="D63" s="15">
        <f>SUM(D53:D58)</f>
        <v>6.19</v>
      </c>
      <c r="E63" s="15">
        <f>SUM(E53:E58)</f>
        <v>0.93</v>
      </c>
      <c r="F63" s="15">
        <f>SUM(F53:F58)</f>
        <v>0</v>
      </c>
      <c r="G63" s="10" t="s">
        <v>165</v>
      </c>
      <c r="H63" s="92" t="s">
        <v>191</v>
      </c>
      <c r="I63" s="91"/>
      <c r="J63" s="91"/>
      <c r="K63" s="91"/>
      <c r="L63" s="91"/>
      <c r="M63" s="91"/>
      <c r="N63" s="91"/>
      <c r="O63" s="91"/>
      <c r="P63" s="91"/>
    </row>
    <row r="64" spans="1:16" x14ac:dyDescent="0.45">
      <c r="A64" s="5" t="s">
        <v>192</v>
      </c>
      <c r="B64" s="8" t="s">
        <v>193</v>
      </c>
      <c r="C64" s="15">
        <f>SUM(C59:C61)</f>
        <v>1564</v>
      </c>
      <c r="D64" s="15">
        <f>SUM(D59:D61)</f>
        <v>1631</v>
      </c>
      <c r="E64" s="15">
        <f>SUM(E59:E61)</f>
        <v>546</v>
      </c>
      <c r="F64" s="15">
        <f>SUM(F59:F61)</f>
        <v>213</v>
      </c>
      <c r="G64" s="10" t="s">
        <v>182</v>
      </c>
      <c r="H64" s="92" t="s">
        <v>194</v>
      </c>
      <c r="I64" s="91"/>
      <c r="J64" s="91"/>
      <c r="K64" s="91"/>
      <c r="L64" s="91"/>
      <c r="M64" s="91"/>
      <c r="N64" s="91"/>
      <c r="O64" s="91"/>
      <c r="P64" s="91"/>
    </row>
    <row r="65" spans="1:16" x14ac:dyDescent="0.45">
      <c r="A65" s="5" t="s">
        <v>195</v>
      </c>
      <c r="B65" s="8" t="s">
        <v>196</v>
      </c>
      <c r="C65" s="15">
        <f>IF(KappaMode="ONE",1,IFERROR(MIN(1,(C50/C49)*C45/C47),1))</f>
        <v>1</v>
      </c>
      <c r="D65" s="15">
        <f>IF(KappaMode="ONE",1,IFERROR(MIN(1,(D50/D49)*D45/D47),1))</f>
        <v>1</v>
      </c>
      <c r="E65" s="15">
        <f>IF(KappaMode="ONE",1,IFERROR(MIN(1,(E50/E49)*E45/E47),1))</f>
        <v>0.5373723601542042</v>
      </c>
      <c r="F65" s="15">
        <f>IF(KappaMode="ONE",1,IFERROR(MIN(1,(F50/F49)*F45/F47),1))</f>
        <v>1</v>
      </c>
      <c r="G65" s="10" t="s">
        <v>81</v>
      </c>
      <c r="H65" s="92" t="s">
        <v>197</v>
      </c>
      <c r="I65" s="91"/>
      <c r="J65" s="91"/>
      <c r="K65" s="91"/>
      <c r="L65" s="91"/>
      <c r="M65" s="91"/>
      <c r="N65" s="91"/>
      <c r="O65" s="91"/>
      <c r="P65" s="91"/>
    </row>
    <row r="66" spans="1:16" x14ac:dyDescent="0.45">
      <c r="A66" s="5" t="s">
        <v>198</v>
      </c>
      <c r="B66" s="8" t="s">
        <v>199</v>
      </c>
      <c r="C66" s="15">
        <f>C42-C41</f>
        <v>-38.876999999999953</v>
      </c>
      <c r="D66" s="15">
        <f>D42-D41</f>
        <v>-41.001999999999953</v>
      </c>
      <c r="E66" s="15">
        <f>E42-E41</f>
        <v>-21.541999999999916</v>
      </c>
      <c r="F66" s="15">
        <f>F42-F41</f>
        <v>-9.6169999999999618</v>
      </c>
      <c r="G66" s="10" t="s">
        <v>143</v>
      </c>
      <c r="H66" s="92" t="s">
        <v>200</v>
      </c>
      <c r="I66" s="91"/>
      <c r="J66" s="91"/>
      <c r="K66" s="91"/>
      <c r="L66" s="91"/>
      <c r="M66" s="91"/>
      <c r="N66" s="91"/>
      <c r="O66" s="91"/>
      <c r="P66" s="91"/>
    </row>
    <row r="67" spans="1:16" x14ac:dyDescent="0.45">
      <c r="A67" s="5" t="s">
        <v>201</v>
      </c>
      <c r="B67" s="8" t="s">
        <v>202</v>
      </c>
      <c r="C67" s="15">
        <f>C44-C43</f>
        <v>-11.954999999999998</v>
      </c>
      <c r="D67" s="15">
        <f>D44-D43</f>
        <v>-12.563000000000002</v>
      </c>
      <c r="E67" s="15">
        <f>E44-E43</f>
        <v>-8.2620000000000005</v>
      </c>
      <c r="F67" s="15">
        <f>F44-F43</f>
        <v>0.10699999999999932</v>
      </c>
      <c r="G67" s="10" t="s">
        <v>143</v>
      </c>
      <c r="H67" s="92" t="s">
        <v>203</v>
      </c>
      <c r="I67" s="91"/>
      <c r="J67" s="91"/>
      <c r="K67" s="91"/>
      <c r="L67" s="91"/>
      <c r="M67" s="91"/>
      <c r="N67" s="91"/>
      <c r="O67" s="91"/>
      <c r="P67" s="91"/>
    </row>
    <row r="68" spans="1:16" x14ac:dyDescent="0.45">
      <c r="A68" s="5" t="s">
        <v>204</v>
      </c>
      <c r="B68" s="8" t="s">
        <v>205</v>
      </c>
      <c r="C68" s="15">
        <f>C46-C45</f>
        <v>-26.795000000000016</v>
      </c>
      <c r="D68" s="15">
        <f>D46-D45</f>
        <v>-28.26400000000001</v>
      </c>
      <c r="E68" s="15">
        <f>E46-E45</f>
        <v>-13.20700000000005</v>
      </c>
      <c r="F68" s="15">
        <f>F46-F45</f>
        <v>-9.6700000000000159</v>
      </c>
      <c r="G68" s="10" t="s">
        <v>152</v>
      </c>
      <c r="H68" s="92" t="s">
        <v>206</v>
      </c>
      <c r="I68" s="91"/>
      <c r="J68" s="91"/>
      <c r="K68" s="91"/>
      <c r="L68" s="91"/>
      <c r="M68" s="91"/>
      <c r="N68" s="91"/>
      <c r="O68" s="91"/>
      <c r="P68" s="91"/>
    </row>
    <row r="69" spans="1:16" x14ac:dyDescent="0.45">
      <c r="A69" s="5" t="s">
        <v>207</v>
      </c>
      <c r="B69" s="8" t="s">
        <v>208</v>
      </c>
      <c r="C69" s="15">
        <f>C48-C47</f>
        <v>-12.373000000000005</v>
      </c>
      <c r="D69" s="15">
        <f>D48-D47</f>
        <v>-13.001999999999995</v>
      </c>
      <c r="E69" s="15">
        <f>E48-E47</f>
        <v>-8.5510000000000019</v>
      </c>
      <c r="F69" s="15">
        <f>F48-F47</f>
        <v>0.11100000000000421</v>
      </c>
      <c r="G69" s="10" t="s">
        <v>152</v>
      </c>
      <c r="H69" s="92" t="s">
        <v>209</v>
      </c>
      <c r="I69" s="91"/>
      <c r="J69" s="91"/>
      <c r="K69" s="91"/>
      <c r="L69" s="91"/>
      <c r="M69" s="91"/>
      <c r="N69" s="91"/>
      <c r="O69" s="91"/>
      <c r="P69" s="91"/>
    </row>
    <row r="70" spans="1:16" x14ac:dyDescent="0.45">
      <c r="A70" s="5" t="s">
        <v>210</v>
      </c>
      <c r="B70" s="8" t="s">
        <v>211</v>
      </c>
      <c r="C70" s="15">
        <f>C52-C51</f>
        <v>10.43</v>
      </c>
      <c r="D70" s="15">
        <f>D52-D51</f>
        <v>10.619999999999997</v>
      </c>
      <c r="E70" s="15">
        <f>E52-E51</f>
        <v>2.6899999999999977</v>
      </c>
      <c r="F70" s="15">
        <f>F52-F51</f>
        <v>6.7000000000000028</v>
      </c>
      <c r="G70" s="10" t="s">
        <v>165</v>
      </c>
      <c r="H70" s="92" t="s">
        <v>212</v>
      </c>
      <c r="I70" s="91"/>
      <c r="J70" s="91"/>
      <c r="K70" s="91"/>
      <c r="L70" s="91"/>
      <c r="M70" s="91"/>
      <c r="N70" s="91"/>
      <c r="O70" s="91"/>
      <c r="P70" s="91"/>
    </row>
    <row r="72" spans="1:16" x14ac:dyDescent="0.45">
      <c r="A72" s="93" t="s">
        <v>213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</row>
    <row r="73" spans="1:16" ht="40.049999999999997" customHeight="1" x14ac:dyDescent="0.45">
      <c r="A73" s="4" t="s">
        <v>214</v>
      </c>
      <c r="B73" s="4" t="s">
        <v>215</v>
      </c>
      <c r="C73" s="4" t="s">
        <v>216</v>
      </c>
      <c r="D73" s="4" t="s">
        <v>217</v>
      </c>
      <c r="E73" s="4" t="s">
        <v>218</v>
      </c>
      <c r="F73" s="4" t="s">
        <v>219</v>
      </c>
      <c r="G73" s="4" t="s">
        <v>220</v>
      </c>
      <c r="H73" s="4" t="s">
        <v>221</v>
      </c>
      <c r="I73" s="4" t="s">
        <v>222</v>
      </c>
      <c r="J73" s="94" t="s">
        <v>27</v>
      </c>
      <c r="K73" s="95"/>
      <c r="L73" s="95"/>
      <c r="M73" s="95"/>
      <c r="N73" s="95"/>
      <c r="O73" s="95"/>
      <c r="P73" s="96"/>
    </row>
    <row r="74" spans="1:16" ht="30" customHeight="1" x14ac:dyDescent="0.45">
      <c r="A74" s="16" t="s">
        <v>223</v>
      </c>
      <c r="B74" s="9" t="s">
        <v>57</v>
      </c>
      <c r="C74" s="9" t="s">
        <v>224</v>
      </c>
      <c r="D74" s="9">
        <v>1</v>
      </c>
      <c r="E74" s="9">
        <v>0</v>
      </c>
      <c r="F74" s="9">
        <v>0</v>
      </c>
      <c r="G74" s="17">
        <f t="shared" ref="G74:G79" si="2">INDEX(CV_cptraj,MATCH(B74,CV_Hdr,0))</f>
        <v>20</v>
      </c>
      <c r="H74" s="18" t="s">
        <v>225</v>
      </c>
      <c r="I74" s="9" t="s">
        <v>226</v>
      </c>
      <c r="J74" s="92" t="s">
        <v>227</v>
      </c>
      <c r="K74" s="91"/>
      <c r="L74" s="91"/>
      <c r="M74" s="91"/>
      <c r="N74" s="91"/>
      <c r="O74" s="91"/>
      <c r="P74" s="91"/>
    </row>
    <row r="75" spans="1:16" ht="30" customHeight="1" x14ac:dyDescent="0.45">
      <c r="A75" s="16" t="s">
        <v>228</v>
      </c>
      <c r="B75" s="9" t="s">
        <v>57</v>
      </c>
      <c r="C75" s="9" t="s">
        <v>224</v>
      </c>
      <c r="D75" s="9">
        <v>0</v>
      </c>
      <c r="E75" s="9">
        <v>0</v>
      </c>
      <c r="F75" s="9">
        <v>0</v>
      </c>
      <c r="G75" s="17">
        <f t="shared" si="2"/>
        <v>20</v>
      </c>
      <c r="H75" s="18" t="s">
        <v>225</v>
      </c>
      <c r="I75" s="9" t="s">
        <v>226</v>
      </c>
      <c r="J75" s="92" t="s">
        <v>229</v>
      </c>
      <c r="K75" s="91"/>
      <c r="L75" s="91"/>
      <c r="M75" s="91"/>
      <c r="N75" s="91"/>
      <c r="O75" s="91"/>
      <c r="P75" s="91"/>
    </row>
    <row r="76" spans="1:16" ht="30" customHeight="1" x14ac:dyDescent="0.45">
      <c r="A76" s="16" t="s">
        <v>230</v>
      </c>
      <c r="B76" s="9" t="s">
        <v>138</v>
      </c>
      <c r="C76" s="9" t="s">
        <v>224</v>
      </c>
      <c r="D76" s="9">
        <v>0</v>
      </c>
      <c r="E76" s="9">
        <v>0</v>
      </c>
      <c r="F76" s="9">
        <v>0</v>
      </c>
      <c r="G76" s="17">
        <f t="shared" si="2"/>
        <v>20</v>
      </c>
      <c r="H76" s="18" t="s">
        <v>231</v>
      </c>
      <c r="I76" s="9" t="s">
        <v>226</v>
      </c>
      <c r="J76" s="92" t="s">
        <v>232</v>
      </c>
      <c r="K76" s="91"/>
      <c r="L76" s="91"/>
      <c r="M76" s="91"/>
      <c r="N76" s="91"/>
      <c r="O76" s="91"/>
      <c r="P76" s="91"/>
    </row>
    <row r="77" spans="1:16" ht="30" customHeight="1" x14ac:dyDescent="0.45">
      <c r="A77" s="16" t="s">
        <v>233</v>
      </c>
      <c r="B77" s="9" t="s">
        <v>139</v>
      </c>
      <c r="C77" s="9" t="s">
        <v>234</v>
      </c>
      <c r="D77" s="9">
        <v>1</v>
      </c>
      <c r="E77" s="9">
        <v>0</v>
      </c>
      <c r="F77" s="9">
        <v>0</v>
      </c>
      <c r="G77" s="17">
        <f t="shared" si="2"/>
        <v>20</v>
      </c>
      <c r="H77" s="18" t="s">
        <v>231</v>
      </c>
      <c r="I77" s="9" t="s">
        <v>235</v>
      </c>
      <c r="J77" s="92" t="s">
        <v>236</v>
      </c>
      <c r="K77" s="91"/>
      <c r="L77" s="91"/>
      <c r="M77" s="91"/>
      <c r="N77" s="91"/>
      <c r="O77" s="91"/>
      <c r="P77" s="91"/>
    </row>
    <row r="78" spans="1:16" ht="30" customHeight="1" x14ac:dyDescent="0.45">
      <c r="A78" s="16" t="s">
        <v>237</v>
      </c>
      <c r="B78" s="9" t="s">
        <v>139</v>
      </c>
      <c r="C78" s="9" t="s">
        <v>234</v>
      </c>
      <c r="D78" s="9">
        <v>1</v>
      </c>
      <c r="E78" s="9">
        <v>1</v>
      </c>
      <c r="F78" s="9">
        <v>0</v>
      </c>
      <c r="G78" s="17">
        <f t="shared" si="2"/>
        <v>20</v>
      </c>
      <c r="H78" s="18" t="s">
        <v>238</v>
      </c>
      <c r="I78" s="9" t="s">
        <v>235</v>
      </c>
      <c r="J78" s="92" t="s">
        <v>239</v>
      </c>
      <c r="K78" s="91"/>
      <c r="L78" s="91"/>
      <c r="M78" s="91"/>
      <c r="N78" s="91"/>
      <c r="O78" s="91"/>
      <c r="P78" s="91"/>
    </row>
    <row r="79" spans="1:16" ht="30" customHeight="1" x14ac:dyDescent="0.45">
      <c r="A79" s="16" t="s">
        <v>240</v>
      </c>
      <c r="B79" s="9" t="s">
        <v>139</v>
      </c>
      <c r="C79" s="9" t="s">
        <v>234</v>
      </c>
      <c r="D79" s="9">
        <v>1</v>
      </c>
      <c r="E79" s="9">
        <v>0</v>
      </c>
      <c r="F79" s="9">
        <v>1</v>
      </c>
      <c r="G79" s="17">
        <f t="shared" si="2"/>
        <v>20</v>
      </c>
      <c r="H79" s="18" t="s">
        <v>241</v>
      </c>
      <c r="I79" s="9" t="s">
        <v>235</v>
      </c>
      <c r="J79" s="92" t="s">
        <v>242</v>
      </c>
      <c r="K79" s="91"/>
      <c r="L79" s="91"/>
      <c r="M79" s="91"/>
      <c r="N79" s="91"/>
      <c r="O79" s="91"/>
      <c r="P79" s="91"/>
    </row>
    <row r="81" spans="1:21" x14ac:dyDescent="0.45">
      <c r="A81" s="93" t="s">
        <v>243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1:21" ht="54" customHeight="1" x14ac:dyDescent="0.45">
      <c r="A82" s="4" t="s">
        <v>244</v>
      </c>
      <c r="B82" s="4" t="s">
        <v>245</v>
      </c>
      <c r="C82" s="4" t="s">
        <v>246</v>
      </c>
      <c r="D82" s="4" t="s">
        <v>247</v>
      </c>
      <c r="E82" s="4" t="s">
        <v>248</v>
      </c>
      <c r="F82" s="4" t="s">
        <v>249</v>
      </c>
      <c r="G82" s="4" t="s">
        <v>250</v>
      </c>
      <c r="H82" s="4" t="s">
        <v>251</v>
      </c>
      <c r="I82" s="4" t="s">
        <v>252</v>
      </c>
      <c r="J82" s="4" t="s">
        <v>253</v>
      </c>
      <c r="K82" s="4" t="s">
        <v>254</v>
      </c>
      <c r="L82" s="4" t="s">
        <v>255</v>
      </c>
      <c r="M82" s="4" t="s">
        <v>256</v>
      </c>
      <c r="N82" s="4" t="s">
        <v>257</v>
      </c>
      <c r="O82" s="4" t="s">
        <v>258</v>
      </c>
      <c r="P82" s="4" t="s">
        <v>259</v>
      </c>
      <c r="Q82" s="4" t="s">
        <v>260</v>
      </c>
      <c r="R82" s="4" t="s">
        <v>261</v>
      </c>
      <c r="S82" s="4" t="s">
        <v>262</v>
      </c>
      <c r="T82" s="4" t="s">
        <v>263</v>
      </c>
      <c r="U82" s="4" t="s">
        <v>264</v>
      </c>
    </row>
    <row r="83" spans="1:21" x14ac:dyDescent="0.45">
      <c r="A83" s="16" t="s">
        <v>265</v>
      </c>
      <c r="B83" s="19">
        <v>5100</v>
      </c>
      <c r="C83" s="20">
        <v>4.3999999999999997E-2</v>
      </c>
      <c r="D83" s="19">
        <v>580</v>
      </c>
      <c r="E83" s="19">
        <v>750</v>
      </c>
      <c r="F83" s="21">
        <v>0.17797725</v>
      </c>
      <c r="G83" s="21">
        <v>0.39301352000000001</v>
      </c>
      <c r="H83" s="22">
        <v>3.7901020000000001E-2</v>
      </c>
      <c r="I83" s="22">
        <v>0</v>
      </c>
      <c r="J83" s="23">
        <f t="shared" ref="J83:J90" si="3">IF(EFSet="PROTOTYPE",R83+S83,F83+G83)</f>
        <v>0.57099076999999998</v>
      </c>
      <c r="K83" s="23">
        <f t="shared" ref="K83:K90" si="4">IF(EFSet="PROTOTYPE",MAX(T83,0)+MAX(U83,0),MAX(H83,0)+MAX(I83,0))</f>
        <v>3.7901020000000001E-2</v>
      </c>
      <c r="L83" s="20">
        <v>0.1</v>
      </c>
      <c r="M83" s="24">
        <v>0.34329999999999999</v>
      </c>
      <c r="N83" s="24">
        <v>0.1133</v>
      </c>
      <c r="O83" s="24">
        <v>0.57340000000000002</v>
      </c>
      <c r="P83" s="25">
        <f t="shared" ref="P83:P90" si="5">IF(BetaSet="PROTOTYPE",L83,IF(BetaSet="IPCC_2030",N83,IF(BetaSet="IPCC_LONGRUN",O83,M83)))</f>
        <v>0.34329999999999999</v>
      </c>
      <c r="Q83" s="26">
        <f t="shared" ref="Q83:Q90" si="6">IF(BetaSet="PROTOTYPE",-LN(1-P83)/100,-LN(1-P83)/PStar)</f>
        <v>3.4469507031574592E-3</v>
      </c>
      <c r="R83" s="27">
        <v>0.12903000000000001</v>
      </c>
      <c r="S83" s="27">
        <v>0.56100000000000005</v>
      </c>
      <c r="T83" s="27">
        <v>0.04</v>
      </c>
      <c r="U83" s="27">
        <v>0</v>
      </c>
    </row>
    <row r="84" spans="1:21" x14ac:dyDescent="0.45">
      <c r="A84" s="16" t="s">
        <v>266</v>
      </c>
      <c r="B84" s="19">
        <v>4800</v>
      </c>
      <c r="C84" s="20">
        <v>4.3999999999999997E-2</v>
      </c>
      <c r="D84" s="19">
        <v>300</v>
      </c>
      <c r="E84" s="19">
        <v>680</v>
      </c>
      <c r="F84" s="21">
        <v>4.4880000000000003E-2</v>
      </c>
      <c r="G84" s="21">
        <v>0</v>
      </c>
      <c r="H84" s="22">
        <v>4.3981149999999997E-2</v>
      </c>
      <c r="I84" s="22">
        <v>0</v>
      </c>
      <c r="J84" s="23">
        <f t="shared" si="3"/>
        <v>4.4880000000000003E-2</v>
      </c>
      <c r="K84" s="23">
        <f t="shared" si="4"/>
        <v>4.3981149999999997E-2</v>
      </c>
      <c r="L84" s="20">
        <v>0.02</v>
      </c>
      <c r="M84" s="24">
        <v>0.18099999999999999</v>
      </c>
      <c r="N84" s="24">
        <v>9.5100000000000004E-2</v>
      </c>
      <c r="O84" s="24">
        <v>0.26690000000000003</v>
      </c>
      <c r="P84" s="25">
        <f t="shared" si="5"/>
        <v>0.18099999999999999</v>
      </c>
      <c r="Q84" s="26">
        <f t="shared" si="6"/>
        <v>1.6366491404021942E-3</v>
      </c>
      <c r="R84" s="27">
        <v>0.14025000000000001</v>
      </c>
      <c r="S84" s="27">
        <v>0</v>
      </c>
      <c r="T84" s="27">
        <v>1.4999999999999999E-2</v>
      </c>
      <c r="U84" s="27">
        <v>0</v>
      </c>
    </row>
    <row r="85" spans="1:21" x14ac:dyDescent="0.45">
      <c r="A85" s="16" t="s">
        <v>267</v>
      </c>
      <c r="B85" s="19">
        <v>0</v>
      </c>
      <c r="C85" s="20">
        <v>0</v>
      </c>
      <c r="D85" s="19">
        <v>0</v>
      </c>
      <c r="E85" s="19">
        <v>620</v>
      </c>
      <c r="F85" s="21">
        <v>0.16830000000000001</v>
      </c>
      <c r="G85" s="21">
        <v>1.2566802699999999</v>
      </c>
      <c r="H85" s="22">
        <v>5.276542E-2</v>
      </c>
      <c r="I85" s="22">
        <v>0</v>
      </c>
      <c r="J85" s="23">
        <f t="shared" si="3"/>
        <v>1.4249802699999998</v>
      </c>
      <c r="K85" s="23">
        <f t="shared" si="4"/>
        <v>5.276542E-2</v>
      </c>
      <c r="L85" s="20">
        <v>0.05</v>
      </c>
      <c r="M85" s="24">
        <v>0.28029999999999999</v>
      </c>
      <c r="N85" s="24">
        <v>0.1016</v>
      </c>
      <c r="O85" s="24">
        <v>0.45889999999999997</v>
      </c>
      <c r="P85" s="25">
        <f t="shared" si="5"/>
        <v>0.28029999999999999</v>
      </c>
      <c r="Q85" s="26">
        <f t="shared" si="6"/>
        <v>2.6960722989211347E-3</v>
      </c>
      <c r="R85" s="27">
        <v>0.38440000000000002</v>
      </c>
      <c r="S85" s="27">
        <v>1.5376000000000001</v>
      </c>
      <c r="T85" s="27">
        <v>0.25</v>
      </c>
      <c r="U85" s="27">
        <v>0</v>
      </c>
    </row>
    <row r="86" spans="1:21" x14ac:dyDescent="0.45">
      <c r="A86" s="16" t="s">
        <v>268</v>
      </c>
      <c r="B86" s="19">
        <v>50000</v>
      </c>
      <c r="C86" s="20">
        <v>3.3000000000000002E-2</v>
      </c>
      <c r="D86" s="19">
        <v>800</v>
      </c>
      <c r="E86" s="19">
        <v>110</v>
      </c>
      <c r="F86" s="21">
        <v>0.31356850000000003</v>
      </c>
      <c r="G86" s="21">
        <v>0</v>
      </c>
      <c r="H86" s="22">
        <v>0.53702616000000003</v>
      </c>
      <c r="I86" s="22">
        <v>0</v>
      </c>
      <c r="J86" s="23">
        <f t="shared" si="3"/>
        <v>0.31356850000000003</v>
      </c>
      <c r="K86" s="23">
        <f t="shared" si="4"/>
        <v>0.53702616000000003</v>
      </c>
      <c r="L86" s="20">
        <v>0.08</v>
      </c>
      <c r="M86" s="24">
        <v>0.3352</v>
      </c>
      <c r="N86" s="24">
        <v>0.1925</v>
      </c>
      <c r="O86" s="24">
        <v>0.47789999999999999</v>
      </c>
      <c r="P86" s="25">
        <f t="shared" si="5"/>
        <v>0.3352</v>
      </c>
      <c r="Q86" s="26">
        <f t="shared" si="6"/>
        <v>3.3464675036139224E-3</v>
      </c>
      <c r="R86" s="27">
        <v>0.2883</v>
      </c>
      <c r="S86" s="27">
        <v>0</v>
      </c>
      <c r="T86" s="27">
        <v>0.52600000000000002</v>
      </c>
      <c r="U86" s="27">
        <v>0</v>
      </c>
    </row>
    <row r="87" spans="1:21" x14ac:dyDescent="0.45">
      <c r="A87" s="16" t="s">
        <v>269</v>
      </c>
      <c r="B87" s="19">
        <v>1785</v>
      </c>
      <c r="C87" s="20">
        <v>2.1999999999999999E-2</v>
      </c>
      <c r="D87" s="19">
        <v>120</v>
      </c>
      <c r="E87" s="19">
        <v>450</v>
      </c>
      <c r="F87" s="21">
        <v>0.71247000000000005</v>
      </c>
      <c r="G87" s="21">
        <v>1.2622500000000001</v>
      </c>
      <c r="H87" s="22">
        <v>0</v>
      </c>
      <c r="I87" s="22">
        <v>0</v>
      </c>
      <c r="J87" s="23">
        <f t="shared" si="3"/>
        <v>1.97472</v>
      </c>
      <c r="K87" s="23">
        <f t="shared" si="4"/>
        <v>0</v>
      </c>
      <c r="L87" s="20">
        <v>0.18</v>
      </c>
      <c r="M87" s="24">
        <v>0.2974</v>
      </c>
      <c r="N87" s="24">
        <v>0.14990000000000001</v>
      </c>
      <c r="O87" s="24">
        <v>0.44490000000000002</v>
      </c>
      <c r="P87" s="25">
        <f t="shared" si="5"/>
        <v>0.2974</v>
      </c>
      <c r="Q87" s="26">
        <f t="shared" si="6"/>
        <v>2.8931765504132002E-3</v>
      </c>
      <c r="R87" s="27">
        <v>0.39269999999999999</v>
      </c>
      <c r="S87" s="27">
        <v>1.4585999999999999</v>
      </c>
      <c r="T87" s="27">
        <v>0</v>
      </c>
      <c r="U87" s="27">
        <v>0</v>
      </c>
    </row>
    <row r="88" spans="1:21" x14ac:dyDescent="0.45">
      <c r="A88" s="16" t="s">
        <v>270</v>
      </c>
      <c r="B88" s="19">
        <v>2800</v>
      </c>
      <c r="C88" s="20">
        <v>2.1999999999999999E-2</v>
      </c>
      <c r="D88" s="19">
        <v>1600</v>
      </c>
      <c r="E88" s="19">
        <v>380</v>
      </c>
      <c r="F88" s="21">
        <v>0.11219999999999999</v>
      </c>
      <c r="G88" s="21">
        <v>0</v>
      </c>
      <c r="H88" s="22">
        <v>0</v>
      </c>
      <c r="I88" s="22">
        <v>0</v>
      </c>
      <c r="J88" s="23">
        <f t="shared" si="3"/>
        <v>0.11219999999999999</v>
      </c>
      <c r="K88" s="23">
        <f t="shared" si="4"/>
        <v>0</v>
      </c>
      <c r="L88" s="20">
        <v>0</v>
      </c>
      <c r="M88" s="24">
        <v>0.1158</v>
      </c>
      <c r="N88" s="24">
        <v>4.7899999999999998E-2</v>
      </c>
      <c r="O88" s="24">
        <v>0.18379999999999999</v>
      </c>
      <c r="P88" s="25">
        <f t="shared" si="5"/>
        <v>0.1158</v>
      </c>
      <c r="Q88" s="26">
        <f t="shared" si="6"/>
        <v>1.008786865491756E-3</v>
      </c>
      <c r="R88" s="27">
        <v>0.11219999999999999</v>
      </c>
      <c r="S88" s="27">
        <v>0</v>
      </c>
      <c r="T88" s="27">
        <v>-0.73299999999999998</v>
      </c>
      <c r="U88" s="27">
        <v>0</v>
      </c>
    </row>
    <row r="89" spans="1:21" x14ac:dyDescent="0.45">
      <c r="A89" s="16" t="s">
        <v>271</v>
      </c>
      <c r="B89" s="19">
        <v>600</v>
      </c>
      <c r="C89" s="20">
        <v>2.1999999999999999E-2</v>
      </c>
      <c r="D89" s="19">
        <v>80</v>
      </c>
      <c r="E89" s="19">
        <v>320</v>
      </c>
      <c r="F89" s="21">
        <v>0.11219999999999999</v>
      </c>
      <c r="G89" s="21">
        <v>0</v>
      </c>
      <c r="H89" s="22">
        <v>0</v>
      </c>
      <c r="I89" s="22">
        <v>0.99441250000000003</v>
      </c>
      <c r="J89" s="23">
        <f t="shared" si="3"/>
        <v>0.11219999999999999</v>
      </c>
      <c r="K89" s="23">
        <f t="shared" si="4"/>
        <v>0.99441250000000003</v>
      </c>
      <c r="L89" s="20">
        <v>0.65</v>
      </c>
      <c r="M89" s="24">
        <v>0.6179</v>
      </c>
      <c r="N89" s="24">
        <v>0.55389999999999995</v>
      </c>
      <c r="O89" s="24">
        <v>0.68179999999999996</v>
      </c>
      <c r="P89" s="25">
        <f t="shared" si="5"/>
        <v>0.6179</v>
      </c>
      <c r="Q89" s="26">
        <f t="shared" si="6"/>
        <v>7.8858436436826454E-3</v>
      </c>
      <c r="R89" s="27">
        <v>0.11219999999999999</v>
      </c>
      <c r="S89" s="27">
        <v>0</v>
      </c>
      <c r="T89" s="27">
        <v>0</v>
      </c>
      <c r="U89" s="27">
        <v>0.97</v>
      </c>
    </row>
    <row r="90" spans="1:21" x14ac:dyDescent="0.45">
      <c r="A90" s="16" t="s">
        <v>272</v>
      </c>
      <c r="B90" s="19">
        <v>300</v>
      </c>
      <c r="C90" s="20">
        <v>5.5E-2</v>
      </c>
      <c r="D90" s="19">
        <v>167</v>
      </c>
      <c r="E90" s="19">
        <v>2400</v>
      </c>
      <c r="F90" s="21">
        <v>0.12342</v>
      </c>
      <c r="G90" s="21">
        <v>0</v>
      </c>
      <c r="H90" s="22">
        <v>1.6234930400000001</v>
      </c>
      <c r="I90" s="22">
        <v>0.77400000000000002</v>
      </c>
      <c r="J90" s="23">
        <f t="shared" si="3"/>
        <v>0.12342</v>
      </c>
      <c r="K90" s="23">
        <f t="shared" si="4"/>
        <v>2.3974930400000001</v>
      </c>
      <c r="L90" s="20">
        <v>0.08</v>
      </c>
      <c r="M90" s="24">
        <v>0.21640000000000001</v>
      </c>
      <c r="N90" s="24">
        <v>6.9099999999999995E-2</v>
      </c>
      <c r="O90" s="24">
        <v>0.36380000000000001</v>
      </c>
      <c r="P90" s="25">
        <f t="shared" si="5"/>
        <v>0.21640000000000001</v>
      </c>
      <c r="Q90" s="26">
        <f t="shared" si="6"/>
        <v>1.9988245320635362E-3</v>
      </c>
      <c r="R90" s="27">
        <v>0.156</v>
      </c>
      <c r="S90" s="27">
        <v>0</v>
      </c>
      <c r="T90" s="27">
        <v>1.5</v>
      </c>
      <c r="U90" s="27">
        <v>0.85</v>
      </c>
    </row>
    <row r="91" spans="1:21" ht="30" customHeight="1" x14ac:dyDescent="0.45">
      <c r="A91" s="97" t="s">
        <v>273</v>
      </c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3" spans="1:21" x14ac:dyDescent="0.45">
      <c r="A93" s="93" t="s">
        <v>274</v>
      </c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1:21" x14ac:dyDescent="0.45">
      <c r="A94" s="4" t="s">
        <v>275</v>
      </c>
      <c r="B94" s="4">
        <v>2022</v>
      </c>
      <c r="C94" s="4">
        <v>2023</v>
      </c>
      <c r="D94" s="4">
        <v>2024</v>
      </c>
      <c r="E94" s="4">
        <v>2025</v>
      </c>
      <c r="F94" s="4">
        <v>2026</v>
      </c>
      <c r="G94" s="4">
        <v>2027</v>
      </c>
      <c r="H94" s="4">
        <v>2028</v>
      </c>
      <c r="I94" s="4">
        <v>2029</v>
      </c>
      <c r="J94" s="4">
        <v>2030</v>
      </c>
      <c r="K94" s="4">
        <v>2031</v>
      </c>
      <c r="L94" s="4">
        <v>2032</v>
      </c>
      <c r="M94" s="4">
        <v>2033</v>
      </c>
      <c r="N94" s="4">
        <v>2034</v>
      </c>
      <c r="O94" s="4">
        <v>2035</v>
      </c>
      <c r="P94" s="4">
        <v>2036</v>
      </c>
      <c r="Q94" s="4">
        <v>2037</v>
      </c>
      <c r="R94" s="4">
        <v>2038</v>
      </c>
      <c r="S94" s="4">
        <v>2039</v>
      </c>
      <c r="T94" s="4">
        <v>2040</v>
      </c>
      <c r="U94" s="4">
        <v>2041</v>
      </c>
    </row>
    <row r="95" spans="1:21" x14ac:dyDescent="0.45">
      <c r="A95" s="5" t="s">
        <v>276</v>
      </c>
      <c r="B95" s="20">
        <v>0</v>
      </c>
      <c r="C95" s="20">
        <v>0</v>
      </c>
      <c r="D95" s="20">
        <v>0</v>
      </c>
      <c r="E95" s="20">
        <v>0</v>
      </c>
      <c r="F95" s="20">
        <v>2.5000000000000001E-2</v>
      </c>
      <c r="G95" s="20">
        <v>0.05</v>
      </c>
      <c r="H95" s="20">
        <v>0.1</v>
      </c>
      <c r="I95" s="20">
        <v>0.22500000000000001</v>
      </c>
      <c r="J95" s="20">
        <v>0.48499999999999999</v>
      </c>
      <c r="K95" s="20">
        <v>0.61</v>
      </c>
      <c r="L95" s="20">
        <v>0.73499999999999999</v>
      </c>
      <c r="M95" s="20">
        <v>0.86</v>
      </c>
      <c r="N95" s="20">
        <v>1</v>
      </c>
      <c r="O95" s="20">
        <v>1</v>
      </c>
      <c r="P95" s="20">
        <v>1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</row>
    <row r="96" spans="1:21" x14ac:dyDescent="0.45">
      <c r="A96" s="5" t="s">
        <v>277</v>
      </c>
      <c r="B96" s="28">
        <v>0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20</v>
      </c>
      <c r="I96" s="28">
        <v>20</v>
      </c>
      <c r="J96" s="28">
        <v>20</v>
      </c>
      <c r="K96" s="28">
        <v>20</v>
      </c>
      <c r="L96" s="28">
        <v>20</v>
      </c>
      <c r="M96" s="28">
        <v>20</v>
      </c>
      <c r="N96" s="28">
        <v>20</v>
      </c>
      <c r="O96" s="28">
        <v>20</v>
      </c>
      <c r="P96" s="28">
        <v>20</v>
      </c>
      <c r="Q96" s="28">
        <v>20</v>
      </c>
      <c r="R96" s="28">
        <v>20</v>
      </c>
      <c r="S96" s="28">
        <v>20</v>
      </c>
      <c r="T96" s="28">
        <v>20</v>
      </c>
      <c r="U96" s="28">
        <v>20</v>
      </c>
    </row>
    <row r="97" spans="1:21" x14ac:dyDescent="0.45">
      <c r="A97" s="5" t="s">
        <v>278</v>
      </c>
      <c r="B97" s="29">
        <f t="shared" ref="B97:U97" si="7">INDEX(CPO_Data,MATCH("egy.mit.cptraj.2|EG3",CPO_Keys,0),MATCH(B$94,CPO_Years,0))</f>
        <v>0</v>
      </c>
      <c r="C97" s="29">
        <f t="shared" si="7"/>
        <v>0</v>
      </c>
      <c r="D97" s="29">
        <f t="shared" si="7"/>
        <v>0</v>
      </c>
      <c r="E97" s="29">
        <f t="shared" si="7"/>
        <v>0</v>
      </c>
      <c r="F97" s="29">
        <f t="shared" si="7"/>
        <v>0</v>
      </c>
      <c r="G97" s="29">
        <f t="shared" si="7"/>
        <v>0</v>
      </c>
      <c r="H97" s="29">
        <f t="shared" si="7"/>
        <v>5</v>
      </c>
      <c r="I97" s="29">
        <f t="shared" si="7"/>
        <v>12.5</v>
      </c>
      <c r="J97" s="29">
        <f t="shared" si="7"/>
        <v>20</v>
      </c>
      <c r="K97" s="29">
        <f t="shared" si="7"/>
        <v>27.5</v>
      </c>
      <c r="L97" s="29">
        <f t="shared" si="7"/>
        <v>35</v>
      </c>
      <c r="M97" s="29">
        <f t="shared" si="7"/>
        <v>42.5</v>
      </c>
      <c r="N97" s="29">
        <f t="shared" si="7"/>
        <v>50</v>
      </c>
      <c r="O97" s="29">
        <f t="shared" si="7"/>
        <v>57.5</v>
      </c>
      <c r="P97" s="29">
        <f t="shared" si="7"/>
        <v>65</v>
      </c>
      <c r="Q97" s="29">
        <f t="shared" si="7"/>
        <v>72.5</v>
      </c>
      <c r="R97" s="29">
        <f t="shared" si="7"/>
        <v>80</v>
      </c>
      <c r="S97" s="29">
        <f t="shared" si="7"/>
        <v>87.5</v>
      </c>
      <c r="T97" s="29">
        <f t="shared" si="7"/>
        <v>95</v>
      </c>
      <c r="U97" s="29">
        <f t="shared" si="7"/>
        <v>102.5</v>
      </c>
    </row>
    <row r="98" spans="1:21" x14ac:dyDescent="0.45">
      <c r="A98" s="30" t="s">
        <v>279</v>
      </c>
      <c r="B98" s="29">
        <f t="shared" ref="B98:U98" si="8">INDEX(CPO_Data,MATCH("egy.mit.cptraj.2|EG1",CPO_Keys,0),MATCH(B$94,CPO_Years,0))</f>
        <v>0</v>
      </c>
      <c r="C98" s="29">
        <f t="shared" si="8"/>
        <v>0</v>
      </c>
      <c r="D98" s="29">
        <f t="shared" si="8"/>
        <v>0</v>
      </c>
      <c r="E98" s="29">
        <f t="shared" si="8"/>
        <v>0</v>
      </c>
      <c r="F98" s="29">
        <f t="shared" si="8"/>
        <v>0</v>
      </c>
      <c r="G98" s="29">
        <f t="shared" si="8"/>
        <v>0</v>
      </c>
      <c r="H98" s="29">
        <f t="shared" si="8"/>
        <v>20</v>
      </c>
      <c r="I98" s="29">
        <f t="shared" si="8"/>
        <v>20</v>
      </c>
      <c r="J98" s="29">
        <f t="shared" si="8"/>
        <v>20</v>
      </c>
      <c r="K98" s="29">
        <f t="shared" si="8"/>
        <v>20</v>
      </c>
      <c r="L98" s="29">
        <f t="shared" si="8"/>
        <v>20</v>
      </c>
      <c r="M98" s="29">
        <f t="shared" si="8"/>
        <v>20</v>
      </c>
      <c r="N98" s="29">
        <f t="shared" si="8"/>
        <v>20</v>
      </c>
      <c r="O98" s="29">
        <f t="shared" si="8"/>
        <v>20</v>
      </c>
      <c r="P98" s="29">
        <f t="shared" si="8"/>
        <v>20</v>
      </c>
      <c r="Q98" s="29">
        <f t="shared" si="8"/>
        <v>20</v>
      </c>
      <c r="R98" s="29">
        <f t="shared" si="8"/>
        <v>20</v>
      </c>
      <c r="S98" s="29">
        <f t="shared" si="8"/>
        <v>20</v>
      </c>
      <c r="T98" s="29">
        <f t="shared" si="8"/>
        <v>20</v>
      </c>
      <c r="U98" s="29">
        <f t="shared" si="8"/>
        <v>20</v>
      </c>
    </row>
  </sheetData>
  <mergeCells count="56">
    <mergeCell ref="A1:U1"/>
    <mergeCell ref="F14:P14"/>
    <mergeCell ref="H68:P68"/>
    <mergeCell ref="A2:P2"/>
    <mergeCell ref="A93:U93"/>
    <mergeCell ref="F22:P22"/>
    <mergeCell ref="F28:P28"/>
    <mergeCell ref="F13:P13"/>
    <mergeCell ref="F31:P31"/>
    <mergeCell ref="H67:P67"/>
    <mergeCell ref="F27:P27"/>
    <mergeCell ref="J74:P74"/>
    <mergeCell ref="J79:P79"/>
    <mergeCell ref="H63:P63"/>
    <mergeCell ref="F37:P37"/>
    <mergeCell ref="H40:P40"/>
    <mergeCell ref="A91:U91"/>
    <mergeCell ref="F35:P35"/>
    <mergeCell ref="F8:P8"/>
    <mergeCell ref="A81:U81"/>
    <mergeCell ref="J78:P78"/>
    <mergeCell ref="F23:P23"/>
    <mergeCell ref="J77:P77"/>
    <mergeCell ref="F9:P9"/>
    <mergeCell ref="J76:P76"/>
    <mergeCell ref="F7:P7"/>
    <mergeCell ref="F12:P12"/>
    <mergeCell ref="F24:P24"/>
    <mergeCell ref="F30:P30"/>
    <mergeCell ref="F15:P15"/>
    <mergeCell ref="F21:P21"/>
    <mergeCell ref="A39:P39"/>
    <mergeCell ref="F20:P20"/>
    <mergeCell ref="H66:P66"/>
    <mergeCell ref="F33:P33"/>
    <mergeCell ref="J73:P73"/>
    <mergeCell ref="H65:P65"/>
    <mergeCell ref="F36:P36"/>
    <mergeCell ref="F18:P18"/>
    <mergeCell ref="F32:P32"/>
    <mergeCell ref="A4:P4"/>
    <mergeCell ref="F10:P10"/>
    <mergeCell ref="F34:P34"/>
    <mergeCell ref="H70:P70"/>
    <mergeCell ref="F6:P6"/>
    <mergeCell ref="H69:P69"/>
    <mergeCell ref="F5:P5"/>
    <mergeCell ref="F26:P26"/>
    <mergeCell ref="H64:P64"/>
    <mergeCell ref="J75:P75"/>
    <mergeCell ref="F11:P11"/>
    <mergeCell ref="A17:P17"/>
    <mergeCell ref="F29:P29"/>
    <mergeCell ref="F19:P19"/>
    <mergeCell ref="F25:P25"/>
    <mergeCell ref="A72:P72"/>
  </mergeCells>
  <dataValidations count="9">
    <dataValidation type="list" sqref="B6" xr:uid="{00000000-0002-0000-0100-000000000000}">
      <formula1>"REBUILD,PROTOTYPE"</formula1>
    </dataValidation>
    <dataValidation type="list" sqref="B7" xr:uid="{00000000-0002-0000-0100-000001000000}">
      <formula1>"NOPHASE,FULL,SCALED"</formula1>
    </dataValidation>
    <dataValidation type="list" sqref="B10" xr:uid="{00000000-0002-0000-0100-000002000000}">
      <formula1>"IPCC_CENTRAL,IPCC_2030,IPCC_LONGRUN,PROTOTYPE"</formula1>
    </dataValidation>
    <dataValidation type="list" sqref="B11" xr:uid="{00000000-0002-0000-0100-000003000000}">
      <formula1>"EGY_EF_V01,PROTOTYPE"</formula1>
    </dataValidation>
    <dataValidation type="list" sqref="B12" xr:uid="{00000000-0002-0000-0100-000004000000}">
      <formula1>"EG1,EG2,EG3"</formula1>
    </dataValidation>
    <dataValidation type="list" sqref="B13" xr:uid="{00000000-0002-0000-0100-000005000000}">
      <formula1>"0,1"</formula1>
    </dataValidation>
    <dataValidation type="list" sqref="B14" xr:uid="{00000000-0002-0000-0100-000006000000}">
      <formula1>"NONE,CPAT"</formula1>
    </dataValidation>
    <dataValidation type="list" sqref="B15" xr:uid="{00000000-0002-0000-0100-000007000000}">
      <formula1>"SCALE,AUTO,ONE"</formula1>
    </dataValidation>
    <dataValidation type="whole" sqref="B8" xr:uid="{00000000-0002-0000-0100-000008000000}">
      <formula1>2026</formula1>
      <formula2>2041</formula2>
    </dataValidation>
  </dataValidation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0" customWidth="1"/>
    <col min="3" max="3" width="34" customWidth="1"/>
    <col min="4" max="4" width="48" customWidth="1"/>
    <col min="5" max="24" width="9.46484375" customWidth="1"/>
  </cols>
  <sheetData>
    <row r="1" spans="1:24" ht="22.05" customHeight="1" x14ac:dyDescent="0.45">
      <c r="A1" s="90" t="s">
        <v>280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24" ht="30" customHeight="1" x14ac:dyDescent="0.45">
      <c r="A2" s="97" t="s">
        <v>281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24" x14ac:dyDescent="0.45">
      <c r="A3" s="31" t="s">
        <v>137</v>
      </c>
      <c r="B3" s="31" t="s">
        <v>282</v>
      </c>
      <c r="C3" s="31" t="s">
        <v>283</v>
      </c>
      <c r="D3" s="31" t="s">
        <v>284</v>
      </c>
      <c r="E3" s="31">
        <v>2022</v>
      </c>
      <c r="F3" s="31">
        <v>2023</v>
      </c>
      <c r="G3" s="31">
        <v>2024</v>
      </c>
      <c r="H3" s="31">
        <v>2025</v>
      </c>
      <c r="I3" s="31">
        <v>2026</v>
      </c>
      <c r="J3" s="31">
        <v>2027</v>
      </c>
      <c r="K3" s="31">
        <v>2028</v>
      </c>
      <c r="L3" s="31">
        <v>2029</v>
      </c>
      <c r="M3" s="31">
        <v>2030</v>
      </c>
      <c r="N3" s="31">
        <v>2031</v>
      </c>
      <c r="O3" s="31">
        <v>2032</v>
      </c>
      <c r="P3" s="31">
        <v>2033</v>
      </c>
      <c r="Q3" s="31">
        <v>2034</v>
      </c>
      <c r="R3" s="31">
        <v>2035</v>
      </c>
      <c r="S3" s="31">
        <v>2036</v>
      </c>
      <c r="T3" s="31">
        <v>2037</v>
      </c>
      <c r="U3" s="31">
        <v>2038</v>
      </c>
      <c r="V3" s="31">
        <v>2039</v>
      </c>
      <c r="W3" s="31">
        <v>2040</v>
      </c>
      <c r="X3" s="31">
        <v>2041</v>
      </c>
    </row>
    <row r="4" spans="1:24" x14ac:dyDescent="0.45">
      <c r="A4" s="8" t="s">
        <v>142</v>
      </c>
      <c r="B4" s="32" t="s">
        <v>57</v>
      </c>
      <c r="C4" s="8" t="s">
        <v>285</v>
      </c>
      <c r="D4" s="13" t="s">
        <v>286</v>
      </c>
      <c r="E4" s="14">
        <v>400.91199999999998</v>
      </c>
      <c r="F4" s="14">
        <v>417.87799999999999</v>
      </c>
      <c r="G4" s="14">
        <v>450.28</v>
      </c>
      <c r="H4" s="14">
        <v>474.66800000000001</v>
      </c>
      <c r="I4" s="14">
        <v>488.83699999999999</v>
      </c>
      <c r="J4" s="14">
        <v>507.334</v>
      </c>
      <c r="K4" s="14">
        <v>531.74699999999996</v>
      </c>
      <c r="L4" s="14">
        <v>560.63599999999997</v>
      </c>
      <c r="M4" s="14">
        <v>594.15599999999995</v>
      </c>
      <c r="N4" s="14">
        <v>637.81200000000001</v>
      </c>
      <c r="O4" s="14">
        <v>701.79399999999998</v>
      </c>
      <c r="P4" s="14">
        <v>772.31500000000005</v>
      </c>
      <c r="Q4" s="14">
        <v>835.74800000000005</v>
      </c>
      <c r="R4" s="14">
        <v>906.16600000000005</v>
      </c>
      <c r="S4" s="14">
        <v>983.29399999999998</v>
      </c>
      <c r="T4" s="14">
        <v>1067.761</v>
      </c>
      <c r="U4" s="14">
        <v>1160.0530000000001</v>
      </c>
      <c r="V4" s="14">
        <v>1260.6389999999999</v>
      </c>
      <c r="W4" s="14">
        <v>1370.0440000000001</v>
      </c>
      <c r="X4" s="14">
        <v>1487.8579999999999</v>
      </c>
    </row>
    <row r="5" spans="1:24" x14ac:dyDescent="0.45">
      <c r="A5" s="8" t="s">
        <v>142</v>
      </c>
      <c r="B5" s="32" t="s">
        <v>138</v>
      </c>
      <c r="C5" s="8" t="s">
        <v>287</v>
      </c>
      <c r="D5" s="13" t="s">
        <v>286</v>
      </c>
      <c r="E5" s="14">
        <v>400.91199999999998</v>
      </c>
      <c r="F5" s="14">
        <v>417.87799999999999</v>
      </c>
      <c r="G5" s="14">
        <v>450.28</v>
      </c>
      <c r="H5" s="14">
        <v>474.66800000000001</v>
      </c>
      <c r="I5" s="14">
        <v>488.83699999999999</v>
      </c>
      <c r="J5" s="14">
        <v>507.334</v>
      </c>
      <c r="K5" s="14">
        <v>531.74699999999996</v>
      </c>
      <c r="L5" s="14">
        <v>560.63599999999997</v>
      </c>
      <c r="M5" s="14">
        <v>594.15599999999995</v>
      </c>
      <c r="N5" s="14">
        <v>637.81200000000001</v>
      </c>
      <c r="O5" s="14">
        <v>701.79399999999998</v>
      </c>
      <c r="P5" s="14">
        <v>772.31500000000005</v>
      </c>
      <c r="Q5" s="14">
        <v>835.74800000000005</v>
      </c>
      <c r="R5" s="14">
        <v>906.16600000000005</v>
      </c>
      <c r="S5" s="14">
        <v>983.29399999999998</v>
      </c>
      <c r="T5" s="14">
        <v>1067.761</v>
      </c>
      <c r="U5" s="14">
        <v>1160.0530000000001</v>
      </c>
      <c r="V5" s="14">
        <v>1260.6389999999999</v>
      </c>
      <c r="W5" s="14">
        <v>1370.0440000000001</v>
      </c>
      <c r="X5" s="14">
        <v>1487.8579999999999</v>
      </c>
    </row>
    <row r="6" spans="1:24" x14ac:dyDescent="0.45">
      <c r="A6" s="8" t="s">
        <v>142</v>
      </c>
      <c r="B6" s="32" t="s">
        <v>139</v>
      </c>
      <c r="C6" s="8" t="s">
        <v>288</v>
      </c>
      <c r="D6" s="13" t="s">
        <v>286</v>
      </c>
      <c r="E6" s="14">
        <v>400.91199999999998</v>
      </c>
      <c r="F6" s="14">
        <v>417.87799999999999</v>
      </c>
      <c r="G6" s="14">
        <v>450.28</v>
      </c>
      <c r="H6" s="14">
        <v>474.66800000000001</v>
      </c>
      <c r="I6" s="14">
        <v>488.83699999999999</v>
      </c>
      <c r="J6" s="14">
        <v>507.334</v>
      </c>
      <c r="K6" s="14">
        <v>531.74699999999996</v>
      </c>
      <c r="L6" s="14">
        <v>560.63599999999997</v>
      </c>
      <c r="M6" s="14">
        <v>594.15599999999995</v>
      </c>
      <c r="N6" s="14">
        <v>637.81200000000001</v>
      </c>
      <c r="O6" s="14">
        <v>701.79399999999998</v>
      </c>
      <c r="P6" s="14">
        <v>772.31500000000005</v>
      </c>
      <c r="Q6" s="14">
        <v>835.74800000000005</v>
      </c>
      <c r="R6" s="14">
        <v>906.16600000000005</v>
      </c>
      <c r="S6" s="14">
        <v>983.29399999999998</v>
      </c>
      <c r="T6" s="14">
        <v>1067.761</v>
      </c>
      <c r="U6" s="14">
        <v>1160.0530000000001</v>
      </c>
      <c r="V6" s="14">
        <v>1260.6389999999999</v>
      </c>
      <c r="W6" s="14">
        <v>1370.0440000000001</v>
      </c>
      <c r="X6" s="14">
        <v>1487.8579999999999</v>
      </c>
    </row>
    <row r="7" spans="1:24" x14ac:dyDescent="0.45">
      <c r="A7" s="8" t="s">
        <v>142</v>
      </c>
      <c r="B7" s="32" t="s">
        <v>140</v>
      </c>
      <c r="C7" s="8" t="s">
        <v>289</v>
      </c>
      <c r="D7" s="13" t="s">
        <v>286</v>
      </c>
      <c r="E7" s="14">
        <v>400.91199999999998</v>
      </c>
      <c r="F7" s="14">
        <v>417.87799999999999</v>
      </c>
      <c r="G7" s="14">
        <v>450.28</v>
      </c>
      <c r="H7" s="14">
        <v>474.66800000000001</v>
      </c>
      <c r="I7" s="14">
        <v>488.83699999999999</v>
      </c>
      <c r="J7" s="14">
        <v>507.334</v>
      </c>
      <c r="K7" s="14">
        <v>531.74699999999996</v>
      </c>
      <c r="L7" s="14">
        <v>560.63599999999997</v>
      </c>
      <c r="M7" s="14">
        <v>594.15599999999995</v>
      </c>
      <c r="N7" s="14">
        <v>637.81200000000001</v>
      </c>
      <c r="O7" s="14">
        <v>701.79399999999998</v>
      </c>
      <c r="P7" s="14">
        <v>772.31500000000005</v>
      </c>
      <c r="Q7" s="14">
        <v>835.74800000000005</v>
      </c>
      <c r="R7" s="14">
        <v>906.16600000000005</v>
      </c>
      <c r="S7" s="14">
        <v>983.29399999999998</v>
      </c>
      <c r="T7" s="14">
        <v>1067.761</v>
      </c>
      <c r="U7" s="14">
        <v>1160.0530000000001</v>
      </c>
      <c r="V7" s="14">
        <v>1260.6389999999999</v>
      </c>
      <c r="W7" s="14">
        <v>1370.0440000000001</v>
      </c>
      <c r="X7" s="14">
        <v>1487.8579999999999</v>
      </c>
    </row>
    <row r="8" spans="1:24" x14ac:dyDescent="0.45">
      <c r="A8" s="8" t="s">
        <v>145</v>
      </c>
      <c r="B8" s="32" t="s">
        <v>57</v>
      </c>
      <c r="C8" s="8" t="s">
        <v>290</v>
      </c>
      <c r="D8" s="13" t="s">
        <v>291</v>
      </c>
      <c r="E8" s="14">
        <v>400.91199999999998</v>
      </c>
      <c r="F8" s="14">
        <v>417.779</v>
      </c>
      <c r="G8" s="14">
        <v>450.16500000000002</v>
      </c>
      <c r="H8" s="14">
        <v>474.55700000000002</v>
      </c>
      <c r="I8" s="14">
        <v>488.72800000000001</v>
      </c>
      <c r="J8" s="14">
        <v>507.15600000000001</v>
      </c>
      <c r="K8" s="14">
        <v>497.15</v>
      </c>
      <c r="L8" s="14">
        <v>517.96299999999997</v>
      </c>
      <c r="M8" s="14">
        <v>555.279</v>
      </c>
      <c r="N8" s="14">
        <v>598.30100000000004</v>
      </c>
      <c r="O8" s="14">
        <v>667.41700000000003</v>
      </c>
      <c r="P8" s="14">
        <v>723.178</v>
      </c>
      <c r="Q8" s="14">
        <v>784.76800000000003</v>
      </c>
      <c r="R8" s="14">
        <v>853.19</v>
      </c>
      <c r="S8" s="14">
        <v>928.76499999999999</v>
      </c>
      <c r="T8" s="14">
        <v>1012.0069999999999</v>
      </c>
      <c r="U8" s="14">
        <v>1103.4390000000001</v>
      </c>
      <c r="V8" s="14">
        <v>1203.5229999999999</v>
      </c>
      <c r="W8" s="14">
        <v>1312.6610000000001</v>
      </c>
      <c r="X8" s="14">
        <v>1430.405</v>
      </c>
    </row>
    <row r="9" spans="1:24" x14ac:dyDescent="0.45">
      <c r="A9" s="8" t="s">
        <v>145</v>
      </c>
      <c r="B9" s="32" t="s">
        <v>138</v>
      </c>
      <c r="C9" s="8" t="s">
        <v>292</v>
      </c>
      <c r="D9" s="13" t="s">
        <v>291</v>
      </c>
      <c r="E9" s="14">
        <v>400.91199999999998</v>
      </c>
      <c r="F9" s="14">
        <v>417.779</v>
      </c>
      <c r="G9" s="14">
        <v>450.16500000000002</v>
      </c>
      <c r="H9" s="14">
        <v>474.55700000000002</v>
      </c>
      <c r="I9" s="14">
        <v>488.72800000000001</v>
      </c>
      <c r="J9" s="14">
        <v>507.15600000000001</v>
      </c>
      <c r="K9" s="14">
        <v>497.15</v>
      </c>
      <c r="L9" s="14">
        <v>516.83199999999999</v>
      </c>
      <c r="M9" s="14">
        <v>553.154</v>
      </c>
      <c r="N9" s="14">
        <v>594.93200000000002</v>
      </c>
      <c r="O9" s="14">
        <v>662.98599999999999</v>
      </c>
      <c r="P9" s="14">
        <v>718.69100000000003</v>
      </c>
      <c r="Q9" s="14">
        <v>779.16200000000003</v>
      </c>
      <c r="R9" s="14">
        <v>846.23800000000006</v>
      </c>
      <c r="S9" s="14">
        <v>920.21900000000005</v>
      </c>
      <c r="T9" s="14">
        <v>1001.454</v>
      </c>
      <c r="U9" s="14">
        <v>1090.415</v>
      </c>
      <c r="V9" s="14">
        <v>1187.5920000000001</v>
      </c>
      <c r="W9" s="14">
        <v>1293.482</v>
      </c>
      <c r="X9" s="14">
        <v>1407.72</v>
      </c>
    </row>
    <row r="10" spans="1:24" x14ac:dyDescent="0.45">
      <c r="A10" s="8" t="s">
        <v>145</v>
      </c>
      <c r="B10" s="32" t="s">
        <v>139</v>
      </c>
      <c r="C10" s="8" t="s">
        <v>293</v>
      </c>
      <c r="D10" s="13" t="s">
        <v>291</v>
      </c>
      <c r="E10" s="14">
        <v>400.91199999999998</v>
      </c>
      <c r="F10" s="14">
        <v>417.87400000000002</v>
      </c>
      <c r="G10" s="14">
        <v>450.27499999999998</v>
      </c>
      <c r="H10" s="14">
        <v>474.66300000000001</v>
      </c>
      <c r="I10" s="14">
        <v>488.83300000000003</v>
      </c>
      <c r="J10" s="14">
        <v>507.29399999999998</v>
      </c>
      <c r="K10" s="14">
        <v>525.95600000000002</v>
      </c>
      <c r="L10" s="14">
        <v>546.53</v>
      </c>
      <c r="M10" s="14">
        <v>572.61400000000003</v>
      </c>
      <c r="N10" s="14">
        <v>607.83799999999997</v>
      </c>
      <c r="O10" s="14">
        <v>668.18</v>
      </c>
      <c r="P10" s="14">
        <v>713.41800000000001</v>
      </c>
      <c r="Q10" s="14">
        <v>765.05</v>
      </c>
      <c r="R10" s="14">
        <v>823.14400000000001</v>
      </c>
      <c r="S10" s="14">
        <v>887.99400000000003</v>
      </c>
      <c r="T10" s="14">
        <v>959.81799999999998</v>
      </c>
      <c r="U10" s="14">
        <v>1039.175</v>
      </c>
      <c r="V10" s="14">
        <v>1126.569</v>
      </c>
      <c r="W10" s="14">
        <v>1222.5160000000001</v>
      </c>
      <c r="X10" s="14">
        <v>1326.681</v>
      </c>
    </row>
    <row r="11" spans="1:24" x14ac:dyDescent="0.45">
      <c r="A11" s="8" t="s">
        <v>145</v>
      </c>
      <c r="B11" s="32" t="s">
        <v>140</v>
      </c>
      <c r="C11" s="8" t="s">
        <v>294</v>
      </c>
      <c r="D11" s="13" t="s">
        <v>291</v>
      </c>
      <c r="E11" s="14">
        <v>400.91199999999998</v>
      </c>
      <c r="F11" s="14">
        <v>417.87799999999999</v>
      </c>
      <c r="G11" s="14">
        <v>450.28</v>
      </c>
      <c r="H11" s="14">
        <v>474.66800000000001</v>
      </c>
      <c r="I11" s="14">
        <v>488.83699999999999</v>
      </c>
      <c r="J11" s="14">
        <v>507.334</v>
      </c>
      <c r="K11" s="14">
        <v>531.74699999999996</v>
      </c>
      <c r="L11" s="14">
        <v>554.16099999999994</v>
      </c>
      <c r="M11" s="14">
        <v>584.53899999999999</v>
      </c>
      <c r="N11" s="14">
        <v>625.25900000000001</v>
      </c>
      <c r="O11" s="14">
        <v>679.52499999999998</v>
      </c>
      <c r="P11" s="14">
        <v>752.91800000000001</v>
      </c>
      <c r="Q11" s="14">
        <v>812.11800000000005</v>
      </c>
      <c r="R11" s="14">
        <v>877.48900000000003</v>
      </c>
      <c r="S11" s="14">
        <v>949.23500000000001</v>
      </c>
      <c r="T11" s="14">
        <v>1028.2429999999999</v>
      </c>
      <c r="U11" s="14">
        <v>1115.5139999999999</v>
      </c>
      <c r="V11" s="14">
        <v>1212.299</v>
      </c>
      <c r="W11" s="14">
        <v>1320.2629999999999</v>
      </c>
      <c r="X11" s="14">
        <v>1435.0740000000001</v>
      </c>
    </row>
    <row r="12" spans="1:24" x14ac:dyDescent="0.45">
      <c r="A12" s="8" t="s">
        <v>147</v>
      </c>
      <c r="B12" s="32" t="s">
        <v>57</v>
      </c>
      <c r="C12" s="8" t="s">
        <v>295</v>
      </c>
      <c r="D12" s="13" t="s">
        <v>296</v>
      </c>
      <c r="E12" s="14">
        <v>52.2</v>
      </c>
      <c r="F12" s="14">
        <v>56.902999999999999</v>
      </c>
      <c r="G12" s="14">
        <v>67.484999999999999</v>
      </c>
      <c r="H12" s="14">
        <v>72.938000000000002</v>
      </c>
      <c r="I12" s="14">
        <v>75.02</v>
      </c>
      <c r="J12" s="14">
        <v>77.454999999999998</v>
      </c>
      <c r="K12" s="14">
        <v>80.412000000000006</v>
      </c>
      <c r="L12" s="14">
        <v>83.271000000000001</v>
      </c>
      <c r="M12" s="14">
        <v>85.97</v>
      </c>
      <c r="N12" s="14">
        <v>88.71</v>
      </c>
      <c r="O12" s="14">
        <v>91.478999999999999</v>
      </c>
      <c r="P12" s="14">
        <v>94.296999999999997</v>
      </c>
      <c r="Q12" s="14">
        <v>97.164000000000001</v>
      </c>
      <c r="R12" s="14">
        <v>100.08</v>
      </c>
      <c r="S12" s="14">
        <v>103.044</v>
      </c>
      <c r="T12" s="14">
        <v>106.056</v>
      </c>
      <c r="U12" s="14">
        <v>109.11499999999999</v>
      </c>
      <c r="V12" s="14">
        <v>112.221</v>
      </c>
      <c r="W12" s="14">
        <v>115.374</v>
      </c>
      <c r="X12" s="14">
        <v>118.57299999999999</v>
      </c>
    </row>
    <row r="13" spans="1:24" x14ac:dyDescent="0.45">
      <c r="A13" s="8" t="s">
        <v>147</v>
      </c>
      <c r="B13" s="32" t="s">
        <v>138</v>
      </c>
      <c r="C13" s="8" t="s">
        <v>297</v>
      </c>
      <c r="D13" s="13" t="s">
        <v>296</v>
      </c>
      <c r="E13" s="14">
        <v>52.2</v>
      </c>
      <c r="F13" s="14">
        <v>56.902999999999999</v>
      </c>
      <c r="G13" s="14">
        <v>67.484999999999999</v>
      </c>
      <c r="H13" s="14">
        <v>72.938000000000002</v>
      </c>
      <c r="I13" s="14">
        <v>75.02</v>
      </c>
      <c r="J13" s="14">
        <v>77.454999999999998</v>
      </c>
      <c r="K13" s="14">
        <v>80.412000000000006</v>
      </c>
      <c r="L13" s="14">
        <v>83.271000000000001</v>
      </c>
      <c r="M13" s="14">
        <v>85.97</v>
      </c>
      <c r="N13" s="14">
        <v>88.71</v>
      </c>
      <c r="O13" s="14">
        <v>91.478999999999999</v>
      </c>
      <c r="P13" s="14">
        <v>94.296999999999997</v>
      </c>
      <c r="Q13" s="14">
        <v>97.164000000000001</v>
      </c>
      <c r="R13" s="14">
        <v>100.08</v>
      </c>
      <c r="S13" s="14">
        <v>103.044</v>
      </c>
      <c r="T13" s="14">
        <v>106.056</v>
      </c>
      <c r="U13" s="14">
        <v>109.11499999999999</v>
      </c>
      <c r="V13" s="14">
        <v>112.221</v>
      </c>
      <c r="W13" s="14">
        <v>115.374</v>
      </c>
      <c r="X13" s="14">
        <v>118.57299999999999</v>
      </c>
    </row>
    <row r="14" spans="1:24" x14ac:dyDescent="0.45">
      <c r="A14" s="8" t="s">
        <v>147</v>
      </c>
      <c r="B14" s="32" t="s">
        <v>139</v>
      </c>
      <c r="C14" s="8" t="s">
        <v>298</v>
      </c>
      <c r="D14" s="13" t="s">
        <v>296</v>
      </c>
      <c r="E14" s="14">
        <v>52.2</v>
      </c>
      <c r="F14" s="14">
        <v>56.902999999999999</v>
      </c>
      <c r="G14" s="14">
        <v>67.484999999999999</v>
      </c>
      <c r="H14" s="14">
        <v>72.938000000000002</v>
      </c>
      <c r="I14" s="14">
        <v>75.02</v>
      </c>
      <c r="J14" s="14">
        <v>77.454999999999998</v>
      </c>
      <c r="K14" s="14">
        <v>80.412000000000006</v>
      </c>
      <c r="L14" s="14">
        <v>83.271000000000001</v>
      </c>
      <c r="M14" s="14">
        <v>85.97</v>
      </c>
      <c r="N14" s="14">
        <v>88.71</v>
      </c>
      <c r="O14" s="14">
        <v>91.478999999999999</v>
      </c>
      <c r="P14" s="14">
        <v>94.296999999999997</v>
      </c>
      <c r="Q14" s="14">
        <v>97.164000000000001</v>
      </c>
      <c r="R14" s="14">
        <v>100.08</v>
      </c>
      <c r="S14" s="14">
        <v>103.044</v>
      </c>
      <c r="T14" s="14">
        <v>106.056</v>
      </c>
      <c r="U14" s="14">
        <v>109.11499999999999</v>
      </c>
      <c r="V14" s="14">
        <v>112.221</v>
      </c>
      <c r="W14" s="14">
        <v>115.374</v>
      </c>
      <c r="X14" s="14">
        <v>118.57299999999999</v>
      </c>
    </row>
    <row r="15" spans="1:24" x14ac:dyDescent="0.45">
      <c r="A15" s="8" t="s">
        <v>147</v>
      </c>
      <c r="B15" s="32" t="s">
        <v>140</v>
      </c>
      <c r="C15" s="8" t="s">
        <v>299</v>
      </c>
      <c r="D15" s="13" t="s">
        <v>296</v>
      </c>
      <c r="E15" s="14">
        <v>52.2</v>
      </c>
      <c r="F15" s="14">
        <v>56.902999999999999</v>
      </c>
      <c r="G15" s="14">
        <v>67.484999999999999</v>
      </c>
      <c r="H15" s="14">
        <v>72.938000000000002</v>
      </c>
      <c r="I15" s="14">
        <v>75.02</v>
      </c>
      <c r="J15" s="14">
        <v>77.454999999999998</v>
      </c>
      <c r="K15" s="14">
        <v>80.412000000000006</v>
      </c>
      <c r="L15" s="14">
        <v>83.271000000000001</v>
      </c>
      <c r="M15" s="14">
        <v>85.97</v>
      </c>
      <c r="N15" s="14">
        <v>88.71</v>
      </c>
      <c r="O15" s="14">
        <v>91.478999999999999</v>
      </c>
      <c r="P15" s="14">
        <v>94.296999999999997</v>
      </c>
      <c r="Q15" s="14">
        <v>97.164000000000001</v>
      </c>
      <c r="R15" s="14">
        <v>100.08</v>
      </c>
      <c r="S15" s="14">
        <v>103.044</v>
      </c>
      <c r="T15" s="14">
        <v>106.056</v>
      </c>
      <c r="U15" s="14">
        <v>109.11499999999999</v>
      </c>
      <c r="V15" s="14">
        <v>112.221</v>
      </c>
      <c r="W15" s="14">
        <v>115.374</v>
      </c>
      <c r="X15" s="14">
        <v>118.57299999999999</v>
      </c>
    </row>
    <row r="16" spans="1:24" x14ac:dyDescent="0.45">
      <c r="A16" s="8" t="s">
        <v>149</v>
      </c>
      <c r="B16" s="32" t="s">
        <v>57</v>
      </c>
      <c r="C16" s="8" t="s">
        <v>300</v>
      </c>
      <c r="D16" s="13" t="s">
        <v>301</v>
      </c>
      <c r="E16" s="14">
        <v>52.2</v>
      </c>
      <c r="F16" s="14">
        <v>56.902999999999999</v>
      </c>
      <c r="G16" s="14">
        <v>67.484999999999999</v>
      </c>
      <c r="H16" s="14">
        <v>72.938000000000002</v>
      </c>
      <c r="I16" s="14">
        <v>75.02</v>
      </c>
      <c r="J16" s="14">
        <v>77.454999999999998</v>
      </c>
      <c r="K16" s="14">
        <v>68.415000000000006</v>
      </c>
      <c r="L16" s="14">
        <v>71.459999999999994</v>
      </c>
      <c r="M16" s="14">
        <v>74.015000000000001</v>
      </c>
      <c r="N16" s="14">
        <v>76.510999999999996</v>
      </c>
      <c r="O16" s="14">
        <v>79.001999999999995</v>
      </c>
      <c r="P16" s="14">
        <v>81.600999999999999</v>
      </c>
      <c r="Q16" s="14">
        <v>84.373999999999995</v>
      </c>
      <c r="R16" s="14">
        <v>87.287999999999997</v>
      </c>
      <c r="S16" s="14">
        <v>90.378</v>
      </c>
      <c r="T16" s="14">
        <v>93.718000000000004</v>
      </c>
      <c r="U16" s="14">
        <v>97.298000000000002</v>
      </c>
      <c r="V16" s="14">
        <v>101.117</v>
      </c>
      <c r="W16" s="14">
        <v>105.121</v>
      </c>
      <c r="X16" s="14">
        <v>109.29</v>
      </c>
    </row>
    <row r="17" spans="1:24" x14ac:dyDescent="0.45">
      <c r="A17" s="8" t="s">
        <v>149</v>
      </c>
      <c r="B17" s="32" t="s">
        <v>138</v>
      </c>
      <c r="C17" s="8" t="s">
        <v>302</v>
      </c>
      <c r="D17" s="13" t="s">
        <v>301</v>
      </c>
      <c r="E17" s="14">
        <v>52.2</v>
      </c>
      <c r="F17" s="14">
        <v>56.902999999999999</v>
      </c>
      <c r="G17" s="14">
        <v>67.484999999999999</v>
      </c>
      <c r="H17" s="14">
        <v>72.938000000000002</v>
      </c>
      <c r="I17" s="14">
        <v>75.02</v>
      </c>
      <c r="J17" s="14">
        <v>77.454999999999998</v>
      </c>
      <c r="K17" s="14">
        <v>68.415000000000006</v>
      </c>
      <c r="L17" s="14">
        <v>71.165000000000006</v>
      </c>
      <c r="M17" s="14">
        <v>73.406999999999996</v>
      </c>
      <c r="N17" s="14">
        <v>75.62</v>
      </c>
      <c r="O17" s="14">
        <v>77.837999999999994</v>
      </c>
      <c r="P17" s="14">
        <v>80.12</v>
      </c>
      <c r="Q17" s="14">
        <v>82.451999999999998</v>
      </c>
      <c r="R17" s="14">
        <v>84.828999999999994</v>
      </c>
      <c r="S17" s="14">
        <v>87.278000000000006</v>
      </c>
      <c r="T17" s="14">
        <v>89.807000000000002</v>
      </c>
      <c r="U17" s="14">
        <v>92.382000000000005</v>
      </c>
      <c r="V17" s="14">
        <v>95.015000000000001</v>
      </c>
      <c r="W17" s="14">
        <v>97.691000000000003</v>
      </c>
      <c r="X17" s="14">
        <v>100.43</v>
      </c>
    </row>
    <row r="18" spans="1:24" x14ac:dyDescent="0.45">
      <c r="A18" s="8" t="s">
        <v>149</v>
      </c>
      <c r="B18" s="32" t="s">
        <v>139</v>
      </c>
      <c r="C18" s="8" t="s">
        <v>303</v>
      </c>
      <c r="D18" s="13" t="s">
        <v>301</v>
      </c>
      <c r="E18" s="14">
        <v>52.2</v>
      </c>
      <c r="F18" s="14">
        <v>56.902999999999999</v>
      </c>
      <c r="G18" s="14">
        <v>67.484999999999999</v>
      </c>
      <c r="H18" s="14">
        <v>72.938000000000002</v>
      </c>
      <c r="I18" s="14">
        <v>75.02</v>
      </c>
      <c r="J18" s="14">
        <v>77.454999999999998</v>
      </c>
      <c r="K18" s="14">
        <v>78.14</v>
      </c>
      <c r="L18" s="14">
        <v>77.872</v>
      </c>
      <c r="M18" s="14">
        <v>77.707999999999998</v>
      </c>
      <c r="N18" s="14">
        <v>76.436000000000007</v>
      </c>
      <c r="O18" s="14">
        <v>75.021000000000001</v>
      </c>
      <c r="P18" s="14">
        <v>74.06</v>
      </c>
      <c r="Q18" s="14">
        <v>73.435000000000002</v>
      </c>
      <c r="R18" s="14">
        <v>73.049000000000007</v>
      </c>
      <c r="S18" s="14">
        <v>72.87</v>
      </c>
      <c r="T18" s="14">
        <v>72.853999999999999</v>
      </c>
      <c r="U18" s="14">
        <v>72.988</v>
      </c>
      <c r="V18" s="14">
        <v>73.254999999999995</v>
      </c>
      <c r="W18" s="14">
        <v>73.632999999999996</v>
      </c>
      <c r="X18" s="14">
        <v>74.106999999999999</v>
      </c>
    </row>
    <row r="19" spans="1:24" x14ac:dyDescent="0.45">
      <c r="A19" s="8" t="s">
        <v>149</v>
      </c>
      <c r="B19" s="32" t="s">
        <v>140</v>
      </c>
      <c r="C19" s="8" t="s">
        <v>304</v>
      </c>
      <c r="D19" s="13" t="s">
        <v>301</v>
      </c>
      <c r="E19" s="14">
        <v>52.2</v>
      </c>
      <c r="F19" s="14">
        <v>56.902999999999999</v>
      </c>
      <c r="G19" s="14">
        <v>67.484999999999999</v>
      </c>
      <c r="H19" s="14">
        <v>72.938000000000002</v>
      </c>
      <c r="I19" s="14">
        <v>75.02</v>
      </c>
      <c r="J19" s="14">
        <v>77.454999999999998</v>
      </c>
      <c r="K19" s="14">
        <v>80.412000000000006</v>
      </c>
      <c r="L19" s="14">
        <v>83.305000000000007</v>
      </c>
      <c r="M19" s="14">
        <v>86.076999999999998</v>
      </c>
      <c r="N19" s="14">
        <v>88.921000000000006</v>
      </c>
      <c r="O19" s="14">
        <v>91.831000000000003</v>
      </c>
      <c r="P19" s="14">
        <v>94.87</v>
      </c>
      <c r="Q19" s="14">
        <v>98.07</v>
      </c>
      <c r="R19" s="14">
        <v>101.562</v>
      </c>
      <c r="S19" s="14">
        <v>105.486</v>
      </c>
      <c r="T19" s="14">
        <v>110.08499999999999</v>
      </c>
      <c r="U19" s="14">
        <v>115.65600000000001</v>
      </c>
      <c r="V19" s="14">
        <v>122.614</v>
      </c>
      <c r="W19" s="14">
        <v>131.55000000000001</v>
      </c>
      <c r="X19" s="14">
        <v>140.744</v>
      </c>
    </row>
    <row r="20" spans="1:24" x14ac:dyDescent="0.45">
      <c r="A20" s="8" t="s">
        <v>151</v>
      </c>
      <c r="B20" s="32" t="s">
        <v>57</v>
      </c>
      <c r="C20" s="8" t="s">
        <v>305</v>
      </c>
      <c r="D20" s="13" t="s">
        <v>306</v>
      </c>
      <c r="E20" s="14">
        <v>210.916</v>
      </c>
      <c r="F20" s="14">
        <v>212.84399999999999</v>
      </c>
      <c r="G20" s="14">
        <v>232.29599999999999</v>
      </c>
      <c r="H20" s="14">
        <v>248.97399999999999</v>
      </c>
      <c r="I20" s="14">
        <v>258.928</v>
      </c>
      <c r="J20" s="14">
        <v>272.54899999999998</v>
      </c>
      <c r="K20" s="14">
        <v>290.72500000000002</v>
      </c>
      <c r="L20" s="14">
        <v>313.33499999999998</v>
      </c>
      <c r="M20" s="14">
        <v>340.66</v>
      </c>
      <c r="N20" s="14">
        <v>377.47399999999999</v>
      </c>
      <c r="O20" s="14">
        <v>432.851</v>
      </c>
      <c r="P20" s="14">
        <v>493.45400000000001</v>
      </c>
      <c r="Q20" s="14">
        <v>546.70600000000002</v>
      </c>
      <c r="R20" s="14">
        <v>606.58500000000004</v>
      </c>
      <c r="S20" s="14">
        <v>672.81</v>
      </c>
      <c r="T20" s="14">
        <v>745.99599999999998</v>
      </c>
      <c r="U20" s="14">
        <v>826.61500000000001</v>
      </c>
      <c r="V20" s="14">
        <v>915.12199999999996</v>
      </c>
      <c r="W20" s="14">
        <v>1012.028</v>
      </c>
      <c r="X20" s="14">
        <v>1116.913</v>
      </c>
    </row>
    <row r="21" spans="1:24" x14ac:dyDescent="0.45">
      <c r="A21" s="8" t="s">
        <v>151</v>
      </c>
      <c r="B21" s="32" t="s">
        <v>138</v>
      </c>
      <c r="C21" s="8" t="s">
        <v>307</v>
      </c>
      <c r="D21" s="13" t="s">
        <v>306</v>
      </c>
      <c r="E21" s="14">
        <v>210.916</v>
      </c>
      <c r="F21" s="14">
        <v>212.84399999999999</v>
      </c>
      <c r="G21" s="14">
        <v>232.29599999999999</v>
      </c>
      <c r="H21" s="14">
        <v>248.97399999999999</v>
      </c>
      <c r="I21" s="14">
        <v>258.928</v>
      </c>
      <c r="J21" s="14">
        <v>272.54899999999998</v>
      </c>
      <c r="K21" s="14">
        <v>290.72500000000002</v>
      </c>
      <c r="L21" s="14">
        <v>313.33499999999998</v>
      </c>
      <c r="M21" s="14">
        <v>340.66</v>
      </c>
      <c r="N21" s="14">
        <v>377.47399999999999</v>
      </c>
      <c r="O21" s="14">
        <v>432.851</v>
      </c>
      <c r="P21" s="14">
        <v>493.45400000000001</v>
      </c>
      <c r="Q21" s="14">
        <v>546.70600000000002</v>
      </c>
      <c r="R21" s="14">
        <v>606.58500000000004</v>
      </c>
      <c r="S21" s="14">
        <v>672.81</v>
      </c>
      <c r="T21" s="14">
        <v>745.99599999999998</v>
      </c>
      <c r="U21" s="14">
        <v>826.61500000000001</v>
      </c>
      <c r="V21" s="14">
        <v>915.12199999999996</v>
      </c>
      <c r="W21" s="14">
        <v>1012.028</v>
      </c>
      <c r="X21" s="14">
        <v>1116.913</v>
      </c>
    </row>
    <row r="22" spans="1:24" x14ac:dyDescent="0.45">
      <c r="A22" s="8" t="s">
        <v>151</v>
      </c>
      <c r="B22" s="32" t="s">
        <v>139</v>
      </c>
      <c r="C22" s="8" t="s">
        <v>308</v>
      </c>
      <c r="D22" s="13" t="s">
        <v>306</v>
      </c>
      <c r="E22" s="14">
        <v>210.916</v>
      </c>
      <c r="F22" s="14">
        <v>212.84399999999999</v>
      </c>
      <c r="G22" s="14">
        <v>232.29599999999999</v>
      </c>
      <c r="H22" s="14">
        <v>248.97399999999999</v>
      </c>
      <c r="I22" s="14">
        <v>258.928</v>
      </c>
      <c r="J22" s="14">
        <v>272.54899999999998</v>
      </c>
      <c r="K22" s="14">
        <v>290.72500000000002</v>
      </c>
      <c r="L22" s="14">
        <v>313.33499999999998</v>
      </c>
      <c r="M22" s="14">
        <v>340.66</v>
      </c>
      <c r="N22" s="14">
        <v>377.47399999999999</v>
      </c>
      <c r="O22" s="14">
        <v>432.851</v>
      </c>
      <c r="P22" s="14">
        <v>493.45400000000001</v>
      </c>
      <c r="Q22" s="14">
        <v>546.70600000000002</v>
      </c>
      <c r="R22" s="14">
        <v>606.58500000000004</v>
      </c>
      <c r="S22" s="14">
        <v>672.81</v>
      </c>
      <c r="T22" s="14">
        <v>745.99599999999998</v>
      </c>
      <c r="U22" s="14">
        <v>826.61500000000001</v>
      </c>
      <c r="V22" s="14">
        <v>915.12199999999996</v>
      </c>
      <c r="W22" s="14">
        <v>1012.028</v>
      </c>
      <c r="X22" s="14">
        <v>1116.913</v>
      </c>
    </row>
    <row r="23" spans="1:24" x14ac:dyDescent="0.45">
      <c r="A23" s="8" t="s">
        <v>151</v>
      </c>
      <c r="B23" s="32" t="s">
        <v>140</v>
      </c>
      <c r="C23" s="8" t="s">
        <v>309</v>
      </c>
      <c r="D23" s="13" t="s">
        <v>306</v>
      </c>
      <c r="E23" s="14">
        <v>210.916</v>
      </c>
      <c r="F23" s="14">
        <v>212.84399999999999</v>
      </c>
      <c r="G23" s="14">
        <v>232.29599999999999</v>
      </c>
      <c r="H23" s="14">
        <v>248.97399999999999</v>
      </c>
      <c r="I23" s="14">
        <v>258.928</v>
      </c>
      <c r="J23" s="14">
        <v>272.54899999999998</v>
      </c>
      <c r="K23" s="14">
        <v>290.72500000000002</v>
      </c>
      <c r="L23" s="14">
        <v>313.33499999999998</v>
      </c>
      <c r="M23" s="14">
        <v>340.66</v>
      </c>
      <c r="N23" s="14">
        <v>377.47399999999999</v>
      </c>
      <c r="O23" s="14">
        <v>432.851</v>
      </c>
      <c r="P23" s="14">
        <v>493.45400000000001</v>
      </c>
      <c r="Q23" s="14">
        <v>546.70600000000002</v>
      </c>
      <c r="R23" s="14">
        <v>606.58500000000004</v>
      </c>
      <c r="S23" s="14">
        <v>672.81</v>
      </c>
      <c r="T23" s="14">
        <v>745.99599999999998</v>
      </c>
      <c r="U23" s="14">
        <v>826.61500000000001</v>
      </c>
      <c r="V23" s="14">
        <v>915.12199999999996</v>
      </c>
      <c r="W23" s="14">
        <v>1012.028</v>
      </c>
      <c r="X23" s="14">
        <v>1116.913</v>
      </c>
    </row>
    <row r="24" spans="1:24" x14ac:dyDescent="0.45">
      <c r="A24" s="8" t="s">
        <v>154</v>
      </c>
      <c r="B24" s="32" t="s">
        <v>57</v>
      </c>
      <c r="C24" s="8" t="s">
        <v>310</v>
      </c>
      <c r="D24" s="13" t="s">
        <v>311</v>
      </c>
      <c r="E24" s="14">
        <v>210.916</v>
      </c>
      <c r="F24" s="14">
        <v>212.745</v>
      </c>
      <c r="G24" s="14">
        <v>232.18199999999999</v>
      </c>
      <c r="H24" s="14">
        <v>248.863</v>
      </c>
      <c r="I24" s="14">
        <v>258.81900000000002</v>
      </c>
      <c r="J24" s="14">
        <v>272.37200000000001</v>
      </c>
      <c r="K24" s="14">
        <v>268.24799999999999</v>
      </c>
      <c r="L24" s="14">
        <v>282.64400000000001</v>
      </c>
      <c r="M24" s="14">
        <v>313.86500000000001</v>
      </c>
      <c r="N24" s="14">
        <v>350.29700000000003</v>
      </c>
      <c r="O24" s="14">
        <v>411.05</v>
      </c>
      <c r="P24" s="14">
        <v>457.202</v>
      </c>
      <c r="Q24" s="14">
        <v>508.70600000000002</v>
      </c>
      <c r="R24" s="14">
        <v>566.58399999999995</v>
      </c>
      <c r="S24" s="14">
        <v>631.125</v>
      </c>
      <c r="T24" s="14">
        <v>702.74900000000002</v>
      </c>
      <c r="U24" s="14">
        <v>781.96699999999998</v>
      </c>
      <c r="V24" s="14">
        <v>869.24</v>
      </c>
      <c r="W24" s="14">
        <v>965.01</v>
      </c>
      <c r="X24" s="14">
        <v>1068.8430000000001</v>
      </c>
    </row>
    <row r="25" spans="1:24" x14ac:dyDescent="0.45">
      <c r="A25" s="8" t="s">
        <v>154</v>
      </c>
      <c r="B25" s="32" t="s">
        <v>138</v>
      </c>
      <c r="C25" s="8" t="s">
        <v>312</v>
      </c>
      <c r="D25" s="13" t="s">
        <v>311</v>
      </c>
      <c r="E25" s="14">
        <v>210.916</v>
      </c>
      <c r="F25" s="14">
        <v>212.745</v>
      </c>
      <c r="G25" s="14">
        <v>232.18199999999999</v>
      </c>
      <c r="H25" s="14">
        <v>248.863</v>
      </c>
      <c r="I25" s="14">
        <v>258.81900000000002</v>
      </c>
      <c r="J25" s="14">
        <v>272.37200000000001</v>
      </c>
      <c r="K25" s="14">
        <v>268.24799999999999</v>
      </c>
      <c r="L25" s="14">
        <v>281.81299999999999</v>
      </c>
      <c r="M25" s="14">
        <v>312.39600000000002</v>
      </c>
      <c r="N25" s="14">
        <v>347.87400000000002</v>
      </c>
      <c r="O25" s="14">
        <v>407.839</v>
      </c>
      <c r="P25" s="14">
        <v>454.24799999999999</v>
      </c>
      <c r="Q25" s="14">
        <v>505.08100000000002</v>
      </c>
      <c r="R25" s="14">
        <v>562.17100000000005</v>
      </c>
      <c r="S25" s="14">
        <v>625.77700000000004</v>
      </c>
      <c r="T25" s="14">
        <v>696.22400000000005</v>
      </c>
      <c r="U25" s="14">
        <v>774.00599999999997</v>
      </c>
      <c r="V25" s="14">
        <v>859.59199999999998</v>
      </c>
      <c r="W25" s="14">
        <v>953.47299999999996</v>
      </c>
      <c r="X25" s="14">
        <v>1055.258</v>
      </c>
    </row>
    <row r="26" spans="1:24" x14ac:dyDescent="0.45">
      <c r="A26" s="8" t="s">
        <v>154</v>
      </c>
      <c r="B26" s="32" t="s">
        <v>139</v>
      </c>
      <c r="C26" s="8" t="s">
        <v>313</v>
      </c>
      <c r="D26" s="13" t="s">
        <v>311</v>
      </c>
      <c r="E26" s="14">
        <v>210.916</v>
      </c>
      <c r="F26" s="14">
        <v>212.84</v>
      </c>
      <c r="G26" s="14">
        <v>232.291</v>
      </c>
      <c r="H26" s="14">
        <v>248.97</v>
      </c>
      <c r="I26" s="14">
        <v>258.92399999999998</v>
      </c>
      <c r="J26" s="14">
        <v>272.51</v>
      </c>
      <c r="K26" s="14">
        <v>287.22500000000002</v>
      </c>
      <c r="L26" s="14">
        <v>304.67500000000001</v>
      </c>
      <c r="M26" s="14">
        <v>327.45299999999997</v>
      </c>
      <c r="N26" s="14">
        <v>359.86900000000003</v>
      </c>
      <c r="O26" s="14">
        <v>415.78300000000002</v>
      </c>
      <c r="P26" s="14">
        <v>455.00599999999997</v>
      </c>
      <c r="Q26" s="14">
        <v>499.99299999999999</v>
      </c>
      <c r="R26" s="14">
        <v>550.89800000000002</v>
      </c>
      <c r="S26" s="14">
        <v>608.03700000000003</v>
      </c>
      <c r="T26" s="14">
        <v>671.65599999999995</v>
      </c>
      <c r="U26" s="14">
        <v>742.31700000000001</v>
      </c>
      <c r="V26" s="14">
        <v>820.52099999999996</v>
      </c>
      <c r="W26" s="14">
        <v>906.79499999999996</v>
      </c>
      <c r="X26" s="14">
        <v>1000.808</v>
      </c>
    </row>
    <row r="27" spans="1:24" x14ac:dyDescent="0.45">
      <c r="A27" s="8" t="s">
        <v>154</v>
      </c>
      <c r="B27" s="32" t="s">
        <v>140</v>
      </c>
      <c r="C27" s="8" t="s">
        <v>314</v>
      </c>
      <c r="D27" s="13" t="s">
        <v>311</v>
      </c>
      <c r="E27" s="14">
        <v>210.916</v>
      </c>
      <c r="F27" s="14">
        <v>212.84399999999999</v>
      </c>
      <c r="G27" s="14">
        <v>232.29599999999999</v>
      </c>
      <c r="H27" s="14">
        <v>248.97399999999999</v>
      </c>
      <c r="I27" s="14">
        <v>258.928</v>
      </c>
      <c r="J27" s="14">
        <v>272.54899999999998</v>
      </c>
      <c r="K27" s="14">
        <v>290.72500000000002</v>
      </c>
      <c r="L27" s="14">
        <v>306.86500000000001</v>
      </c>
      <c r="M27" s="14">
        <v>330.99</v>
      </c>
      <c r="N27" s="14">
        <v>364.77699999999999</v>
      </c>
      <c r="O27" s="14">
        <v>410.34800000000001</v>
      </c>
      <c r="P27" s="14">
        <v>473.58</v>
      </c>
      <c r="Q27" s="14">
        <v>522.28200000000004</v>
      </c>
      <c r="R27" s="14">
        <v>576.55700000000002</v>
      </c>
      <c r="S27" s="14">
        <v>636.44600000000003</v>
      </c>
      <c r="T27" s="14">
        <v>702.58100000000002</v>
      </c>
      <c r="U27" s="14">
        <v>775.63699999999994</v>
      </c>
      <c r="V27" s="14">
        <v>856.42899999999997</v>
      </c>
      <c r="W27" s="14">
        <v>946.00400000000002</v>
      </c>
      <c r="X27" s="14">
        <v>1041.741</v>
      </c>
    </row>
    <row r="28" spans="1:24" x14ac:dyDescent="0.45">
      <c r="A28" s="8" t="s">
        <v>156</v>
      </c>
      <c r="B28" s="32" t="s">
        <v>57</v>
      </c>
      <c r="C28" s="8" t="s">
        <v>315</v>
      </c>
      <c r="D28" s="13" t="s">
        <v>316</v>
      </c>
      <c r="E28" s="14">
        <v>59.633000000000003</v>
      </c>
      <c r="F28" s="14">
        <v>58.890999999999998</v>
      </c>
      <c r="G28" s="14">
        <v>69.841999999999999</v>
      </c>
      <c r="H28" s="14">
        <v>75.484999999999999</v>
      </c>
      <c r="I28" s="14">
        <v>77.64</v>
      </c>
      <c r="J28" s="14">
        <v>80.161000000000001</v>
      </c>
      <c r="K28" s="14">
        <v>83.221000000000004</v>
      </c>
      <c r="L28" s="14">
        <v>86.179000000000002</v>
      </c>
      <c r="M28" s="14">
        <v>88.972999999999999</v>
      </c>
      <c r="N28" s="14">
        <v>91.808000000000007</v>
      </c>
      <c r="O28" s="14">
        <v>94.674000000000007</v>
      </c>
      <c r="P28" s="14">
        <v>97.59</v>
      </c>
      <c r="Q28" s="14">
        <v>100.55800000000001</v>
      </c>
      <c r="R28" s="14">
        <v>103.575</v>
      </c>
      <c r="S28" s="14">
        <v>106.643</v>
      </c>
      <c r="T28" s="14">
        <v>109.76</v>
      </c>
      <c r="U28" s="14">
        <v>112.926</v>
      </c>
      <c r="V28" s="14">
        <v>116.14100000000001</v>
      </c>
      <c r="W28" s="14">
        <v>119.404</v>
      </c>
      <c r="X28" s="14">
        <v>122.714</v>
      </c>
    </row>
    <row r="29" spans="1:24" x14ac:dyDescent="0.45">
      <c r="A29" s="8" t="s">
        <v>156</v>
      </c>
      <c r="B29" s="32" t="s">
        <v>138</v>
      </c>
      <c r="C29" s="8" t="s">
        <v>317</v>
      </c>
      <c r="D29" s="13" t="s">
        <v>316</v>
      </c>
      <c r="E29" s="14">
        <v>59.633000000000003</v>
      </c>
      <c r="F29" s="14">
        <v>58.890999999999998</v>
      </c>
      <c r="G29" s="14">
        <v>69.841999999999999</v>
      </c>
      <c r="H29" s="14">
        <v>75.484999999999999</v>
      </c>
      <c r="I29" s="14">
        <v>77.64</v>
      </c>
      <c r="J29" s="14">
        <v>80.161000000000001</v>
      </c>
      <c r="K29" s="14">
        <v>83.221000000000004</v>
      </c>
      <c r="L29" s="14">
        <v>86.179000000000002</v>
      </c>
      <c r="M29" s="14">
        <v>88.972999999999999</v>
      </c>
      <c r="N29" s="14">
        <v>91.808000000000007</v>
      </c>
      <c r="O29" s="14">
        <v>94.674000000000007</v>
      </c>
      <c r="P29" s="14">
        <v>97.59</v>
      </c>
      <c r="Q29" s="14">
        <v>100.55800000000001</v>
      </c>
      <c r="R29" s="14">
        <v>103.575</v>
      </c>
      <c r="S29" s="14">
        <v>106.643</v>
      </c>
      <c r="T29" s="14">
        <v>109.76</v>
      </c>
      <c r="U29" s="14">
        <v>112.926</v>
      </c>
      <c r="V29" s="14">
        <v>116.14100000000001</v>
      </c>
      <c r="W29" s="14">
        <v>119.404</v>
      </c>
      <c r="X29" s="14">
        <v>122.714</v>
      </c>
    </row>
    <row r="30" spans="1:24" x14ac:dyDescent="0.45">
      <c r="A30" s="8" t="s">
        <v>156</v>
      </c>
      <c r="B30" s="32" t="s">
        <v>139</v>
      </c>
      <c r="C30" s="8" t="s">
        <v>318</v>
      </c>
      <c r="D30" s="13" t="s">
        <v>316</v>
      </c>
      <c r="E30" s="14">
        <v>59.633000000000003</v>
      </c>
      <c r="F30" s="14">
        <v>58.890999999999998</v>
      </c>
      <c r="G30" s="14">
        <v>69.841999999999999</v>
      </c>
      <c r="H30" s="14">
        <v>75.484999999999999</v>
      </c>
      <c r="I30" s="14">
        <v>77.64</v>
      </c>
      <c r="J30" s="14">
        <v>80.161000000000001</v>
      </c>
      <c r="K30" s="14">
        <v>83.221000000000004</v>
      </c>
      <c r="L30" s="14">
        <v>86.179000000000002</v>
      </c>
      <c r="M30" s="14">
        <v>88.972999999999999</v>
      </c>
      <c r="N30" s="14">
        <v>91.808000000000007</v>
      </c>
      <c r="O30" s="14">
        <v>94.674000000000007</v>
      </c>
      <c r="P30" s="14">
        <v>97.59</v>
      </c>
      <c r="Q30" s="14">
        <v>100.55800000000001</v>
      </c>
      <c r="R30" s="14">
        <v>103.575</v>
      </c>
      <c r="S30" s="14">
        <v>106.643</v>
      </c>
      <c r="T30" s="14">
        <v>109.76</v>
      </c>
      <c r="U30" s="14">
        <v>112.926</v>
      </c>
      <c r="V30" s="14">
        <v>116.14100000000001</v>
      </c>
      <c r="W30" s="14">
        <v>119.404</v>
      </c>
      <c r="X30" s="14">
        <v>122.714</v>
      </c>
    </row>
    <row r="31" spans="1:24" x14ac:dyDescent="0.45">
      <c r="A31" s="8" t="s">
        <v>156</v>
      </c>
      <c r="B31" s="32" t="s">
        <v>140</v>
      </c>
      <c r="C31" s="8" t="s">
        <v>319</v>
      </c>
      <c r="D31" s="13" t="s">
        <v>316</v>
      </c>
      <c r="E31" s="14">
        <v>59.633000000000003</v>
      </c>
      <c r="F31" s="14">
        <v>58.890999999999998</v>
      </c>
      <c r="G31" s="14">
        <v>69.841999999999999</v>
      </c>
      <c r="H31" s="14">
        <v>75.484999999999999</v>
      </c>
      <c r="I31" s="14">
        <v>77.64</v>
      </c>
      <c r="J31" s="14">
        <v>80.161000000000001</v>
      </c>
      <c r="K31" s="14">
        <v>83.221000000000004</v>
      </c>
      <c r="L31" s="14">
        <v>86.179000000000002</v>
      </c>
      <c r="M31" s="14">
        <v>88.972999999999999</v>
      </c>
      <c r="N31" s="14">
        <v>91.808000000000007</v>
      </c>
      <c r="O31" s="14">
        <v>94.674000000000007</v>
      </c>
      <c r="P31" s="14">
        <v>97.59</v>
      </c>
      <c r="Q31" s="14">
        <v>100.55800000000001</v>
      </c>
      <c r="R31" s="14">
        <v>103.575</v>
      </c>
      <c r="S31" s="14">
        <v>106.643</v>
      </c>
      <c r="T31" s="14">
        <v>109.76</v>
      </c>
      <c r="U31" s="14">
        <v>112.926</v>
      </c>
      <c r="V31" s="14">
        <v>116.14100000000001</v>
      </c>
      <c r="W31" s="14">
        <v>119.404</v>
      </c>
      <c r="X31" s="14">
        <v>122.714</v>
      </c>
    </row>
    <row r="32" spans="1:24" x14ac:dyDescent="0.45">
      <c r="A32" s="8" t="s">
        <v>158</v>
      </c>
      <c r="B32" s="32" t="s">
        <v>57</v>
      </c>
      <c r="C32" s="8" t="s">
        <v>320</v>
      </c>
      <c r="D32" s="13" t="s">
        <v>321</v>
      </c>
      <c r="E32" s="14">
        <v>59.633000000000003</v>
      </c>
      <c r="F32" s="14">
        <v>58.890999999999998</v>
      </c>
      <c r="G32" s="14">
        <v>69.841999999999999</v>
      </c>
      <c r="H32" s="14">
        <v>75.484999999999999</v>
      </c>
      <c r="I32" s="14">
        <v>77.64</v>
      </c>
      <c r="J32" s="14">
        <v>80.161000000000001</v>
      </c>
      <c r="K32" s="14">
        <v>70.804000000000002</v>
      </c>
      <c r="L32" s="14">
        <v>73.956000000000003</v>
      </c>
      <c r="M32" s="14">
        <v>76.599999999999994</v>
      </c>
      <c r="N32" s="14">
        <v>79.183000000000007</v>
      </c>
      <c r="O32" s="14">
        <v>81.760999999999996</v>
      </c>
      <c r="P32" s="14">
        <v>84.451999999999998</v>
      </c>
      <c r="Q32" s="14">
        <v>87.32</v>
      </c>
      <c r="R32" s="14">
        <v>90.337000000000003</v>
      </c>
      <c r="S32" s="14">
        <v>93.534000000000006</v>
      </c>
      <c r="T32" s="14">
        <v>96.991</v>
      </c>
      <c r="U32" s="14">
        <v>100.696</v>
      </c>
      <c r="V32" s="14">
        <v>104.649</v>
      </c>
      <c r="W32" s="14">
        <v>108.792</v>
      </c>
      <c r="X32" s="14">
        <v>113.107</v>
      </c>
    </row>
    <row r="33" spans="1:24" x14ac:dyDescent="0.45">
      <c r="A33" s="8" t="s">
        <v>158</v>
      </c>
      <c r="B33" s="32" t="s">
        <v>138</v>
      </c>
      <c r="C33" s="8" t="s">
        <v>322</v>
      </c>
      <c r="D33" s="13" t="s">
        <v>321</v>
      </c>
      <c r="E33" s="14">
        <v>59.633000000000003</v>
      </c>
      <c r="F33" s="14">
        <v>58.890999999999998</v>
      </c>
      <c r="G33" s="14">
        <v>69.841999999999999</v>
      </c>
      <c r="H33" s="14">
        <v>75.484999999999999</v>
      </c>
      <c r="I33" s="14">
        <v>77.64</v>
      </c>
      <c r="J33" s="14">
        <v>80.161000000000001</v>
      </c>
      <c r="K33" s="14">
        <v>70.804000000000002</v>
      </c>
      <c r="L33" s="14">
        <v>73.650999999999996</v>
      </c>
      <c r="M33" s="14">
        <v>75.971000000000004</v>
      </c>
      <c r="N33" s="14">
        <v>78.260999999999996</v>
      </c>
      <c r="O33" s="14">
        <v>80.557000000000002</v>
      </c>
      <c r="P33" s="14">
        <v>82.918999999999997</v>
      </c>
      <c r="Q33" s="14">
        <v>85.331999999999994</v>
      </c>
      <c r="R33" s="14">
        <v>87.792000000000002</v>
      </c>
      <c r="S33" s="14">
        <v>90.325999999999993</v>
      </c>
      <c r="T33" s="14">
        <v>92.942999999999998</v>
      </c>
      <c r="U33" s="14">
        <v>95.608999999999995</v>
      </c>
      <c r="V33" s="14">
        <v>98.332999999999998</v>
      </c>
      <c r="W33" s="14">
        <v>101.10299999999999</v>
      </c>
      <c r="X33" s="14">
        <v>103.938</v>
      </c>
    </row>
    <row r="34" spans="1:24" x14ac:dyDescent="0.45">
      <c r="A34" s="8" t="s">
        <v>158</v>
      </c>
      <c r="B34" s="32" t="s">
        <v>139</v>
      </c>
      <c r="C34" s="8" t="s">
        <v>323</v>
      </c>
      <c r="D34" s="13" t="s">
        <v>321</v>
      </c>
      <c r="E34" s="14">
        <v>59.633000000000003</v>
      </c>
      <c r="F34" s="14">
        <v>58.890999999999998</v>
      </c>
      <c r="G34" s="14">
        <v>69.841999999999999</v>
      </c>
      <c r="H34" s="14">
        <v>75.484999999999999</v>
      </c>
      <c r="I34" s="14">
        <v>77.64</v>
      </c>
      <c r="J34" s="14">
        <v>80.161000000000001</v>
      </c>
      <c r="K34" s="14">
        <v>80.869</v>
      </c>
      <c r="L34" s="14">
        <v>80.591999999999999</v>
      </c>
      <c r="M34" s="14">
        <v>80.421999999999997</v>
      </c>
      <c r="N34" s="14">
        <v>79.105999999999995</v>
      </c>
      <c r="O34" s="14">
        <v>77.641000000000005</v>
      </c>
      <c r="P34" s="14">
        <v>76.646000000000001</v>
      </c>
      <c r="Q34" s="14">
        <v>76</v>
      </c>
      <c r="R34" s="14">
        <v>75.599999999999994</v>
      </c>
      <c r="S34" s="14">
        <v>75.415000000000006</v>
      </c>
      <c r="T34" s="14">
        <v>75.397999999999996</v>
      </c>
      <c r="U34" s="14">
        <v>75.537000000000006</v>
      </c>
      <c r="V34" s="14">
        <v>75.813999999999993</v>
      </c>
      <c r="W34" s="14">
        <v>76.204999999999998</v>
      </c>
      <c r="X34" s="14">
        <v>76.695999999999998</v>
      </c>
    </row>
    <row r="35" spans="1:24" x14ac:dyDescent="0.45">
      <c r="A35" s="8" t="s">
        <v>158</v>
      </c>
      <c r="B35" s="32" t="s">
        <v>140</v>
      </c>
      <c r="C35" s="8" t="s">
        <v>324</v>
      </c>
      <c r="D35" s="13" t="s">
        <v>321</v>
      </c>
      <c r="E35" s="14">
        <v>59.633000000000003</v>
      </c>
      <c r="F35" s="14">
        <v>58.890999999999998</v>
      </c>
      <c r="G35" s="14">
        <v>69.841999999999999</v>
      </c>
      <c r="H35" s="14">
        <v>75.484999999999999</v>
      </c>
      <c r="I35" s="14">
        <v>77.64</v>
      </c>
      <c r="J35" s="14">
        <v>80.161000000000001</v>
      </c>
      <c r="K35" s="14">
        <v>83.221000000000004</v>
      </c>
      <c r="L35" s="14">
        <v>86.213999999999999</v>
      </c>
      <c r="M35" s="14">
        <v>89.084000000000003</v>
      </c>
      <c r="N35" s="14">
        <v>92.027000000000001</v>
      </c>
      <c r="O35" s="14">
        <v>95.037999999999997</v>
      </c>
      <c r="P35" s="14">
        <v>98.183999999999997</v>
      </c>
      <c r="Q35" s="14">
        <v>101.495</v>
      </c>
      <c r="R35" s="14">
        <v>105.11</v>
      </c>
      <c r="S35" s="14">
        <v>109.17100000000001</v>
      </c>
      <c r="T35" s="14">
        <v>113.929</v>
      </c>
      <c r="U35" s="14">
        <v>119.69499999999999</v>
      </c>
      <c r="V35" s="14">
        <v>126.896</v>
      </c>
      <c r="W35" s="14">
        <v>136.14500000000001</v>
      </c>
      <c r="X35" s="14">
        <v>145.66</v>
      </c>
    </row>
    <row r="36" spans="1:24" x14ac:dyDescent="0.45">
      <c r="A36" s="8" t="s">
        <v>325</v>
      </c>
      <c r="B36" s="32" t="s">
        <v>57</v>
      </c>
      <c r="C36" s="8" t="s">
        <v>326</v>
      </c>
      <c r="D36" s="13" t="s">
        <v>327</v>
      </c>
      <c r="E36" s="14">
        <v>307.637</v>
      </c>
      <c r="F36" s="14">
        <v>321.39699999999999</v>
      </c>
      <c r="G36" s="14">
        <v>349.911</v>
      </c>
      <c r="H36" s="14">
        <v>371.78399999999999</v>
      </c>
      <c r="I36" s="14">
        <v>384.22899999999998</v>
      </c>
      <c r="J36" s="14">
        <v>400.54599999999999</v>
      </c>
      <c r="K36" s="14">
        <v>422.363</v>
      </c>
      <c r="L36" s="14">
        <v>448.56900000000002</v>
      </c>
      <c r="M36" s="14">
        <v>479.39600000000002</v>
      </c>
      <c r="N36" s="14">
        <v>519.76700000000005</v>
      </c>
      <c r="O36" s="14">
        <v>579.49199999999996</v>
      </c>
      <c r="P36" s="14">
        <v>645.31100000000004</v>
      </c>
      <c r="Q36" s="14">
        <v>703.93799999999999</v>
      </c>
      <c r="R36" s="14">
        <v>769.35699999999997</v>
      </c>
      <c r="S36" s="14">
        <v>841.29100000000005</v>
      </c>
      <c r="T36" s="14">
        <v>920.35900000000004</v>
      </c>
      <c r="U36" s="14">
        <v>1007.04</v>
      </c>
      <c r="V36" s="14">
        <v>1101.7919999999999</v>
      </c>
      <c r="W36" s="14">
        <v>1205.134</v>
      </c>
      <c r="X36" s="14">
        <v>1316.65</v>
      </c>
    </row>
    <row r="37" spans="1:24" x14ac:dyDescent="0.45">
      <c r="A37" s="8" t="s">
        <v>325</v>
      </c>
      <c r="B37" s="32" t="s">
        <v>138</v>
      </c>
      <c r="C37" s="8" t="s">
        <v>328</v>
      </c>
      <c r="D37" s="13" t="s">
        <v>327</v>
      </c>
      <c r="E37" s="14">
        <v>307.637</v>
      </c>
      <c r="F37" s="14">
        <v>321.39699999999999</v>
      </c>
      <c r="G37" s="14">
        <v>349.911</v>
      </c>
      <c r="H37" s="14">
        <v>371.78399999999999</v>
      </c>
      <c r="I37" s="14">
        <v>384.22899999999998</v>
      </c>
      <c r="J37" s="14">
        <v>400.54599999999999</v>
      </c>
      <c r="K37" s="14">
        <v>422.363</v>
      </c>
      <c r="L37" s="14">
        <v>448.56900000000002</v>
      </c>
      <c r="M37" s="14">
        <v>479.39600000000002</v>
      </c>
      <c r="N37" s="14">
        <v>519.76700000000005</v>
      </c>
      <c r="O37" s="14">
        <v>579.49199999999996</v>
      </c>
      <c r="P37" s="14">
        <v>645.31100000000004</v>
      </c>
      <c r="Q37" s="14">
        <v>703.93799999999999</v>
      </c>
      <c r="R37" s="14">
        <v>769.35699999999997</v>
      </c>
      <c r="S37" s="14">
        <v>841.29100000000005</v>
      </c>
      <c r="T37" s="14">
        <v>920.35900000000004</v>
      </c>
      <c r="U37" s="14">
        <v>1007.04</v>
      </c>
      <c r="V37" s="14">
        <v>1101.7919999999999</v>
      </c>
      <c r="W37" s="14">
        <v>1205.134</v>
      </c>
      <c r="X37" s="14">
        <v>1316.65</v>
      </c>
    </row>
    <row r="38" spans="1:24" x14ac:dyDescent="0.45">
      <c r="A38" s="8" t="s">
        <v>325</v>
      </c>
      <c r="B38" s="32" t="s">
        <v>139</v>
      </c>
      <c r="C38" s="8" t="s">
        <v>329</v>
      </c>
      <c r="D38" s="13" t="s">
        <v>327</v>
      </c>
      <c r="E38" s="14">
        <v>307.637</v>
      </c>
      <c r="F38" s="14">
        <v>321.39699999999999</v>
      </c>
      <c r="G38" s="14">
        <v>349.911</v>
      </c>
      <c r="H38" s="14">
        <v>371.78399999999999</v>
      </c>
      <c r="I38" s="14">
        <v>384.22899999999998</v>
      </c>
      <c r="J38" s="14">
        <v>400.54599999999999</v>
      </c>
      <c r="K38" s="14">
        <v>422.363</v>
      </c>
      <c r="L38" s="14">
        <v>448.56900000000002</v>
      </c>
      <c r="M38" s="14">
        <v>479.39600000000002</v>
      </c>
      <c r="N38" s="14">
        <v>519.76700000000005</v>
      </c>
      <c r="O38" s="14">
        <v>579.49199999999996</v>
      </c>
      <c r="P38" s="14">
        <v>645.31100000000004</v>
      </c>
      <c r="Q38" s="14">
        <v>703.93799999999999</v>
      </c>
      <c r="R38" s="14">
        <v>769.35699999999997</v>
      </c>
      <c r="S38" s="14">
        <v>841.29100000000005</v>
      </c>
      <c r="T38" s="14">
        <v>920.35900000000004</v>
      </c>
      <c r="U38" s="14">
        <v>1007.04</v>
      </c>
      <c r="V38" s="14">
        <v>1101.7919999999999</v>
      </c>
      <c r="W38" s="14">
        <v>1205.134</v>
      </c>
      <c r="X38" s="14">
        <v>1316.65</v>
      </c>
    </row>
    <row r="39" spans="1:24" x14ac:dyDescent="0.45">
      <c r="A39" s="8" t="s">
        <v>325</v>
      </c>
      <c r="B39" s="32" t="s">
        <v>140</v>
      </c>
      <c r="C39" s="8" t="s">
        <v>330</v>
      </c>
      <c r="D39" s="13" t="s">
        <v>327</v>
      </c>
      <c r="E39" s="14">
        <v>307.637</v>
      </c>
      <c r="F39" s="14">
        <v>321.39699999999999</v>
      </c>
      <c r="G39" s="14">
        <v>349.911</v>
      </c>
      <c r="H39" s="14">
        <v>371.78399999999999</v>
      </c>
      <c r="I39" s="14">
        <v>384.22899999999998</v>
      </c>
      <c r="J39" s="14">
        <v>400.54599999999999</v>
      </c>
      <c r="K39" s="14">
        <v>422.363</v>
      </c>
      <c r="L39" s="14">
        <v>448.56900000000002</v>
      </c>
      <c r="M39" s="14">
        <v>479.39600000000002</v>
      </c>
      <c r="N39" s="14">
        <v>519.76700000000005</v>
      </c>
      <c r="O39" s="14">
        <v>579.49199999999996</v>
      </c>
      <c r="P39" s="14">
        <v>645.31100000000004</v>
      </c>
      <c r="Q39" s="14">
        <v>703.93799999999999</v>
      </c>
      <c r="R39" s="14">
        <v>769.35699999999997</v>
      </c>
      <c r="S39" s="14">
        <v>841.29100000000005</v>
      </c>
      <c r="T39" s="14">
        <v>920.35900000000004</v>
      </c>
      <c r="U39" s="14">
        <v>1007.04</v>
      </c>
      <c r="V39" s="14">
        <v>1101.7919999999999</v>
      </c>
      <c r="W39" s="14">
        <v>1205.134</v>
      </c>
      <c r="X39" s="14">
        <v>1316.65</v>
      </c>
    </row>
    <row r="40" spans="1:24" x14ac:dyDescent="0.45">
      <c r="A40" s="8" t="s">
        <v>331</v>
      </c>
      <c r="B40" s="32" t="s">
        <v>57</v>
      </c>
      <c r="C40" s="8" t="s">
        <v>332</v>
      </c>
      <c r="D40" s="13" t="s">
        <v>333</v>
      </c>
      <c r="E40" s="14">
        <v>307.637</v>
      </c>
      <c r="F40" s="14">
        <v>321.298</v>
      </c>
      <c r="G40" s="14">
        <v>349.79700000000003</v>
      </c>
      <c r="H40" s="14">
        <v>371.673</v>
      </c>
      <c r="I40" s="14">
        <v>384.11900000000003</v>
      </c>
      <c r="J40" s="14">
        <v>400.36900000000003</v>
      </c>
      <c r="K40" s="14">
        <v>390.697</v>
      </c>
      <c r="L40" s="14">
        <v>408.83199999999999</v>
      </c>
      <c r="M40" s="14">
        <v>443.44299999999998</v>
      </c>
      <c r="N40" s="14">
        <v>483.24599999999998</v>
      </c>
      <c r="O40" s="14">
        <v>548.13499999999999</v>
      </c>
      <c r="P40" s="14">
        <v>599.33500000000004</v>
      </c>
      <c r="Q40" s="14">
        <v>656.14200000000005</v>
      </c>
      <c r="R40" s="14">
        <v>719.56</v>
      </c>
      <c r="S40" s="14">
        <v>789.90599999999995</v>
      </c>
      <c r="T40" s="14">
        <v>867.66399999999999</v>
      </c>
      <c r="U40" s="14">
        <v>953.34299999999996</v>
      </c>
      <c r="V40" s="14">
        <v>1047.4090000000001</v>
      </c>
      <c r="W40" s="14">
        <v>1150.2670000000001</v>
      </c>
      <c r="X40" s="14">
        <v>1261.4749999999999</v>
      </c>
    </row>
    <row r="41" spans="1:24" x14ac:dyDescent="0.45">
      <c r="A41" s="8" t="s">
        <v>331</v>
      </c>
      <c r="B41" s="32" t="s">
        <v>138</v>
      </c>
      <c r="C41" s="8" t="s">
        <v>334</v>
      </c>
      <c r="D41" s="13" t="s">
        <v>333</v>
      </c>
      <c r="E41" s="14">
        <v>307.637</v>
      </c>
      <c r="F41" s="14">
        <v>321.298</v>
      </c>
      <c r="G41" s="14">
        <v>349.79700000000003</v>
      </c>
      <c r="H41" s="14">
        <v>371.673</v>
      </c>
      <c r="I41" s="14">
        <v>384.11900000000003</v>
      </c>
      <c r="J41" s="14">
        <v>400.36900000000003</v>
      </c>
      <c r="K41" s="14">
        <v>390.697</v>
      </c>
      <c r="L41" s="14">
        <v>407.77499999999998</v>
      </c>
      <c r="M41" s="14">
        <v>441.50799999999998</v>
      </c>
      <c r="N41" s="14">
        <v>480.14</v>
      </c>
      <c r="O41" s="14">
        <v>544.03099999999995</v>
      </c>
      <c r="P41" s="14">
        <v>595.245</v>
      </c>
      <c r="Q41" s="14">
        <v>651.04499999999996</v>
      </c>
      <c r="R41" s="14">
        <v>713.26099999999997</v>
      </c>
      <c r="S41" s="14">
        <v>782.18100000000004</v>
      </c>
      <c r="T41" s="14">
        <v>858.14099999999996</v>
      </c>
      <c r="U41" s="14">
        <v>941.61400000000003</v>
      </c>
      <c r="V41" s="14">
        <v>1033.0820000000001</v>
      </c>
      <c r="W41" s="14">
        <v>1133.0340000000001</v>
      </c>
      <c r="X41" s="14">
        <v>1241.098</v>
      </c>
    </row>
    <row r="42" spans="1:24" x14ac:dyDescent="0.45">
      <c r="A42" s="8" t="s">
        <v>331</v>
      </c>
      <c r="B42" s="32" t="s">
        <v>139</v>
      </c>
      <c r="C42" s="8" t="s">
        <v>335</v>
      </c>
      <c r="D42" s="13" t="s">
        <v>333</v>
      </c>
      <c r="E42" s="14">
        <v>307.637</v>
      </c>
      <c r="F42" s="14">
        <v>321.39299999999997</v>
      </c>
      <c r="G42" s="14">
        <v>349.90699999999998</v>
      </c>
      <c r="H42" s="14">
        <v>371.78</v>
      </c>
      <c r="I42" s="14">
        <v>384.22399999999999</v>
      </c>
      <c r="J42" s="14">
        <v>400.50700000000001</v>
      </c>
      <c r="K42" s="14">
        <v>417.12299999999999</v>
      </c>
      <c r="L42" s="14">
        <v>435.774</v>
      </c>
      <c r="M42" s="14">
        <v>459.85899999999998</v>
      </c>
      <c r="N42" s="14">
        <v>492.76</v>
      </c>
      <c r="O42" s="14">
        <v>549.81799999999998</v>
      </c>
      <c r="P42" s="14">
        <v>591.36199999999997</v>
      </c>
      <c r="Q42" s="14">
        <v>639.05100000000004</v>
      </c>
      <c r="R42" s="14">
        <v>692.96600000000001</v>
      </c>
      <c r="S42" s="14">
        <v>753.40599999999995</v>
      </c>
      <c r="T42" s="14">
        <v>820.58799999999997</v>
      </c>
      <c r="U42" s="14">
        <v>895.07</v>
      </c>
      <c r="V42" s="14">
        <v>977.34500000000003</v>
      </c>
      <c r="W42" s="14">
        <v>1067.93</v>
      </c>
      <c r="X42" s="14">
        <v>1166.4870000000001</v>
      </c>
    </row>
    <row r="43" spans="1:24" x14ac:dyDescent="0.45">
      <c r="A43" s="8" t="s">
        <v>331</v>
      </c>
      <c r="B43" s="32" t="s">
        <v>140</v>
      </c>
      <c r="C43" s="8" t="s">
        <v>336</v>
      </c>
      <c r="D43" s="13" t="s">
        <v>333</v>
      </c>
      <c r="E43" s="14">
        <v>307.637</v>
      </c>
      <c r="F43" s="14">
        <v>321.39699999999999</v>
      </c>
      <c r="G43" s="14">
        <v>349.911</v>
      </c>
      <c r="H43" s="14">
        <v>371.78399999999999</v>
      </c>
      <c r="I43" s="14">
        <v>384.22899999999998</v>
      </c>
      <c r="J43" s="14">
        <v>400.54599999999999</v>
      </c>
      <c r="K43" s="14">
        <v>422.363</v>
      </c>
      <c r="L43" s="14">
        <v>442.125</v>
      </c>
      <c r="M43" s="14">
        <v>469.80700000000002</v>
      </c>
      <c r="N43" s="14">
        <v>507.23200000000003</v>
      </c>
      <c r="O43" s="14">
        <v>557.25800000000004</v>
      </c>
      <c r="P43" s="14">
        <v>625.87699999999995</v>
      </c>
      <c r="Q43" s="14">
        <v>680.21</v>
      </c>
      <c r="R43" s="14">
        <v>740.46600000000001</v>
      </c>
      <c r="S43" s="14">
        <v>806.8</v>
      </c>
      <c r="T43" s="14">
        <v>880.03399999999999</v>
      </c>
      <c r="U43" s="14">
        <v>961.077</v>
      </c>
      <c r="V43" s="14">
        <v>1051.069</v>
      </c>
      <c r="W43" s="14">
        <v>1151.5139999999999</v>
      </c>
      <c r="X43" s="14">
        <v>1258.481</v>
      </c>
    </row>
    <row r="44" spans="1:24" x14ac:dyDescent="0.45">
      <c r="A44" s="8" t="s">
        <v>337</v>
      </c>
      <c r="B44" s="32" t="s">
        <v>57</v>
      </c>
      <c r="C44" s="8" t="s">
        <v>338</v>
      </c>
      <c r="D44" s="13" t="s">
        <v>339</v>
      </c>
      <c r="E44" s="14">
        <v>82.215000000000003</v>
      </c>
      <c r="F44" s="14">
        <v>78.986000000000004</v>
      </c>
      <c r="G44" s="14">
        <v>91.822999999999993</v>
      </c>
      <c r="H44" s="14">
        <v>97.046000000000006</v>
      </c>
      <c r="I44" s="14">
        <v>95.462000000000003</v>
      </c>
      <c r="J44" s="14">
        <v>95.796999999999997</v>
      </c>
      <c r="K44" s="14">
        <v>98.438999999999993</v>
      </c>
      <c r="L44" s="14">
        <v>103.59699999999999</v>
      </c>
      <c r="M44" s="14">
        <v>110.247</v>
      </c>
      <c r="N44" s="14">
        <v>121.81699999999999</v>
      </c>
      <c r="O44" s="14">
        <v>147.38800000000001</v>
      </c>
      <c r="P44" s="14">
        <v>174.428</v>
      </c>
      <c r="Q44" s="14">
        <v>190.286</v>
      </c>
      <c r="R44" s="14">
        <v>208.51400000000001</v>
      </c>
      <c r="S44" s="14">
        <v>229.43600000000001</v>
      </c>
      <c r="T44" s="14">
        <v>253.41900000000001</v>
      </c>
      <c r="U44" s="14">
        <v>280.88400000000001</v>
      </c>
      <c r="V44" s="14">
        <v>312.30799999999999</v>
      </c>
      <c r="W44" s="14">
        <v>348.23500000000001</v>
      </c>
      <c r="X44" s="14">
        <v>389.28500000000003</v>
      </c>
    </row>
    <row r="45" spans="1:24" x14ac:dyDescent="0.45">
      <c r="A45" s="8" t="s">
        <v>337</v>
      </c>
      <c r="B45" s="32" t="s">
        <v>138</v>
      </c>
      <c r="C45" s="8" t="s">
        <v>340</v>
      </c>
      <c r="D45" s="13" t="s">
        <v>339</v>
      </c>
      <c r="E45" s="14">
        <v>82.215000000000003</v>
      </c>
      <c r="F45" s="14">
        <v>78.986000000000004</v>
      </c>
      <c r="G45" s="14">
        <v>91.822999999999993</v>
      </c>
      <c r="H45" s="14">
        <v>97.046000000000006</v>
      </c>
      <c r="I45" s="14">
        <v>95.462000000000003</v>
      </c>
      <c r="J45" s="14">
        <v>95.796999999999997</v>
      </c>
      <c r="K45" s="14">
        <v>98.438999999999993</v>
      </c>
      <c r="L45" s="14">
        <v>103.59699999999999</v>
      </c>
      <c r="M45" s="14">
        <v>110.247</v>
      </c>
      <c r="N45" s="14">
        <v>121.81699999999999</v>
      </c>
      <c r="O45" s="14">
        <v>147.38800000000001</v>
      </c>
      <c r="P45" s="14">
        <v>174.428</v>
      </c>
      <c r="Q45" s="14">
        <v>190.286</v>
      </c>
      <c r="R45" s="14">
        <v>208.51400000000001</v>
      </c>
      <c r="S45" s="14">
        <v>229.43600000000001</v>
      </c>
      <c r="T45" s="14">
        <v>253.41900000000001</v>
      </c>
      <c r="U45" s="14">
        <v>280.88400000000001</v>
      </c>
      <c r="V45" s="14">
        <v>312.30799999999999</v>
      </c>
      <c r="W45" s="14">
        <v>348.23500000000001</v>
      </c>
      <c r="X45" s="14">
        <v>389.28500000000003</v>
      </c>
    </row>
    <row r="46" spans="1:24" x14ac:dyDescent="0.45">
      <c r="A46" s="8" t="s">
        <v>337</v>
      </c>
      <c r="B46" s="32" t="s">
        <v>139</v>
      </c>
      <c r="C46" s="8" t="s">
        <v>341</v>
      </c>
      <c r="D46" s="13" t="s">
        <v>339</v>
      </c>
      <c r="E46" s="14">
        <v>82.215000000000003</v>
      </c>
      <c r="F46" s="14">
        <v>78.986000000000004</v>
      </c>
      <c r="G46" s="14">
        <v>91.822999999999993</v>
      </c>
      <c r="H46" s="14">
        <v>97.046000000000006</v>
      </c>
      <c r="I46" s="14">
        <v>95.462000000000003</v>
      </c>
      <c r="J46" s="14">
        <v>95.796999999999997</v>
      </c>
      <c r="K46" s="14">
        <v>98.438999999999993</v>
      </c>
      <c r="L46" s="14">
        <v>103.59699999999999</v>
      </c>
      <c r="M46" s="14">
        <v>110.247</v>
      </c>
      <c r="N46" s="14">
        <v>121.81699999999999</v>
      </c>
      <c r="O46" s="14">
        <v>147.38800000000001</v>
      </c>
      <c r="P46" s="14">
        <v>174.428</v>
      </c>
      <c r="Q46" s="14">
        <v>190.286</v>
      </c>
      <c r="R46" s="14">
        <v>208.51400000000001</v>
      </c>
      <c r="S46" s="14">
        <v>229.43600000000001</v>
      </c>
      <c r="T46" s="14">
        <v>253.41900000000001</v>
      </c>
      <c r="U46" s="14">
        <v>280.88400000000001</v>
      </c>
      <c r="V46" s="14">
        <v>312.30799999999999</v>
      </c>
      <c r="W46" s="14">
        <v>348.23500000000001</v>
      </c>
      <c r="X46" s="14">
        <v>389.28500000000003</v>
      </c>
    </row>
    <row r="47" spans="1:24" x14ac:dyDescent="0.45">
      <c r="A47" s="8" t="s">
        <v>337</v>
      </c>
      <c r="B47" s="32" t="s">
        <v>140</v>
      </c>
      <c r="C47" s="8" t="s">
        <v>342</v>
      </c>
      <c r="D47" s="13" t="s">
        <v>339</v>
      </c>
      <c r="E47" s="14">
        <v>82.215000000000003</v>
      </c>
      <c r="F47" s="14">
        <v>78.986000000000004</v>
      </c>
      <c r="G47" s="14">
        <v>91.822999999999993</v>
      </c>
      <c r="H47" s="14">
        <v>97.046000000000006</v>
      </c>
      <c r="I47" s="14">
        <v>95.462000000000003</v>
      </c>
      <c r="J47" s="14">
        <v>95.796999999999997</v>
      </c>
      <c r="K47" s="14">
        <v>98.438999999999993</v>
      </c>
      <c r="L47" s="14">
        <v>103.59699999999999</v>
      </c>
      <c r="M47" s="14">
        <v>110.247</v>
      </c>
      <c r="N47" s="14">
        <v>121.81699999999999</v>
      </c>
      <c r="O47" s="14">
        <v>147.38800000000001</v>
      </c>
      <c r="P47" s="14">
        <v>174.428</v>
      </c>
      <c r="Q47" s="14">
        <v>190.286</v>
      </c>
      <c r="R47" s="14">
        <v>208.51400000000001</v>
      </c>
      <c r="S47" s="14">
        <v>229.43600000000001</v>
      </c>
      <c r="T47" s="14">
        <v>253.41900000000001</v>
      </c>
      <c r="U47" s="14">
        <v>280.88400000000001</v>
      </c>
      <c r="V47" s="14">
        <v>312.30799999999999</v>
      </c>
      <c r="W47" s="14">
        <v>348.23500000000001</v>
      </c>
      <c r="X47" s="14">
        <v>389.28500000000003</v>
      </c>
    </row>
    <row r="48" spans="1:24" x14ac:dyDescent="0.45">
      <c r="A48" s="8" t="s">
        <v>343</v>
      </c>
      <c r="B48" s="32" t="s">
        <v>57</v>
      </c>
      <c r="C48" s="8" t="s">
        <v>344</v>
      </c>
      <c r="D48" s="13" t="s">
        <v>345</v>
      </c>
      <c r="E48" s="14">
        <v>82.215000000000003</v>
      </c>
      <c r="F48" s="14">
        <v>78.887</v>
      </c>
      <c r="G48" s="14">
        <v>91.709000000000003</v>
      </c>
      <c r="H48" s="14">
        <v>96.935000000000002</v>
      </c>
      <c r="I48" s="14">
        <v>95.352000000000004</v>
      </c>
      <c r="J48" s="14">
        <v>95.62</v>
      </c>
      <c r="K48" s="14">
        <v>98.668999999999997</v>
      </c>
      <c r="L48" s="14">
        <v>96.745000000000005</v>
      </c>
      <c r="M48" s="14">
        <v>108.517</v>
      </c>
      <c r="N48" s="14">
        <v>121.313</v>
      </c>
      <c r="O48" s="14">
        <v>153.834</v>
      </c>
      <c r="P48" s="14">
        <v>168.22</v>
      </c>
      <c r="Q48" s="14">
        <v>183.80699999999999</v>
      </c>
      <c r="R48" s="14">
        <v>201.71700000000001</v>
      </c>
      <c r="S48" s="14">
        <v>222.27</v>
      </c>
      <c r="T48" s="14">
        <v>245.82599999999999</v>
      </c>
      <c r="U48" s="14">
        <v>272.79700000000003</v>
      </c>
      <c r="V48" s="14">
        <v>303.65100000000001</v>
      </c>
      <c r="W48" s="14">
        <v>338.92200000000003</v>
      </c>
      <c r="X48" s="14">
        <v>379.21800000000002</v>
      </c>
    </row>
    <row r="49" spans="1:24" x14ac:dyDescent="0.45">
      <c r="A49" s="8" t="s">
        <v>343</v>
      </c>
      <c r="B49" s="32" t="s">
        <v>138</v>
      </c>
      <c r="C49" s="8" t="s">
        <v>346</v>
      </c>
      <c r="D49" s="13" t="s">
        <v>345</v>
      </c>
      <c r="E49" s="14">
        <v>82.215000000000003</v>
      </c>
      <c r="F49" s="14">
        <v>78.887</v>
      </c>
      <c r="G49" s="14">
        <v>91.709000000000003</v>
      </c>
      <c r="H49" s="14">
        <v>96.935000000000002</v>
      </c>
      <c r="I49" s="14">
        <v>95.352000000000004</v>
      </c>
      <c r="J49" s="14">
        <v>95.62</v>
      </c>
      <c r="K49" s="14">
        <v>98.668999999999997</v>
      </c>
      <c r="L49" s="14">
        <v>96.284000000000006</v>
      </c>
      <c r="M49" s="14">
        <v>107.81100000000001</v>
      </c>
      <c r="N49" s="14">
        <v>120.015</v>
      </c>
      <c r="O49" s="14">
        <v>152.09100000000001</v>
      </c>
      <c r="P49" s="14">
        <v>167.113</v>
      </c>
      <c r="Q49" s="14">
        <v>182.58799999999999</v>
      </c>
      <c r="R49" s="14">
        <v>200.37200000000001</v>
      </c>
      <c r="S49" s="14">
        <v>220.779</v>
      </c>
      <c r="T49" s="14">
        <v>244.16900000000001</v>
      </c>
      <c r="U49" s="14">
        <v>270.94900000000001</v>
      </c>
      <c r="V49" s="14">
        <v>301.58600000000001</v>
      </c>
      <c r="W49" s="14">
        <v>336.61</v>
      </c>
      <c r="X49" s="14">
        <v>376.62299999999999</v>
      </c>
    </row>
    <row r="50" spans="1:24" x14ac:dyDescent="0.45">
      <c r="A50" s="8" t="s">
        <v>343</v>
      </c>
      <c r="B50" s="32" t="s">
        <v>139</v>
      </c>
      <c r="C50" s="8" t="s">
        <v>347</v>
      </c>
      <c r="D50" s="13" t="s">
        <v>345</v>
      </c>
      <c r="E50" s="14">
        <v>82.215000000000003</v>
      </c>
      <c r="F50" s="14">
        <v>78.981999999999999</v>
      </c>
      <c r="G50" s="14">
        <v>91.817999999999998</v>
      </c>
      <c r="H50" s="14">
        <v>97.042000000000002</v>
      </c>
      <c r="I50" s="14">
        <v>95.456999999999994</v>
      </c>
      <c r="J50" s="14">
        <v>95.757999999999996</v>
      </c>
      <c r="K50" s="14">
        <v>98.605000000000004</v>
      </c>
      <c r="L50" s="14">
        <v>104.102</v>
      </c>
      <c r="M50" s="14">
        <v>111.871</v>
      </c>
      <c r="N50" s="14">
        <v>126.583</v>
      </c>
      <c r="O50" s="14">
        <v>160.98099999999999</v>
      </c>
      <c r="P50" s="14">
        <v>175.06299999999999</v>
      </c>
      <c r="Q50" s="14">
        <v>191.27099999999999</v>
      </c>
      <c r="R50" s="14">
        <v>209.89400000000001</v>
      </c>
      <c r="S50" s="14">
        <v>231.262</v>
      </c>
      <c r="T50" s="14">
        <v>255.751</v>
      </c>
      <c r="U50" s="14">
        <v>283.78899999999999</v>
      </c>
      <c r="V50" s="14">
        <v>315.86099999999999</v>
      </c>
      <c r="W50" s="14">
        <v>352.524</v>
      </c>
      <c r="X50" s="14">
        <v>394.40800000000002</v>
      </c>
    </row>
    <row r="51" spans="1:24" x14ac:dyDescent="0.45">
      <c r="A51" s="8" t="s">
        <v>343</v>
      </c>
      <c r="B51" s="32" t="s">
        <v>140</v>
      </c>
      <c r="C51" s="8" t="s">
        <v>348</v>
      </c>
      <c r="D51" s="13" t="s">
        <v>345</v>
      </c>
      <c r="E51" s="14">
        <v>82.215000000000003</v>
      </c>
      <c r="F51" s="14">
        <v>78.986000000000004</v>
      </c>
      <c r="G51" s="14">
        <v>91.822999999999993</v>
      </c>
      <c r="H51" s="14">
        <v>97.046000000000006</v>
      </c>
      <c r="I51" s="14">
        <v>95.462000000000003</v>
      </c>
      <c r="J51" s="14">
        <v>95.796999999999997</v>
      </c>
      <c r="K51" s="14">
        <v>98.438999999999993</v>
      </c>
      <c r="L51" s="14">
        <v>97.522000000000006</v>
      </c>
      <c r="M51" s="14">
        <v>101.613</v>
      </c>
      <c r="N51" s="14">
        <v>111.252</v>
      </c>
      <c r="O51" s="14">
        <v>128.58699999999999</v>
      </c>
      <c r="P51" s="14">
        <v>160.40899999999999</v>
      </c>
      <c r="Q51" s="14">
        <v>174.399</v>
      </c>
      <c r="R51" s="14">
        <v>190.501</v>
      </c>
      <c r="S51" s="14">
        <v>209.00200000000001</v>
      </c>
      <c r="T51" s="14">
        <v>230.22800000000001</v>
      </c>
      <c r="U51" s="14">
        <v>254.554</v>
      </c>
      <c r="V51" s="14">
        <v>282.404</v>
      </c>
      <c r="W51" s="14">
        <v>314.262</v>
      </c>
      <c r="X51" s="14">
        <v>350.67899999999997</v>
      </c>
    </row>
    <row r="52" spans="1:24" x14ac:dyDescent="0.45">
      <c r="A52" s="8" t="s">
        <v>349</v>
      </c>
      <c r="B52" s="32" t="s">
        <v>57</v>
      </c>
      <c r="C52" s="8" t="s">
        <v>350</v>
      </c>
      <c r="D52" s="13" t="s">
        <v>351</v>
      </c>
      <c r="E52" s="14">
        <v>52.970999999999997</v>
      </c>
      <c r="F52" s="14">
        <v>57.256</v>
      </c>
      <c r="G52" s="14">
        <v>48.052999999999997</v>
      </c>
      <c r="H52" s="14">
        <v>53.412999999999997</v>
      </c>
      <c r="I52" s="14">
        <v>62.460999999999999</v>
      </c>
      <c r="J52" s="14">
        <v>72.828999999999994</v>
      </c>
      <c r="K52" s="14">
        <v>84.831000000000003</v>
      </c>
      <c r="L52" s="14">
        <v>98.88</v>
      </c>
      <c r="M52" s="14">
        <v>116.354</v>
      </c>
      <c r="N52" s="14">
        <v>138.35599999999999</v>
      </c>
      <c r="O52" s="14">
        <v>164.88900000000001</v>
      </c>
      <c r="P52" s="14">
        <v>195.12700000000001</v>
      </c>
      <c r="Q52" s="14">
        <v>229.14500000000001</v>
      </c>
      <c r="R52" s="14">
        <v>267.37</v>
      </c>
      <c r="S52" s="14">
        <v>309.197</v>
      </c>
      <c r="T52" s="14">
        <v>354.87400000000002</v>
      </c>
      <c r="U52" s="14">
        <v>404.45299999999997</v>
      </c>
      <c r="V52" s="14">
        <v>457.91300000000001</v>
      </c>
      <c r="W52" s="14">
        <v>515.221</v>
      </c>
      <c r="X52" s="14">
        <v>575.33799999999997</v>
      </c>
    </row>
    <row r="53" spans="1:24" x14ac:dyDescent="0.45">
      <c r="A53" s="8" t="s">
        <v>349</v>
      </c>
      <c r="B53" s="32" t="s">
        <v>138</v>
      </c>
      <c r="C53" s="8" t="s">
        <v>352</v>
      </c>
      <c r="D53" s="13" t="s">
        <v>351</v>
      </c>
      <c r="E53" s="14">
        <v>52.970999999999997</v>
      </c>
      <c r="F53" s="14">
        <v>57.256</v>
      </c>
      <c r="G53" s="14">
        <v>48.052999999999997</v>
      </c>
      <c r="H53" s="14">
        <v>53.412999999999997</v>
      </c>
      <c r="I53" s="14">
        <v>62.460999999999999</v>
      </c>
      <c r="J53" s="14">
        <v>72.828999999999994</v>
      </c>
      <c r="K53" s="14">
        <v>84.831000000000003</v>
      </c>
      <c r="L53" s="14">
        <v>98.88</v>
      </c>
      <c r="M53" s="14">
        <v>116.354</v>
      </c>
      <c r="N53" s="14">
        <v>138.35599999999999</v>
      </c>
      <c r="O53" s="14">
        <v>164.88900000000001</v>
      </c>
      <c r="P53" s="14">
        <v>195.12700000000001</v>
      </c>
      <c r="Q53" s="14">
        <v>229.14500000000001</v>
      </c>
      <c r="R53" s="14">
        <v>267.37</v>
      </c>
      <c r="S53" s="14">
        <v>309.197</v>
      </c>
      <c r="T53" s="14">
        <v>354.87400000000002</v>
      </c>
      <c r="U53" s="14">
        <v>404.45299999999997</v>
      </c>
      <c r="V53" s="14">
        <v>457.91300000000001</v>
      </c>
      <c r="W53" s="14">
        <v>515.221</v>
      </c>
      <c r="X53" s="14">
        <v>575.33799999999997</v>
      </c>
    </row>
    <row r="54" spans="1:24" x14ac:dyDescent="0.45">
      <c r="A54" s="8" t="s">
        <v>349</v>
      </c>
      <c r="B54" s="32" t="s">
        <v>139</v>
      </c>
      <c r="C54" s="8" t="s">
        <v>353</v>
      </c>
      <c r="D54" s="13" t="s">
        <v>351</v>
      </c>
      <c r="E54" s="14">
        <v>52.970999999999997</v>
      </c>
      <c r="F54" s="14">
        <v>57.256</v>
      </c>
      <c r="G54" s="14">
        <v>48.052999999999997</v>
      </c>
      <c r="H54" s="14">
        <v>53.412999999999997</v>
      </c>
      <c r="I54" s="14">
        <v>62.460999999999999</v>
      </c>
      <c r="J54" s="14">
        <v>72.828999999999994</v>
      </c>
      <c r="K54" s="14">
        <v>84.831000000000003</v>
      </c>
      <c r="L54" s="14">
        <v>98.88</v>
      </c>
      <c r="M54" s="14">
        <v>116.354</v>
      </c>
      <c r="N54" s="14">
        <v>138.35599999999999</v>
      </c>
      <c r="O54" s="14">
        <v>164.88900000000001</v>
      </c>
      <c r="P54" s="14">
        <v>195.12700000000001</v>
      </c>
      <c r="Q54" s="14">
        <v>229.14500000000001</v>
      </c>
      <c r="R54" s="14">
        <v>267.37</v>
      </c>
      <c r="S54" s="14">
        <v>309.197</v>
      </c>
      <c r="T54" s="14">
        <v>354.87400000000002</v>
      </c>
      <c r="U54" s="14">
        <v>404.45299999999997</v>
      </c>
      <c r="V54" s="14">
        <v>457.91300000000001</v>
      </c>
      <c r="W54" s="14">
        <v>515.221</v>
      </c>
      <c r="X54" s="14">
        <v>575.33799999999997</v>
      </c>
    </row>
    <row r="55" spans="1:24" x14ac:dyDescent="0.45">
      <c r="A55" s="8" t="s">
        <v>349</v>
      </c>
      <c r="B55" s="32" t="s">
        <v>140</v>
      </c>
      <c r="C55" s="8" t="s">
        <v>354</v>
      </c>
      <c r="D55" s="13" t="s">
        <v>351</v>
      </c>
      <c r="E55" s="14">
        <v>52.970999999999997</v>
      </c>
      <c r="F55" s="14">
        <v>57.256</v>
      </c>
      <c r="G55" s="14">
        <v>48.052999999999997</v>
      </c>
      <c r="H55" s="14">
        <v>53.412999999999997</v>
      </c>
      <c r="I55" s="14">
        <v>62.460999999999999</v>
      </c>
      <c r="J55" s="14">
        <v>72.828999999999994</v>
      </c>
      <c r="K55" s="14">
        <v>84.831000000000003</v>
      </c>
      <c r="L55" s="14">
        <v>98.88</v>
      </c>
      <c r="M55" s="14">
        <v>116.354</v>
      </c>
      <c r="N55" s="14">
        <v>138.35599999999999</v>
      </c>
      <c r="O55" s="14">
        <v>164.88900000000001</v>
      </c>
      <c r="P55" s="14">
        <v>195.12700000000001</v>
      </c>
      <c r="Q55" s="14">
        <v>229.14500000000001</v>
      </c>
      <c r="R55" s="14">
        <v>267.37</v>
      </c>
      <c r="S55" s="14">
        <v>309.197</v>
      </c>
      <c r="T55" s="14">
        <v>354.87400000000002</v>
      </c>
      <c r="U55" s="14">
        <v>404.45299999999997</v>
      </c>
      <c r="V55" s="14">
        <v>457.91300000000001</v>
      </c>
      <c r="W55" s="14">
        <v>515.221</v>
      </c>
      <c r="X55" s="14">
        <v>575.33799999999997</v>
      </c>
    </row>
    <row r="56" spans="1:24" x14ac:dyDescent="0.45">
      <c r="A56" s="8" t="s">
        <v>355</v>
      </c>
      <c r="B56" s="32" t="s">
        <v>57</v>
      </c>
      <c r="C56" s="8" t="s">
        <v>356</v>
      </c>
      <c r="D56" s="13" t="s">
        <v>357</v>
      </c>
      <c r="E56" s="14">
        <v>52.970999999999997</v>
      </c>
      <c r="F56" s="14">
        <v>57.256</v>
      </c>
      <c r="G56" s="14">
        <v>48.052999999999997</v>
      </c>
      <c r="H56" s="14">
        <v>53.412999999999997</v>
      </c>
      <c r="I56" s="14">
        <v>62.460999999999999</v>
      </c>
      <c r="J56" s="14">
        <v>72.828999999999994</v>
      </c>
      <c r="K56" s="14">
        <v>79.682000000000002</v>
      </c>
      <c r="L56" s="14">
        <v>92.488</v>
      </c>
      <c r="M56" s="14">
        <v>108.97799999999999</v>
      </c>
      <c r="N56" s="14">
        <v>129.72</v>
      </c>
      <c r="O56" s="14">
        <v>155.06899999999999</v>
      </c>
      <c r="P56" s="14">
        <v>183.83099999999999</v>
      </c>
      <c r="Q56" s="14">
        <v>216.55099999999999</v>
      </c>
      <c r="R56" s="14">
        <v>253.12899999999999</v>
      </c>
      <c r="S56" s="14">
        <v>293.52800000000002</v>
      </c>
      <c r="T56" s="14">
        <v>337.721</v>
      </c>
      <c r="U56" s="14">
        <v>385.82400000000001</v>
      </c>
      <c r="V56" s="14">
        <v>437.82799999999997</v>
      </c>
      <c r="W56" s="14">
        <v>493.70800000000003</v>
      </c>
      <c r="X56" s="14">
        <v>552.44399999999996</v>
      </c>
    </row>
    <row r="57" spans="1:24" x14ac:dyDescent="0.45">
      <c r="A57" s="8" t="s">
        <v>355</v>
      </c>
      <c r="B57" s="32" t="s">
        <v>138</v>
      </c>
      <c r="C57" s="8" t="s">
        <v>358</v>
      </c>
      <c r="D57" s="13" t="s">
        <v>357</v>
      </c>
      <c r="E57" s="14">
        <v>52.970999999999997</v>
      </c>
      <c r="F57" s="14">
        <v>57.256</v>
      </c>
      <c r="G57" s="14">
        <v>48.052999999999997</v>
      </c>
      <c r="H57" s="14">
        <v>53.412999999999997</v>
      </c>
      <c r="I57" s="14">
        <v>62.460999999999999</v>
      </c>
      <c r="J57" s="14">
        <v>72.828999999999994</v>
      </c>
      <c r="K57" s="14">
        <v>79.682000000000002</v>
      </c>
      <c r="L57" s="14">
        <v>92.468999999999994</v>
      </c>
      <c r="M57" s="14">
        <v>108.937</v>
      </c>
      <c r="N57" s="14">
        <v>129.65100000000001</v>
      </c>
      <c r="O57" s="14">
        <v>154.977</v>
      </c>
      <c r="P57" s="14">
        <v>183.73400000000001</v>
      </c>
      <c r="Q57" s="14">
        <v>216.40899999999999</v>
      </c>
      <c r="R57" s="14">
        <v>252.95099999999999</v>
      </c>
      <c r="S57" s="14">
        <v>293.30799999999999</v>
      </c>
      <c r="T57" s="14">
        <v>337.435</v>
      </c>
      <c r="U57" s="14">
        <v>385.45600000000002</v>
      </c>
      <c r="V57" s="14">
        <v>437.36399999999998</v>
      </c>
      <c r="W57" s="14">
        <v>493.13499999999999</v>
      </c>
      <c r="X57" s="14">
        <v>551.75</v>
      </c>
    </row>
    <row r="58" spans="1:24" x14ac:dyDescent="0.45">
      <c r="A58" s="8" t="s">
        <v>355</v>
      </c>
      <c r="B58" s="32" t="s">
        <v>139</v>
      </c>
      <c r="C58" s="8" t="s">
        <v>359</v>
      </c>
      <c r="D58" s="13" t="s">
        <v>357</v>
      </c>
      <c r="E58" s="14">
        <v>52.970999999999997</v>
      </c>
      <c r="F58" s="14">
        <v>57.256</v>
      </c>
      <c r="G58" s="14">
        <v>48.052999999999997</v>
      </c>
      <c r="H58" s="14">
        <v>53.412999999999997</v>
      </c>
      <c r="I58" s="14">
        <v>62.460999999999999</v>
      </c>
      <c r="J58" s="14">
        <v>72.828999999999994</v>
      </c>
      <c r="K58" s="14">
        <v>83.516999999999996</v>
      </c>
      <c r="L58" s="14">
        <v>95.302999999999997</v>
      </c>
      <c r="M58" s="14">
        <v>110.074</v>
      </c>
      <c r="N58" s="14">
        <v>128.72399999999999</v>
      </c>
      <c r="O58" s="14">
        <v>151.34</v>
      </c>
      <c r="P58" s="14">
        <v>177.101</v>
      </c>
      <c r="Q58" s="14">
        <v>206.142</v>
      </c>
      <c r="R58" s="14">
        <v>238.434</v>
      </c>
      <c r="S58" s="14">
        <v>273.99299999999999</v>
      </c>
      <c r="T58" s="14">
        <v>312.738</v>
      </c>
      <c r="U58" s="14">
        <v>354.81099999999998</v>
      </c>
      <c r="V58" s="14">
        <v>400.24599999999998</v>
      </c>
      <c r="W58" s="14">
        <v>449.03800000000001</v>
      </c>
      <c r="X58" s="14">
        <v>500.24200000000002</v>
      </c>
    </row>
    <row r="59" spans="1:24" x14ac:dyDescent="0.45">
      <c r="A59" s="8" t="s">
        <v>355</v>
      </c>
      <c r="B59" s="32" t="s">
        <v>140</v>
      </c>
      <c r="C59" s="8" t="s">
        <v>360</v>
      </c>
      <c r="D59" s="13" t="s">
        <v>357</v>
      </c>
      <c r="E59" s="14">
        <v>52.970999999999997</v>
      </c>
      <c r="F59" s="14">
        <v>57.256</v>
      </c>
      <c r="G59" s="14">
        <v>48.052999999999997</v>
      </c>
      <c r="H59" s="14">
        <v>53.412999999999997</v>
      </c>
      <c r="I59" s="14">
        <v>62.460999999999999</v>
      </c>
      <c r="J59" s="14">
        <v>72.828999999999994</v>
      </c>
      <c r="K59" s="14">
        <v>84.831000000000003</v>
      </c>
      <c r="L59" s="14">
        <v>98.444999999999993</v>
      </c>
      <c r="M59" s="14">
        <v>115.18899999999999</v>
      </c>
      <c r="N59" s="14">
        <v>135.97</v>
      </c>
      <c r="O59" s="14">
        <v>160.76499999999999</v>
      </c>
      <c r="P59" s="14">
        <v>188.58699999999999</v>
      </c>
      <c r="Q59" s="14">
        <v>219.52799999999999</v>
      </c>
      <c r="R59" s="14">
        <v>253.59100000000001</v>
      </c>
      <c r="S59" s="14">
        <v>290.36799999999999</v>
      </c>
      <c r="T59" s="14">
        <v>329.87799999999999</v>
      </c>
      <c r="U59" s="14">
        <v>372.077</v>
      </c>
      <c r="V59" s="14">
        <v>416.87900000000002</v>
      </c>
      <c r="W59" s="14">
        <v>464.166</v>
      </c>
      <c r="X59" s="14">
        <v>512.798</v>
      </c>
    </row>
    <row r="60" spans="1:24" x14ac:dyDescent="0.45">
      <c r="A60" s="8" t="s">
        <v>361</v>
      </c>
      <c r="B60" s="32" t="s">
        <v>57</v>
      </c>
      <c r="C60" s="8" t="s">
        <v>362</v>
      </c>
      <c r="D60" s="13" t="s">
        <v>363</v>
      </c>
      <c r="E60" s="14">
        <v>15.803000000000001</v>
      </c>
      <c r="F60" s="14">
        <v>17.442</v>
      </c>
      <c r="G60" s="14">
        <v>22.260999999999999</v>
      </c>
      <c r="H60" s="14">
        <v>22.611999999999998</v>
      </c>
      <c r="I60" s="14">
        <v>22.949000000000002</v>
      </c>
      <c r="J60" s="14">
        <v>23.347999999999999</v>
      </c>
      <c r="K60" s="14">
        <v>23.82</v>
      </c>
      <c r="L60" s="14">
        <v>24.265999999999998</v>
      </c>
      <c r="M60" s="14">
        <v>24.675000000000001</v>
      </c>
      <c r="N60" s="14">
        <v>25.082999999999998</v>
      </c>
      <c r="O60" s="14">
        <v>25.492000000000001</v>
      </c>
      <c r="P60" s="14">
        <v>25.901</v>
      </c>
      <c r="Q60" s="14">
        <v>26.311</v>
      </c>
      <c r="R60" s="14">
        <v>26.72</v>
      </c>
      <c r="S60" s="14">
        <v>27.13</v>
      </c>
      <c r="T60" s="14">
        <v>27.54</v>
      </c>
      <c r="U60" s="14">
        <v>27.95</v>
      </c>
      <c r="V60" s="14">
        <v>28.36</v>
      </c>
      <c r="W60" s="14">
        <v>28.768999999999998</v>
      </c>
      <c r="X60" s="14">
        <v>29.178000000000001</v>
      </c>
    </row>
    <row r="61" spans="1:24" x14ac:dyDescent="0.45">
      <c r="A61" s="8" t="s">
        <v>361</v>
      </c>
      <c r="B61" s="32" t="s">
        <v>138</v>
      </c>
      <c r="C61" s="8" t="s">
        <v>364</v>
      </c>
      <c r="D61" s="13" t="s">
        <v>363</v>
      </c>
      <c r="E61" s="14">
        <v>15.803000000000001</v>
      </c>
      <c r="F61" s="14">
        <v>17.442</v>
      </c>
      <c r="G61" s="14">
        <v>22.260999999999999</v>
      </c>
      <c r="H61" s="14">
        <v>22.611999999999998</v>
      </c>
      <c r="I61" s="14">
        <v>22.949000000000002</v>
      </c>
      <c r="J61" s="14">
        <v>23.347999999999999</v>
      </c>
      <c r="K61" s="14">
        <v>23.82</v>
      </c>
      <c r="L61" s="14">
        <v>24.265999999999998</v>
      </c>
      <c r="M61" s="14">
        <v>24.675000000000001</v>
      </c>
      <c r="N61" s="14">
        <v>25.082999999999998</v>
      </c>
      <c r="O61" s="14">
        <v>25.492000000000001</v>
      </c>
      <c r="P61" s="14">
        <v>25.901</v>
      </c>
      <c r="Q61" s="14">
        <v>26.311</v>
      </c>
      <c r="R61" s="14">
        <v>26.72</v>
      </c>
      <c r="S61" s="14">
        <v>27.13</v>
      </c>
      <c r="T61" s="14">
        <v>27.54</v>
      </c>
      <c r="U61" s="14">
        <v>27.95</v>
      </c>
      <c r="V61" s="14">
        <v>28.36</v>
      </c>
      <c r="W61" s="14">
        <v>28.768999999999998</v>
      </c>
      <c r="X61" s="14">
        <v>29.178000000000001</v>
      </c>
    </row>
    <row r="62" spans="1:24" x14ac:dyDescent="0.45">
      <c r="A62" s="8" t="s">
        <v>361</v>
      </c>
      <c r="B62" s="32" t="s">
        <v>139</v>
      </c>
      <c r="C62" s="8" t="s">
        <v>365</v>
      </c>
      <c r="D62" s="13" t="s">
        <v>363</v>
      </c>
      <c r="E62" s="14">
        <v>15.803000000000001</v>
      </c>
      <c r="F62" s="14">
        <v>17.442</v>
      </c>
      <c r="G62" s="14">
        <v>22.260999999999999</v>
      </c>
      <c r="H62" s="14">
        <v>22.611999999999998</v>
      </c>
      <c r="I62" s="14">
        <v>22.949000000000002</v>
      </c>
      <c r="J62" s="14">
        <v>23.347999999999999</v>
      </c>
      <c r="K62" s="14">
        <v>23.82</v>
      </c>
      <c r="L62" s="14">
        <v>24.265999999999998</v>
      </c>
      <c r="M62" s="14">
        <v>24.675000000000001</v>
      </c>
      <c r="N62" s="14">
        <v>25.082999999999998</v>
      </c>
      <c r="O62" s="14">
        <v>25.492000000000001</v>
      </c>
      <c r="P62" s="14">
        <v>25.901</v>
      </c>
      <c r="Q62" s="14">
        <v>26.311</v>
      </c>
      <c r="R62" s="14">
        <v>26.72</v>
      </c>
      <c r="S62" s="14">
        <v>27.13</v>
      </c>
      <c r="T62" s="14">
        <v>27.54</v>
      </c>
      <c r="U62" s="14">
        <v>27.95</v>
      </c>
      <c r="V62" s="14">
        <v>28.36</v>
      </c>
      <c r="W62" s="14">
        <v>28.768999999999998</v>
      </c>
      <c r="X62" s="14">
        <v>29.178000000000001</v>
      </c>
    </row>
    <row r="63" spans="1:24" x14ac:dyDescent="0.45">
      <c r="A63" s="8" t="s">
        <v>361</v>
      </c>
      <c r="B63" s="32" t="s">
        <v>140</v>
      </c>
      <c r="C63" s="8" t="s">
        <v>366</v>
      </c>
      <c r="D63" s="13" t="s">
        <v>363</v>
      </c>
      <c r="E63" s="14">
        <v>15.803000000000001</v>
      </c>
      <c r="F63" s="14">
        <v>17.442</v>
      </c>
      <c r="G63" s="14">
        <v>22.260999999999999</v>
      </c>
      <c r="H63" s="14">
        <v>22.611999999999998</v>
      </c>
      <c r="I63" s="14">
        <v>22.949000000000002</v>
      </c>
      <c r="J63" s="14">
        <v>23.347999999999999</v>
      </c>
      <c r="K63" s="14">
        <v>23.82</v>
      </c>
      <c r="L63" s="14">
        <v>24.265999999999998</v>
      </c>
      <c r="M63" s="14">
        <v>24.675000000000001</v>
      </c>
      <c r="N63" s="14">
        <v>25.082999999999998</v>
      </c>
      <c r="O63" s="14">
        <v>25.492000000000001</v>
      </c>
      <c r="P63" s="14">
        <v>25.901</v>
      </c>
      <c r="Q63" s="14">
        <v>26.311</v>
      </c>
      <c r="R63" s="14">
        <v>26.72</v>
      </c>
      <c r="S63" s="14">
        <v>27.13</v>
      </c>
      <c r="T63" s="14">
        <v>27.54</v>
      </c>
      <c r="U63" s="14">
        <v>27.95</v>
      </c>
      <c r="V63" s="14">
        <v>28.36</v>
      </c>
      <c r="W63" s="14">
        <v>28.768999999999998</v>
      </c>
      <c r="X63" s="14">
        <v>29.178000000000001</v>
      </c>
    </row>
    <row r="64" spans="1:24" x14ac:dyDescent="0.45">
      <c r="A64" s="8" t="s">
        <v>367</v>
      </c>
      <c r="B64" s="32" t="s">
        <v>57</v>
      </c>
      <c r="C64" s="8" t="s">
        <v>368</v>
      </c>
      <c r="D64" s="13" t="s">
        <v>369</v>
      </c>
      <c r="E64" s="14">
        <v>15.803000000000001</v>
      </c>
      <c r="F64" s="14">
        <v>17.442</v>
      </c>
      <c r="G64" s="14">
        <v>22.260999999999999</v>
      </c>
      <c r="H64" s="14">
        <v>22.611999999999998</v>
      </c>
      <c r="I64" s="14">
        <v>22.949000000000002</v>
      </c>
      <c r="J64" s="14">
        <v>23.347999999999999</v>
      </c>
      <c r="K64" s="14">
        <v>18.696000000000002</v>
      </c>
      <c r="L64" s="14">
        <v>19.045999999999999</v>
      </c>
      <c r="M64" s="14">
        <v>19.359000000000002</v>
      </c>
      <c r="N64" s="14">
        <v>19.670999999999999</v>
      </c>
      <c r="O64" s="14">
        <v>19.977</v>
      </c>
      <c r="P64" s="14">
        <v>20.291</v>
      </c>
      <c r="Q64" s="14">
        <v>20.620999999999999</v>
      </c>
      <c r="R64" s="14">
        <v>20.997</v>
      </c>
      <c r="S64" s="14">
        <v>21.388999999999999</v>
      </c>
      <c r="T64" s="14">
        <v>21.806999999999999</v>
      </c>
      <c r="U64" s="14">
        <v>22.248999999999999</v>
      </c>
      <c r="V64" s="14">
        <v>22.712</v>
      </c>
      <c r="W64" s="14">
        <v>23.189</v>
      </c>
      <c r="X64" s="14">
        <v>23.675999999999998</v>
      </c>
    </row>
    <row r="65" spans="1:24" x14ac:dyDescent="0.45">
      <c r="A65" s="8" t="s">
        <v>367</v>
      </c>
      <c r="B65" s="32" t="s">
        <v>138</v>
      </c>
      <c r="C65" s="8" t="s">
        <v>370</v>
      </c>
      <c r="D65" s="13" t="s">
        <v>369</v>
      </c>
      <c r="E65" s="14">
        <v>15.803000000000001</v>
      </c>
      <c r="F65" s="14">
        <v>17.442</v>
      </c>
      <c r="G65" s="14">
        <v>22.260999999999999</v>
      </c>
      <c r="H65" s="14">
        <v>22.611999999999998</v>
      </c>
      <c r="I65" s="14">
        <v>22.949000000000002</v>
      </c>
      <c r="J65" s="14">
        <v>23.347999999999999</v>
      </c>
      <c r="K65" s="14">
        <v>18.696000000000002</v>
      </c>
      <c r="L65" s="14">
        <v>19</v>
      </c>
      <c r="M65" s="14">
        <v>19.265999999999998</v>
      </c>
      <c r="N65" s="14">
        <v>19.536999999999999</v>
      </c>
      <c r="O65" s="14">
        <v>19.805</v>
      </c>
      <c r="P65" s="14">
        <v>20.074999999999999</v>
      </c>
      <c r="Q65" s="14">
        <v>20.346</v>
      </c>
      <c r="R65" s="14">
        <v>20.651</v>
      </c>
      <c r="S65" s="14">
        <v>20.96</v>
      </c>
      <c r="T65" s="14">
        <v>21.274999999999999</v>
      </c>
      <c r="U65" s="14">
        <v>21.59</v>
      </c>
      <c r="V65" s="14">
        <v>21.908000000000001</v>
      </c>
      <c r="W65" s="14">
        <v>22.227</v>
      </c>
      <c r="X65" s="14">
        <v>22.547999999999998</v>
      </c>
    </row>
    <row r="66" spans="1:24" x14ac:dyDescent="0.45">
      <c r="A66" s="8" t="s">
        <v>367</v>
      </c>
      <c r="B66" s="32" t="s">
        <v>139</v>
      </c>
      <c r="C66" s="8" t="s">
        <v>371</v>
      </c>
      <c r="D66" s="13" t="s">
        <v>369</v>
      </c>
      <c r="E66" s="14">
        <v>15.803000000000001</v>
      </c>
      <c r="F66" s="14">
        <v>17.442</v>
      </c>
      <c r="G66" s="14">
        <v>22.260999999999999</v>
      </c>
      <c r="H66" s="14">
        <v>22.611999999999998</v>
      </c>
      <c r="I66" s="14">
        <v>22.949000000000002</v>
      </c>
      <c r="J66" s="14">
        <v>23.347999999999999</v>
      </c>
      <c r="K66" s="14">
        <v>23.82</v>
      </c>
      <c r="L66" s="14">
        <v>24.265999999999998</v>
      </c>
      <c r="M66" s="14">
        <v>24.675000000000001</v>
      </c>
      <c r="N66" s="14">
        <v>25.082999999999998</v>
      </c>
      <c r="O66" s="14">
        <v>25.49</v>
      </c>
      <c r="P66" s="14">
        <v>25.896999999999998</v>
      </c>
      <c r="Q66" s="14">
        <v>26.306999999999999</v>
      </c>
      <c r="R66" s="14">
        <v>26.716000000000001</v>
      </c>
      <c r="S66" s="14">
        <v>27.131</v>
      </c>
      <c r="T66" s="14">
        <v>27.547999999999998</v>
      </c>
      <c r="U66" s="14">
        <v>27.972000000000001</v>
      </c>
      <c r="V66" s="14">
        <v>28.402999999999999</v>
      </c>
      <c r="W66" s="14">
        <v>28.841000000000001</v>
      </c>
      <c r="X66" s="14">
        <v>29.283999999999999</v>
      </c>
    </row>
    <row r="67" spans="1:24" x14ac:dyDescent="0.45">
      <c r="A67" s="8" t="s">
        <v>367</v>
      </c>
      <c r="B67" s="32" t="s">
        <v>140</v>
      </c>
      <c r="C67" s="8" t="s">
        <v>372</v>
      </c>
      <c r="D67" s="13" t="s">
        <v>369</v>
      </c>
      <c r="E67" s="14">
        <v>15.803000000000001</v>
      </c>
      <c r="F67" s="14">
        <v>17.442</v>
      </c>
      <c r="G67" s="14">
        <v>22.260999999999999</v>
      </c>
      <c r="H67" s="14">
        <v>22.611999999999998</v>
      </c>
      <c r="I67" s="14">
        <v>22.949000000000002</v>
      </c>
      <c r="J67" s="14">
        <v>23.347999999999999</v>
      </c>
      <c r="K67" s="14">
        <v>23.82</v>
      </c>
      <c r="L67" s="14">
        <v>24.271000000000001</v>
      </c>
      <c r="M67" s="14">
        <v>24.693000000000001</v>
      </c>
      <c r="N67" s="14">
        <v>25.117999999999999</v>
      </c>
      <c r="O67" s="14">
        <v>25.548999999999999</v>
      </c>
      <c r="P67" s="14">
        <v>25.992999999999999</v>
      </c>
      <c r="Q67" s="14">
        <v>26.452999999999999</v>
      </c>
      <c r="R67" s="14">
        <v>26.95</v>
      </c>
      <c r="S67" s="14">
        <v>27.501999999999999</v>
      </c>
      <c r="T67" s="14">
        <v>28.141999999999999</v>
      </c>
      <c r="U67" s="14">
        <v>28.908999999999999</v>
      </c>
      <c r="V67" s="14">
        <v>29.85</v>
      </c>
      <c r="W67" s="14">
        <v>31.032</v>
      </c>
      <c r="X67" s="14">
        <v>32.204999999999998</v>
      </c>
    </row>
    <row r="68" spans="1:24" x14ac:dyDescent="0.45">
      <c r="A68" s="8" t="s">
        <v>164</v>
      </c>
      <c r="B68" s="32" t="s">
        <v>57</v>
      </c>
      <c r="C68" s="8" t="s">
        <v>373</v>
      </c>
      <c r="D68" s="13" t="s">
        <v>374</v>
      </c>
      <c r="E68" s="14">
        <v>-47.34</v>
      </c>
      <c r="F68" s="14">
        <v>-37.57</v>
      </c>
      <c r="G68" s="14">
        <v>-38.57</v>
      </c>
      <c r="H68" s="14">
        <v>-37.1</v>
      </c>
      <c r="I68" s="14">
        <v>-39.97</v>
      </c>
      <c r="J68" s="14">
        <v>-40.03</v>
      </c>
      <c r="K68" s="14">
        <v>-41.63</v>
      </c>
      <c r="L68" s="14">
        <v>-44.25</v>
      </c>
      <c r="M68" s="14">
        <v>-47.61</v>
      </c>
      <c r="N68" s="14">
        <v>-52.24</v>
      </c>
      <c r="O68" s="14">
        <v>-60.25</v>
      </c>
      <c r="P68" s="14">
        <v>-69.819999999999993</v>
      </c>
      <c r="Q68" s="14">
        <v>-80.180000000000007</v>
      </c>
      <c r="R68" s="14">
        <v>-93.62</v>
      </c>
      <c r="S68" s="14">
        <v>-110.58</v>
      </c>
      <c r="T68" s="14">
        <v>-131.65</v>
      </c>
      <c r="U68" s="14">
        <v>-157.4</v>
      </c>
      <c r="V68" s="14">
        <v>-188.37</v>
      </c>
      <c r="W68" s="14">
        <v>-225.08</v>
      </c>
      <c r="X68" s="14">
        <v>-266.72000000000003</v>
      </c>
    </row>
    <row r="69" spans="1:24" x14ac:dyDescent="0.45">
      <c r="A69" s="8" t="s">
        <v>164</v>
      </c>
      <c r="B69" s="32" t="s">
        <v>138</v>
      </c>
      <c r="C69" s="8" t="s">
        <v>375</v>
      </c>
      <c r="D69" s="13" t="s">
        <v>374</v>
      </c>
      <c r="E69" s="14">
        <v>-47.34</v>
      </c>
      <c r="F69" s="14">
        <v>-37.57</v>
      </c>
      <c r="G69" s="14">
        <v>-38.57</v>
      </c>
      <c r="H69" s="14">
        <v>-37.1</v>
      </c>
      <c r="I69" s="14">
        <v>-39.97</v>
      </c>
      <c r="J69" s="14">
        <v>-40.03</v>
      </c>
      <c r="K69" s="14">
        <v>-41.63</v>
      </c>
      <c r="L69" s="14">
        <v>-44.25</v>
      </c>
      <c r="M69" s="14">
        <v>-47.61</v>
      </c>
      <c r="N69" s="14">
        <v>-52.24</v>
      </c>
      <c r="O69" s="14">
        <v>-60.25</v>
      </c>
      <c r="P69" s="14">
        <v>-69.819999999999993</v>
      </c>
      <c r="Q69" s="14">
        <v>-80.180000000000007</v>
      </c>
      <c r="R69" s="14">
        <v>-93.62</v>
      </c>
      <c r="S69" s="14">
        <v>-110.58</v>
      </c>
      <c r="T69" s="14">
        <v>-131.65</v>
      </c>
      <c r="U69" s="14">
        <v>-157.4</v>
      </c>
      <c r="V69" s="14">
        <v>-188.37</v>
      </c>
      <c r="W69" s="14">
        <v>-225.08</v>
      </c>
      <c r="X69" s="14">
        <v>-266.72000000000003</v>
      </c>
    </row>
    <row r="70" spans="1:24" x14ac:dyDescent="0.45">
      <c r="A70" s="8" t="s">
        <v>164</v>
      </c>
      <c r="B70" s="32" t="s">
        <v>139</v>
      </c>
      <c r="C70" s="8" t="s">
        <v>376</v>
      </c>
      <c r="D70" s="13" t="s">
        <v>374</v>
      </c>
      <c r="E70" s="14">
        <v>-47.34</v>
      </c>
      <c r="F70" s="14">
        <v>-37.57</v>
      </c>
      <c r="G70" s="14">
        <v>-38.57</v>
      </c>
      <c r="H70" s="14">
        <v>-37.1</v>
      </c>
      <c r="I70" s="14">
        <v>-39.97</v>
      </c>
      <c r="J70" s="14">
        <v>-40.03</v>
      </c>
      <c r="K70" s="14">
        <v>-41.63</v>
      </c>
      <c r="L70" s="14">
        <v>-44.25</v>
      </c>
      <c r="M70" s="14">
        <v>-47.61</v>
      </c>
      <c r="N70" s="14">
        <v>-52.24</v>
      </c>
      <c r="O70" s="14">
        <v>-60.25</v>
      </c>
      <c r="P70" s="14">
        <v>-69.819999999999993</v>
      </c>
      <c r="Q70" s="14">
        <v>-80.180000000000007</v>
      </c>
      <c r="R70" s="14">
        <v>-93.62</v>
      </c>
      <c r="S70" s="14">
        <v>-110.58</v>
      </c>
      <c r="T70" s="14">
        <v>-131.65</v>
      </c>
      <c r="U70" s="14">
        <v>-157.4</v>
      </c>
      <c r="V70" s="14">
        <v>-188.37</v>
      </c>
      <c r="W70" s="14">
        <v>-225.08</v>
      </c>
      <c r="X70" s="14">
        <v>-266.72000000000003</v>
      </c>
    </row>
    <row r="71" spans="1:24" x14ac:dyDescent="0.45">
      <c r="A71" s="8" t="s">
        <v>164</v>
      </c>
      <c r="B71" s="32" t="s">
        <v>140</v>
      </c>
      <c r="C71" s="8" t="s">
        <v>377</v>
      </c>
      <c r="D71" s="13" t="s">
        <v>374</v>
      </c>
      <c r="E71" s="14">
        <v>-47.34</v>
      </c>
      <c r="F71" s="14">
        <v>-37.57</v>
      </c>
      <c r="G71" s="14">
        <v>-38.57</v>
      </c>
      <c r="H71" s="14">
        <v>-37.1</v>
      </c>
      <c r="I71" s="14">
        <v>-39.97</v>
      </c>
      <c r="J71" s="14">
        <v>-40.03</v>
      </c>
      <c r="K71" s="14">
        <v>-41.63</v>
      </c>
      <c r="L71" s="14">
        <v>-44.25</v>
      </c>
      <c r="M71" s="14">
        <v>-47.61</v>
      </c>
      <c r="N71" s="14">
        <v>-52.24</v>
      </c>
      <c r="O71" s="14">
        <v>-60.25</v>
      </c>
      <c r="P71" s="14">
        <v>-69.819999999999993</v>
      </c>
      <c r="Q71" s="14">
        <v>-80.180000000000007</v>
      </c>
      <c r="R71" s="14">
        <v>-93.62</v>
      </c>
      <c r="S71" s="14">
        <v>-110.58</v>
      </c>
      <c r="T71" s="14">
        <v>-131.65</v>
      </c>
      <c r="U71" s="14">
        <v>-157.4</v>
      </c>
      <c r="V71" s="14">
        <v>-188.37</v>
      </c>
      <c r="W71" s="14">
        <v>-225.08</v>
      </c>
      <c r="X71" s="14">
        <v>-266.72000000000003</v>
      </c>
    </row>
    <row r="72" spans="1:24" x14ac:dyDescent="0.45">
      <c r="A72" s="8" t="s">
        <v>167</v>
      </c>
      <c r="B72" s="32" t="s">
        <v>57</v>
      </c>
      <c r="C72" s="8" t="s">
        <v>378</v>
      </c>
      <c r="D72" s="13" t="s">
        <v>379</v>
      </c>
      <c r="E72" s="14">
        <v>-47.34</v>
      </c>
      <c r="F72" s="14">
        <v>-37.56</v>
      </c>
      <c r="G72" s="14">
        <v>-38.56</v>
      </c>
      <c r="H72" s="14">
        <v>-37.090000000000003</v>
      </c>
      <c r="I72" s="14">
        <v>-39.96</v>
      </c>
      <c r="J72" s="14">
        <v>-40.01</v>
      </c>
      <c r="K72" s="14">
        <v>-32.83</v>
      </c>
      <c r="L72" s="14">
        <v>-33.979999999999997</v>
      </c>
      <c r="M72" s="14">
        <v>-37.18</v>
      </c>
      <c r="N72" s="14">
        <v>-41.11</v>
      </c>
      <c r="O72" s="14">
        <v>-48.65</v>
      </c>
      <c r="P72" s="14">
        <v>-55.9</v>
      </c>
      <c r="Q72" s="14">
        <v>-65.36</v>
      </c>
      <c r="R72" s="14">
        <v>-77.8</v>
      </c>
      <c r="S72" s="14">
        <v>-93.74</v>
      </c>
      <c r="T72" s="14">
        <v>-113.69</v>
      </c>
      <c r="U72" s="14">
        <v>-138.22</v>
      </c>
      <c r="V72" s="14">
        <v>-167.84</v>
      </c>
      <c r="W72" s="14">
        <v>-203.04</v>
      </c>
      <c r="X72" s="14">
        <v>-243.01</v>
      </c>
    </row>
    <row r="73" spans="1:24" x14ac:dyDescent="0.45">
      <c r="A73" s="8" t="s">
        <v>167</v>
      </c>
      <c r="B73" s="32" t="s">
        <v>138</v>
      </c>
      <c r="C73" s="8" t="s">
        <v>380</v>
      </c>
      <c r="D73" s="13" t="s">
        <v>379</v>
      </c>
      <c r="E73" s="14">
        <v>-47.34</v>
      </c>
      <c r="F73" s="14">
        <v>-37.56</v>
      </c>
      <c r="G73" s="14">
        <v>-38.56</v>
      </c>
      <c r="H73" s="14">
        <v>-37.090000000000003</v>
      </c>
      <c r="I73" s="14">
        <v>-39.96</v>
      </c>
      <c r="J73" s="14">
        <v>-40.01</v>
      </c>
      <c r="K73" s="14">
        <v>-32.83</v>
      </c>
      <c r="L73" s="14">
        <v>-33.880000000000003</v>
      </c>
      <c r="M73" s="14">
        <v>-36.99</v>
      </c>
      <c r="N73" s="14">
        <v>-40.799999999999997</v>
      </c>
      <c r="O73" s="14">
        <v>-48.24</v>
      </c>
      <c r="P73" s="14">
        <v>-55.49</v>
      </c>
      <c r="Q73" s="14">
        <v>-64.849999999999994</v>
      </c>
      <c r="R73" s="14">
        <v>-77.150000000000006</v>
      </c>
      <c r="S73" s="14">
        <v>-92.93</v>
      </c>
      <c r="T73" s="14">
        <v>-112.69</v>
      </c>
      <c r="U73" s="14">
        <v>-136.97</v>
      </c>
      <c r="V73" s="14">
        <v>-166.29</v>
      </c>
      <c r="W73" s="14">
        <v>-201.15</v>
      </c>
      <c r="X73" s="14">
        <v>-240.75</v>
      </c>
    </row>
    <row r="74" spans="1:24" x14ac:dyDescent="0.45">
      <c r="A74" s="8" t="s">
        <v>167</v>
      </c>
      <c r="B74" s="32" t="s">
        <v>139</v>
      </c>
      <c r="C74" s="8" t="s">
        <v>381</v>
      </c>
      <c r="D74" s="13" t="s">
        <v>379</v>
      </c>
      <c r="E74" s="14">
        <v>-47.34</v>
      </c>
      <c r="F74" s="14">
        <v>-37.57</v>
      </c>
      <c r="G74" s="14">
        <v>-38.57</v>
      </c>
      <c r="H74" s="14">
        <v>-37.1</v>
      </c>
      <c r="I74" s="14">
        <v>-39.97</v>
      </c>
      <c r="J74" s="14">
        <v>-40.020000000000003</v>
      </c>
      <c r="K74" s="14">
        <v>-40.909999999999997</v>
      </c>
      <c r="L74" s="14">
        <v>-42.48</v>
      </c>
      <c r="M74" s="14">
        <v>-44.92</v>
      </c>
      <c r="N74" s="14">
        <v>-48.7</v>
      </c>
      <c r="O74" s="14">
        <v>-56.59</v>
      </c>
      <c r="P74" s="14">
        <v>-63.98</v>
      </c>
      <c r="Q74" s="14">
        <v>-74.05</v>
      </c>
      <c r="R74" s="14">
        <v>-87.56</v>
      </c>
      <c r="S74" s="14">
        <v>-104.99</v>
      </c>
      <c r="T74" s="14">
        <v>-126.78</v>
      </c>
      <c r="U74" s="14">
        <v>-153.47999999999999</v>
      </c>
      <c r="V74" s="14">
        <v>-185.57</v>
      </c>
      <c r="W74" s="14">
        <v>-223.55</v>
      </c>
      <c r="X74" s="14">
        <v>-266.55</v>
      </c>
    </row>
    <row r="75" spans="1:24" x14ac:dyDescent="0.45">
      <c r="A75" s="8" t="s">
        <v>167</v>
      </c>
      <c r="B75" s="32" t="s">
        <v>140</v>
      </c>
      <c r="C75" s="8" t="s">
        <v>382</v>
      </c>
      <c r="D75" s="13" t="s">
        <v>379</v>
      </c>
      <c r="E75" s="14">
        <v>-47.34</v>
      </c>
      <c r="F75" s="14">
        <v>-37.57</v>
      </c>
      <c r="G75" s="14">
        <v>-38.57</v>
      </c>
      <c r="H75" s="14">
        <v>-37.1</v>
      </c>
      <c r="I75" s="14">
        <v>-39.97</v>
      </c>
      <c r="J75" s="14">
        <v>-40.03</v>
      </c>
      <c r="K75" s="14">
        <v>-40.03</v>
      </c>
      <c r="L75" s="14">
        <v>-40.020000000000003</v>
      </c>
      <c r="M75" s="14">
        <v>-40.909999999999997</v>
      </c>
      <c r="N75" s="14">
        <v>-42.54</v>
      </c>
      <c r="O75" s="14">
        <v>-45.43</v>
      </c>
      <c r="P75" s="14">
        <v>-48.77</v>
      </c>
      <c r="Q75" s="14">
        <v>-47.11</v>
      </c>
      <c r="R75" s="14">
        <v>-39.799999999999997</v>
      </c>
      <c r="S75" s="14">
        <v>-23.6</v>
      </c>
      <c r="T75" s="14">
        <v>5.51</v>
      </c>
      <c r="U75" s="14">
        <v>52.16</v>
      </c>
      <c r="V75" s="14">
        <v>121.59</v>
      </c>
      <c r="W75" s="14">
        <v>219.69</v>
      </c>
      <c r="X75" s="14">
        <v>346.84</v>
      </c>
    </row>
    <row r="76" spans="1:24" x14ac:dyDescent="0.45">
      <c r="A76" s="8" t="s">
        <v>169</v>
      </c>
      <c r="B76" s="32" t="s">
        <v>57</v>
      </c>
      <c r="C76" s="8" t="s">
        <v>383</v>
      </c>
      <c r="D76" s="13" t="s">
        <v>384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0.15</v>
      </c>
      <c r="L76" s="14">
        <v>0.15</v>
      </c>
      <c r="M76" s="14">
        <v>0.16</v>
      </c>
      <c r="N76" s="14">
        <v>0.16</v>
      </c>
      <c r="O76" s="14">
        <v>0.16</v>
      </c>
      <c r="P76" s="14">
        <v>0.17</v>
      </c>
      <c r="Q76" s="14">
        <v>0.17</v>
      </c>
      <c r="R76" s="14">
        <v>0.17</v>
      </c>
      <c r="S76" s="14">
        <v>0.18</v>
      </c>
      <c r="T76" s="14">
        <v>0.18</v>
      </c>
      <c r="U76" s="14">
        <v>0.18</v>
      </c>
      <c r="V76" s="14">
        <v>0.19</v>
      </c>
      <c r="W76" s="14">
        <v>0.19</v>
      </c>
      <c r="X76" s="14">
        <v>0.2</v>
      </c>
    </row>
    <row r="77" spans="1:24" x14ac:dyDescent="0.45">
      <c r="A77" s="8" t="s">
        <v>169</v>
      </c>
      <c r="B77" s="32" t="s">
        <v>138</v>
      </c>
      <c r="C77" s="8" t="s">
        <v>385</v>
      </c>
      <c r="D77" s="13" t="s">
        <v>384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0.15</v>
      </c>
      <c r="L77" s="14">
        <v>0.15</v>
      </c>
      <c r="M77" s="14">
        <v>0.16</v>
      </c>
      <c r="N77" s="14">
        <v>0.16</v>
      </c>
      <c r="O77" s="14">
        <v>0.16</v>
      </c>
      <c r="P77" s="14">
        <v>0.16</v>
      </c>
      <c r="Q77" s="14">
        <v>0.17</v>
      </c>
      <c r="R77" s="14">
        <v>0.17</v>
      </c>
      <c r="S77" s="14">
        <v>0.17</v>
      </c>
      <c r="T77" s="14">
        <v>0.18</v>
      </c>
      <c r="U77" s="14">
        <v>0.18</v>
      </c>
      <c r="V77" s="14">
        <v>0.18</v>
      </c>
      <c r="W77" s="14">
        <v>0.18</v>
      </c>
      <c r="X77" s="14">
        <v>0.19</v>
      </c>
    </row>
    <row r="78" spans="1:24" x14ac:dyDescent="0.45">
      <c r="A78" s="8" t="s">
        <v>169</v>
      </c>
      <c r="B78" s="32" t="s">
        <v>139</v>
      </c>
      <c r="C78" s="8" t="s">
        <v>386</v>
      </c>
      <c r="D78" s="13" t="s">
        <v>384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0.04</v>
      </c>
      <c r="L78" s="14">
        <v>0.1</v>
      </c>
      <c r="M78" s="14">
        <v>0.16</v>
      </c>
      <c r="N78" s="14">
        <v>0.21</v>
      </c>
      <c r="O78" s="14">
        <v>0.26</v>
      </c>
      <c r="P78" s="14">
        <v>0.31</v>
      </c>
      <c r="Q78" s="14">
        <v>0.35</v>
      </c>
      <c r="R78" s="14">
        <v>0.4</v>
      </c>
      <c r="S78" s="14">
        <v>0.45</v>
      </c>
      <c r="T78" s="14">
        <v>0.49</v>
      </c>
      <c r="U78" s="14">
        <v>0.54</v>
      </c>
      <c r="V78" s="14">
        <v>0.57999999999999996</v>
      </c>
      <c r="W78" s="14">
        <v>0.62</v>
      </c>
      <c r="X78" s="14">
        <v>0.67</v>
      </c>
    </row>
    <row r="79" spans="1:24" x14ac:dyDescent="0.45">
      <c r="A79" s="8" t="s">
        <v>169</v>
      </c>
      <c r="B79" s="32" t="s">
        <v>140</v>
      </c>
      <c r="C79" s="8" t="s">
        <v>387</v>
      </c>
      <c r="D79" s="13" t="s">
        <v>384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45">
      <c r="A80" s="8" t="s">
        <v>171</v>
      </c>
      <c r="B80" s="32" t="s">
        <v>57</v>
      </c>
      <c r="C80" s="8" t="s">
        <v>388</v>
      </c>
      <c r="D80" s="13" t="s">
        <v>389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1.33</v>
      </c>
      <c r="L80" s="14">
        <v>1.5</v>
      </c>
      <c r="M80" s="14">
        <v>1.72</v>
      </c>
      <c r="N80" s="14">
        <v>1.99</v>
      </c>
      <c r="O80" s="14">
        <v>2.3199999999999998</v>
      </c>
      <c r="P80" s="14">
        <v>2.7</v>
      </c>
      <c r="Q80" s="14">
        <v>3.13</v>
      </c>
      <c r="R80" s="14">
        <v>3.61</v>
      </c>
      <c r="S80" s="14">
        <v>4.1399999999999997</v>
      </c>
      <c r="T80" s="14">
        <v>4.7300000000000004</v>
      </c>
      <c r="U80" s="14">
        <v>5.37</v>
      </c>
      <c r="V80" s="14">
        <v>6.06</v>
      </c>
      <c r="W80" s="14">
        <v>6.81</v>
      </c>
      <c r="X80" s="14">
        <v>7.6</v>
      </c>
    </row>
    <row r="81" spans="1:24" x14ac:dyDescent="0.45">
      <c r="A81" s="8" t="s">
        <v>171</v>
      </c>
      <c r="B81" s="32" t="s">
        <v>138</v>
      </c>
      <c r="C81" s="8" t="s">
        <v>390</v>
      </c>
      <c r="D81" s="13" t="s">
        <v>389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1.33</v>
      </c>
      <c r="L81" s="14">
        <v>1.5</v>
      </c>
      <c r="M81" s="14">
        <v>1.71</v>
      </c>
      <c r="N81" s="14">
        <v>1.98</v>
      </c>
      <c r="O81" s="14">
        <v>2.31</v>
      </c>
      <c r="P81" s="14">
        <v>2.69</v>
      </c>
      <c r="Q81" s="14">
        <v>3.12</v>
      </c>
      <c r="R81" s="14">
        <v>3.6</v>
      </c>
      <c r="S81" s="14">
        <v>4.13</v>
      </c>
      <c r="T81" s="14">
        <v>4.72</v>
      </c>
      <c r="U81" s="14">
        <v>5.35</v>
      </c>
      <c r="V81" s="14">
        <v>6.04</v>
      </c>
      <c r="W81" s="14">
        <v>6.78</v>
      </c>
      <c r="X81" s="14">
        <v>7.57</v>
      </c>
    </row>
    <row r="82" spans="1:24" x14ac:dyDescent="0.45">
      <c r="A82" s="8" t="s">
        <v>171</v>
      </c>
      <c r="B82" s="32" t="s">
        <v>139</v>
      </c>
      <c r="C82" s="8" t="s">
        <v>391</v>
      </c>
      <c r="D82" s="13" t="s">
        <v>389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0.02</v>
      </c>
      <c r="L82" s="14">
        <v>0.04</v>
      </c>
      <c r="M82" s="14">
        <v>7.0000000000000007E-2</v>
      </c>
      <c r="N82" s="14">
        <v>0.08</v>
      </c>
      <c r="O82" s="14">
        <v>0.1</v>
      </c>
      <c r="P82" s="14">
        <v>0.12</v>
      </c>
      <c r="Q82" s="14">
        <v>0.13</v>
      </c>
      <c r="R82" s="14">
        <v>0.15</v>
      </c>
      <c r="S82" s="14">
        <v>0.16</v>
      </c>
      <c r="T82" s="14">
        <v>0.18</v>
      </c>
      <c r="U82" s="14">
        <v>0.19</v>
      </c>
      <c r="V82" s="14">
        <v>0.2</v>
      </c>
      <c r="W82" s="14">
        <v>0.21</v>
      </c>
      <c r="X82" s="14">
        <v>0.22</v>
      </c>
    </row>
    <row r="83" spans="1:24" x14ac:dyDescent="0.45">
      <c r="A83" s="8" t="s">
        <v>171</v>
      </c>
      <c r="B83" s="32" t="s">
        <v>140</v>
      </c>
      <c r="C83" s="8" t="s">
        <v>392</v>
      </c>
      <c r="D83" s="13" t="s">
        <v>389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</row>
    <row r="84" spans="1:24" x14ac:dyDescent="0.45">
      <c r="A84" s="8" t="s">
        <v>173</v>
      </c>
      <c r="B84" s="32" t="s">
        <v>57</v>
      </c>
      <c r="C84" s="8" t="s">
        <v>393</v>
      </c>
      <c r="D84" s="13" t="s">
        <v>394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0.47</v>
      </c>
      <c r="L84" s="14">
        <v>0.52</v>
      </c>
      <c r="M84" s="14">
        <v>0.59</v>
      </c>
      <c r="N84" s="14">
        <v>0.67</v>
      </c>
      <c r="O84" s="14">
        <v>0.75</v>
      </c>
      <c r="P84" s="14">
        <v>0.84</v>
      </c>
      <c r="Q84" s="14">
        <v>0.93</v>
      </c>
      <c r="R84" s="14">
        <v>1.02</v>
      </c>
      <c r="S84" s="14">
        <v>1.1100000000000001</v>
      </c>
      <c r="T84" s="14">
        <v>1.2</v>
      </c>
      <c r="U84" s="14">
        <v>1.28</v>
      </c>
      <c r="V84" s="14">
        <v>1.37</v>
      </c>
      <c r="W84" s="14">
        <v>1.44</v>
      </c>
      <c r="X84" s="14">
        <v>1.52</v>
      </c>
    </row>
    <row r="85" spans="1:24" x14ac:dyDescent="0.45">
      <c r="A85" s="8" t="s">
        <v>173</v>
      </c>
      <c r="B85" s="32" t="s">
        <v>138</v>
      </c>
      <c r="C85" s="8" t="s">
        <v>395</v>
      </c>
      <c r="D85" s="13" t="s">
        <v>394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0.47</v>
      </c>
      <c r="L85" s="14">
        <v>0.52</v>
      </c>
      <c r="M85" s="14">
        <v>0.59</v>
      </c>
      <c r="N85" s="14">
        <v>0.67</v>
      </c>
      <c r="O85" s="14">
        <v>0.75</v>
      </c>
      <c r="P85" s="14">
        <v>0.84</v>
      </c>
      <c r="Q85" s="14">
        <v>0.93</v>
      </c>
      <c r="R85" s="14">
        <v>1.02</v>
      </c>
      <c r="S85" s="14">
        <v>1.1100000000000001</v>
      </c>
      <c r="T85" s="14">
        <v>1.2</v>
      </c>
      <c r="U85" s="14">
        <v>1.28</v>
      </c>
      <c r="V85" s="14">
        <v>1.37</v>
      </c>
      <c r="W85" s="14">
        <v>1.44</v>
      </c>
      <c r="X85" s="14">
        <v>1.52</v>
      </c>
    </row>
    <row r="86" spans="1:24" x14ac:dyDescent="0.45">
      <c r="A86" s="8" t="s">
        <v>173</v>
      </c>
      <c r="B86" s="32" t="s">
        <v>139</v>
      </c>
      <c r="C86" s="8" t="s">
        <v>396</v>
      </c>
      <c r="D86" s="13" t="s">
        <v>394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45">
      <c r="A87" s="8" t="s">
        <v>173</v>
      </c>
      <c r="B87" s="32" t="s">
        <v>140</v>
      </c>
      <c r="C87" s="8" t="s">
        <v>397</v>
      </c>
      <c r="D87" s="13" t="s">
        <v>394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</row>
    <row r="88" spans="1:24" x14ac:dyDescent="0.45">
      <c r="A88" s="8" t="s">
        <v>175</v>
      </c>
      <c r="B88" s="32" t="s">
        <v>57</v>
      </c>
      <c r="C88" s="8" t="s">
        <v>398</v>
      </c>
      <c r="D88" s="13" t="s">
        <v>399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0.37</v>
      </c>
      <c r="L88" s="14">
        <v>0.39</v>
      </c>
      <c r="M88" s="14">
        <v>0.4</v>
      </c>
      <c r="N88" s="14">
        <v>0.41</v>
      </c>
      <c r="O88" s="14">
        <v>0.42</v>
      </c>
      <c r="P88" s="14">
        <v>0.43</v>
      </c>
      <c r="Q88" s="14">
        <v>0.44</v>
      </c>
      <c r="R88" s="14">
        <v>0.45</v>
      </c>
      <c r="S88" s="14">
        <v>0.47</v>
      </c>
      <c r="T88" s="14">
        <v>0.48</v>
      </c>
      <c r="U88" s="14">
        <v>0.49</v>
      </c>
      <c r="V88" s="14">
        <v>0.51</v>
      </c>
      <c r="W88" s="14">
        <v>0.53</v>
      </c>
      <c r="X88" s="14">
        <v>0.54</v>
      </c>
    </row>
    <row r="89" spans="1:24" x14ac:dyDescent="0.45">
      <c r="A89" s="8" t="s">
        <v>175</v>
      </c>
      <c r="B89" s="32" t="s">
        <v>138</v>
      </c>
      <c r="C89" s="8" t="s">
        <v>400</v>
      </c>
      <c r="D89" s="13" t="s">
        <v>399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0.37</v>
      </c>
      <c r="L89" s="14">
        <v>0.38</v>
      </c>
      <c r="M89" s="14">
        <v>0.39</v>
      </c>
      <c r="N89" s="14">
        <v>0.4</v>
      </c>
      <c r="O89" s="14">
        <v>0.41</v>
      </c>
      <c r="P89" s="14">
        <v>0.42</v>
      </c>
      <c r="Q89" s="14">
        <v>0.43</v>
      </c>
      <c r="R89" s="14">
        <v>0.44</v>
      </c>
      <c r="S89" s="14">
        <v>0.45</v>
      </c>
      <c r="T89" s="14">
        <v>0.46</v>
      </c>
      <c r="U89" s="14">
        <v>0.47</v>
      </c>
      <c r="V89" s="14">
        <v>0.49</v>
      </c>
      <c r="W89" s="14">
        <v>0.5</v>
      </c>
      <c r="X89" s="14">
        <v>0.51</v>
      </c>
    </row>
    <row r="90" spans="1:24" x14ac:dyDescent="0.45">
      <c r="A90" s="8" t="s">
        <v>175</v>
      </c>
      <c r="B90" s="32" t="s">
        <v>139</v>
      </c>
      <c r="C90" s="8" t="s">
        <v>401</v>
      </c>
      <c r="D90" s="13" t="s">
        <v>399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0.05</v>
      </c>
      <c r="L90" s="14">
        <v>0.12</v>
      </c>
      <c r="M90" s="14">
        <v>0.18</v>
      </c>
      <c r="N90" s="14">
        <v>0.24</v>
      </c>
      <c r="O90" s="14">
        <v>0.28999999999999998</v>
      </c>
      <c r="P90" s="14">
        <v>0.34</v>
      </c>
      <c r="Q90" s="14">
        <v>0.39</v>
      </c>
      <c r="R90" s="14">
        <v>0.44</v>
      </c>
      <c r="S90" s="14">
        <v>0.49</v>
      </c>
      <c r="T90" s="14">
        <v>0.54</v>
      </c>
      <c r="U90" s="14">
        <v>0.59</v>
      </c>
      <c r="V90" s="14">
        <v>0.64</v>
      </c>
      <c r="W90" s="14">
        <v>0.69</v>
      </c>
      <c r="X90" s="14">
        <v>0.74</v>
      </c>
    </row>
    <row r="91" spans="1:24" x14ac:dyDescent="0.45">
      <c r="A91" s="8" t="s">
        <v>175</v>
      </c>
      <c r="B91" s="32" t="s">
        <v>140</v>
      </c>
      <c r="C91" s="8" t="s">
        <v>402</v>
      </c>
      <c r="D91" s="13" t="s">
        <v>399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45">
      <c r="A92" s="8" t="s">
        <v>177</v>
      </c>
      <c r="B92" s="32" t="s">
        <v>57</v>
      </c>
      <c r="C92" s="8" t="s">
        <v>403</v>
      </c>
      <c r="D92" s="13" t="s">
        <v>404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2.34</v>
      </c>
      <c r="L92" s="14">
        <v>2.38</v>
      </c>
      <c r="M92" s="14">
        <v>2.7</v>
      </c>
      <c r="N92" s="14">
        <v>3.04</v>
      </c>
      <c r="O92" s="14">
        <v>3.71</v>
      </c>
      <c r="P92" s="14">
        <v>4.0199999999999996</v>
      </c>
      <c r="Q92" s="14">
        <v>4.38</v>
      </c>
      <c r="R92" s="14">
        <v>4.79</v>
      </c>
      <c r="S92" s="14">
        <v>5.26</v>
      </c>
      <c r="T92" s="14">
        <v>5.81</v>
      </c>
      <c r="U92" s="14">
        <v>6.42</v>
      </c>
      <c r="V92" s="14">
        <v>7.13</v>
      </c>
      <c r="W92" s="14">
        <v>7.92</v>
      </c>
      <c r="X92" s="14">
        <v>8.7899999999999991</v>
      </c>
    </row>
    <row r="93" spans="1:24" x14ac:dyDescent="0.45">
      <c r="A93" s="8" t="s">
        <v>177</v>
      </c>
      <c r="B93" s="32" t="s">
        <v>138</v>
      </c>
      <c r="C93" s="8" t="s">
        <v>405</v>
      </c>
      <c r="D93" s="13" t="s">
        <v>404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2.34</v>
      </c>
      <c r="L93" s="14">
        <v>2.36</v>
      </c>
      <c r="M93" s="14">
        <v>2.68</v>
      </c>
      <c r="N93" s="14">
        <v>3.02</v>
      </c>
      <c r="O93" s="14">
        <v>3.67</v>
      </c>
      <c r="P93" s="14">
        <v>4</v>
      </c>
      <c r="Q93" s="14">
        <v>4.3499999999999996</v>
      </c>
      <c r="R93" s="14">
        <v>4.75</v>
      </c>
      <c r="S93" s="14">
        <v>5.21</v>
      </c>
      <c r="T93" s="14">
        <v>5.75</v>
      </c>
      <c r="U93" s="14">
        <v>6.35</v>
      </c>
      <c r="V93" s="14">
        <v>7.04</v>
      </c>
      <c r="W93" s="14">
        <v>7.81</v>
      </c>
      <c r="X93" s="14">
        <v>8.67</v>
      </c>
    </row>
    <row r="94" spans="1:24" x14ac:dyDescent="0.45">
      <c r="A94" s="8" t="s">
        <v>177</v>
      </c>
      <c r="B94" s="32" t="s">
        <v>139</v>
      </c>
      <c r="C94" s="8" t="s">
        <v>406</v>
      </c>
      <c r="D94" s="13" t="s">
        <v>404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0.12</v>
      </c>
      <c r="L94" s="14">
        <v>0.31</v>
      </c>
      <c r="M94" s="14">
        <v>0.49</v>
      </c>
      <c r="N94" s="14">
        <v>0.66</v>
      </c>
      <c r="O94" s="14">
        <v>0.84</v>
      </c>
      <c r="P94" s="14">
        <v>1.01</v>
      </c>
      <c r="Q94" s="14">
        <v>1.19</v>
      </c>
      <c r="R94" s="14">
        <v>1.37</v>
      </c>
      <c r="S94" s="14">
        <v>1.55</v>
      </c>
      <c r="T94" s="14">
        <v>1.73</v>
      </c>
      <c r="U94" s="14">
        <v>1.91</v>
      </c>
      <c r="V94" s="14">
        <v>2.1</v>
      </c>
      <c r="W94" s="14">
        <v>2.2999999999999998</v>
      </c>
      <c r="X94" s="14">
        <v>2.5</v>
      </c>
    </row>
    <row r="95" spans="1:24" x14ac:dyDescent="0.45">
      <c r="A95" s="8" t="s">
        <v>177</v>
      </c>
      <c r="B95" s="32" t="s">
        <v>140</v>
      </c>
      <c r="C95" s="8" t="s">
        <v>407</v>
      </c>
      <c r="D95" s="13" t="s">
        <v>404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</row>
    <row r="96" spans="1:24" x14ac:dyDescent="0.45">
      <c r="A96" s="8" t="s">
        <v>179</v>
      </c>
      <c r="B96" s="32" t="s">
        <v>57</v>
      </c>
      <c r="C96" s="8" t="s">
        <v>408</v>
      </c>
      <c r="D96" s="13" t="s">
        <v>409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0.64</v>
      </c>
      <c r="L96" s="14">
        <v>0.66</v>
      </c>
      <c r="M96" s="14">
        <v>0.66</v>
      </c>
      <c r="N96" s="14">
        <v>0.68</v>
      </c>
      <c r="O96" s="14">
        <v>0.79</v>
      </c>
      <c r="P96" s="14">
        <v>0.92</v>
      </c>
      <c r="Q96" s="14">
        <v>1.06</v>
      </c>
      <c r="R96" s="14">
        <v>1.21</v>
      </c>
      <c r="S96" s="14">
        <v>1.39</v>
      </c>
      <c r="T96" s="14">
        <v>1.58</v>
      </c>
      <c r="U96" s="14">
        <v>1.8</v>
      </c>
      <c r="V96" s="14">
        <v>2.04</v>
      </c>
      <c r="W96" s="14">
        <v>2.3199999999999998</v>
      </c>
      <c r="X96" s="14">
        <v>2.63</v>
      </c>
    </row>
    <row r="97" spans="1:24" x14ac:dyDescent="0.45">
      <c r="A97" s="8" t="s">
        <v>179</v>
      </c>
      <c r="B97" s="32" t="s">
        <v>138</v>
      </c>
      <c r="C97" s="8" t="s">
        <v>410</v>
      </c>
      <c r="D97" s="13" t="s">
        <v>409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0.64</v>
      </c>
      <c r="L97" s="14">
        <v>0.65</v>
      </c>
      <c r="M97" s="14">
        <v>0.66</v>
      </c>
      <c r="N97" s="14">
        <v>0.67</v>
      </c>
      <c r="O97" s="14">
        <v>0.78</v>
      </c>
      <c r="P97" s="14">
        <v>0.9</v>
      </c>
      <c r="Q97" s="14">
        <v>1.04</v>
      </c>
      <c r="R97" s="14">
        <v>1.19</v>
      </c>
      <c r="S97" s="14">
        <v>1.36</v>
      </c>
      <c r="T97" s="14">
        <v>1.55</v>
      </c>
      <c r="U97" s="14">
        <v>1.76</v>
      </c>
      <c r="V97" s="14">
        <v>2</v>
      </c>
      <c r="W97" s="14">
        <v>2.27</v>
      </c>
      <c r="X97" s="14">
        <v>2.57</v>
      </c>
    </row>
    <row r="98" spans="1:24" x14ac:dyDescent="0.45">
      <c r="A98" s="8" t="s">
        <v>179</v>
      </c>
      <c r="B98" s="32" t="s">
        <v>139</v>
      </c>
      <c r="C98" s="8" t="s">
        <v>411</v>
      </c>
      <c r="D98" s="13" t="s">
        <v>409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0.01</v>
      </c>
      <c r="L98" s="14">
        <v>0.02</v>
      </c>
      <c r="M98" s="14">
        <v>0.03</v>
      </c>
      <c r="N98" s="14">
        <v>0.04</v>
      </c>
      <c r="O98" s="14">
        <v>0.05</v>
      </c>
      <c r="P98" s="14">
        <v>0.06</v>
      </c>
      <c r="Q98" s="14">
        <v>0.06</v>
      </c>
      <c r="R98" s="14">
        <v>7.0000000000000007E-2</v>
      </c>
      <c r="S98" s="14">
        <v>0.08</v>
      </c>
      <c r="T98" s="14">
        <v>0.08</v>
      </c>
      <c r="U98" s="14">
        <v>0.09</v>
      </c>
      <c r="V98" s="14">
        <v>0.1</v>
      </c>
      <c r="W98" s="14">
        <v>0.1</v>
      </c>
      <c r="X98" s="14">
        <v>0.11</v>
      </c>
    </row>
    <row r="99" spans="1:24" x14ac:dyDescent="0.45">
      <c r="A99" s="8" t="s">
        <v>179</v>
      </c>
      <c r="B99" s="32" t="s">
        <v>140</v>
      </c>
      <c r="C99" s="8" t="s">
        <v>412</v>
      </c>
      <c r="D99" s="13" t="s">
        <v>409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</row>
    <row r="100" spans="1:24" x14ac:dyDescent="0.45">
      <c r="A100" s="8" t="s">
        <v>160</v>
      </c>
      <c r="B100" s="32" t="s">
        <v>57</v>
      </c>
      <c r="C100" s="8" t="s">
        <v>413</v>
      </c>
      <c r="D100" s="13" t="s">
        <v>414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20</v>
      </c>
      <c r="L100" s="14">
        <v>20</v>
      </c>
      <c r="M100" s="14">
        <v>20</v>
      </c>
      <c r="N100" s="14">
        <v>20</v>
      </c>
      <c r="O100" s="14">
        <v>20</v>
      </c>
      <c r="P100" s="14">
        <v>20</v>
      </c>
      <c r="Q100" s="14">
        <v>20</v>
      </c>
      <c r="R100" s="14">
        <v>20</v>
      </c>
      <c r="S100" s="14">
        <v>20</v>
      </c>
      <c r="T100" s="14">
        <v>20</v>
      </c>
      <c r="U100" s="14">
        <v>20</v>
      </c>
      <c r="V100" s="14">
        <v>20</v>
      </c>
      <c r="W100" s="14">
        <v>20</v>
      </c>
      <c r="X100" s="14">
        <v>20</v>
      </c>
    </row>
    <row r="101" spans="1:24" x14ac:dyDescent="0.45">
      <c r="A101" s="8" t="s">
        <v>160</v>
      </c>
      <c r="B101" s="32" t="s">
        <v>138</v>
      </c>
      <c r="C101" s="8" t="s">
        <v>415</v>
      </c>
      <c r="D101" s="13" t="s">
        <v>414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20</v>
      </c>
      <c r="L101" s="14">
        <v>20</v>
      </c>
      <c r="M101" s="14">
        <v>20</v>
      </c>
      <c r="N101" s="14">
        <v>20</v>
      </c>
      <c r="O101" s="14">
        <v>20</v>
      </c>
      <c r="P101" s="14">
        <v>20</v>
      </c>
      <c r="Q101" s="14">
        <v>20</v>
      </c>
      <c r="R101" s="14">
        <v>20</v>
      </c>
      <c r="S101" s="14">
        <v>20</v>
      </c>
      <c r="T101" s="14">
        <v>20</v>
      </c>
      <c r="U101" s="14">
        <v>20</v>
      </c>
      <c r="V101" s="14">
        <v>20</v>
      </c>
      <c r="W101" s="14">
        <v>20</v>
      </c>
      <c r="X101" s="14">
        <v>20</v>
      </c>
    </row>
    <row r="102" spans="1:24" x14ac:dyDescent="0.45">
      <c r="A102" s="8" t="s">
        <v>160</v>
      </c>
      <c r="B102" s="32" t="s">
        <v>139</v>
      </c>
      <c r="C102" s="8" t="s">
        <v>416</v>
      </c>
      <c r="D102" s="13" t="s">
        <v>414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5</v>
      </c>
      <c r="L102" s="14">
        <v>12.5</v>
      </c>
      <c r="M102" s="14">
        <v>20</v>
      </c>
      <c r="N102" s="14">
        <v>27.5</v>
      </c>
      <c r="O102" s="14">
        <v>35</v>
      </c>
      <c r="P102" s="14">
        <v>42.5</v>
      </c>
      <c r="Q102" s="14">
        <v>50</v>
      </c>
      <c r="R102" s="14">
        <v>57.5</v>
      </c>
      <c r="S102" s="14">
        <v>65</v>
      </c>
      <c r="T102" s="14">
        <v>72.5</v>
      </c>
      <c r="U102" s="14">
        <v>80</v>
      </c>
      <c r="V102" s="14">
        <v>87.5</v>
      </c>
      <c r="W102" s="14">
        <v>95</v>
      </c>
      <c r="X102" s="14">
        <v>102.5</v>
      </c>
    </row>
    <row r="103" spans="1:24" x14ac:dyDescent="0.45">
      <c r="A103" s="8" t="s">
        <v>160</v>
      </c>
      <c r="B103" s="32" t="s">
        <v>140</v>
      </c>
      <c r="C103" s="8" t="s">
        <v>417</v>
      </c>
      <c r="D103" s="13" t="s">
        <v>414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45">
      <c r="A104" s="8" t="s">
        <v>162</v>
      </c>
      <c r="B104" s="32" t="s">
        <v>57</v>
      </c>
      <c r="C104" s="8" t="s">
        <v>418</v>
      </c>
      <c r="D104" s="13" t="s">
        <v>419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19.783999999999999</v>
      </c>
      <c r="L104" s="14">
        <v>19.786000000000001</v>
      </c>
      <c r="M104" s="14">
        <v>19.8</v>
      </c>
      <c r="N104" s="14">
        <v>19.814</v>
      </c>
      <c r="O104" s="14">
        <v>19.835999999999999</v>
      </c>
      <c r="P104" s="14">
        <v>19.847000000000001</v>
      </c>
      <c r="Q104" s="14">
        <v>19.856999999999999</v>
      </c>
      <c r="R104" s="14">
        <v>19.867000000000001</v>
      </c>
      <c r="S104" s="14">
        <v>19.876000000000001</v>
      </c>
      <c r="T104" s="14">
        <v>19.884</v>
      </c>
      <c r="U104" s="14">
        <v>19.890999999999998</v>
      </c>
      <c r="V104" s="14">
        <v>19.896999999999998</v>
      </c>
      <c r="W104" s="14">
        <v>19.902999999999999</v>
      </c>
      <c r="X104" s="14">
        <v>19.908999999999999</v>
      </c>
    </row>
    <row r="105" spans="1:24" x14ac:dyDescent="0.45">
      <c r="A105" s="8" t="s">
        <v>162</v>
      </c>
      <c r="B105" s="32" t="s">
        <v>138</v>
      </c>
      <c r="C105" s="8" t="s">
        <v>420</v>
      </c>
      <c r="D105" s="13" t="s">
        <v>419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19.783999999999999</v>
      </c>
      <c r="L105" s="14">
        <v>19.786000000000001</v>
      </c>
      <c r="M105" s="14">
        <v>19.800999999999998</v>
      </c>
      <c r="N105" s="14">
        <v>19.815000000000001</v>
      </c>
      <c r="O105" s="14">
        <v>19.838000000000001</v>
      </c>
      <c r="P105" s="14">
        <v>19.849</v>
      </c>
      <c r="Q105" s="14">
        <v>19.86</v>
      </c>
      <c r="R105" s="14">
        <v>19.87</v>
      </c>
      <c r="S105" s="14">
        <v>19.88</v>
      </c>
      <c r="T105" s="14">
        <v>19.888000000000002</v>
      </c>
      <c r="U105" s="14">
        <v>19.896000000000001</v>
      </c>
      <c r="V105" s="14">
        <v>19.904</v>
      </c>
      <c r="W105" s="14">
        <v>19.91</v>
      </c>
      <c r="X105" s="14">
        <v>19.917000000000002</v>
      </c>
    </row>
    <row r="106" spans="1:24" x14ac:dyDescent="0.45">
      <c r="A106" s="8" t="s">
        <v>162</v>
      </c>
      <c r="B106" s="32" t="s">
        <v>139</v>
      </c>
      <c r="C106" s="8" t="s">
        <v>421</v>
      </c>
      <c r="D106" s="13" t="s">
        <v>419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0.84199999999999997</v>
      </c>
      <c r="L106" s="14">
        <v>1.931</v>
      </c>
      <c r="M106" s="14">
        <v>2.8069999999999999</v>
      </c>
      <c r="N106" s="14">
        <v>3.4319999999999999</v>
      </c>
      <c r="O106" s="14">
        <v>3.7040000000000002</v>
      </c>
      <c r="P106" s="14">
        <v>4.0430000000000001</v>
      </c>
      <c r="Q106" s="14">
        <v>4.2709999999999999</v>
      </c>
      <c r="R106" s="14">
        <v>4.41</v>
      </c>
      <c r="S106" s="14">
        <v>4.4800000000000004</v>
      </c>
      <c r="T106" s="14">
        <v>4.4950000000000001</v>
      </c>
      <c r="U106" s="14">
        <v>4.4690000000000003</v>
      </c>
      <c r="V106" s="14">
        <v>4.4119999999999999</v>
      </c>
      <c r="W106" s="14">
        <v>4.3310000000000004</v>
      </c>
      <c r="X106" s="14">
        <v>4.2370000000000001</v>
      </c>
    </row>
    <row r="107" spans="1:24" x14ac:dyDescent="0.45">
      <c r="A107" s="8" t="s">
        <v>162</v>
      </c>
      <c r="B107" s="32" t="s">
        <v>140</v>
      </c>
      <c r="C107" s="8" t="s">
        <v>422</v>
      </c>
      <c r="D107" s="13" t="s">
        <v>419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</row>
    <row r="108" spans="1:24" x14ac:dyDescent="0.45">
      <c r="A108" s="8" t="s">
        <v>181</v>
      </c>
      <c r="B108" s="32" t="s">
        <v>57</v>
      </c>
      <c r="C108" s="8" t="s">
        <v>423</v>
      </c>
      <c r="D108" s="13" t="s">
        <v>424</v>
      </c>
      <c r="E108" s="14">
        <v>0</v>
      </c>
      <c r="F108" s="14">
        <v>-1</v>
      </c>
      <c r="G108" s="14">
        <v>-1</v>
      </c>
      <c r="H108" s="14">
        <v>-1</v>
      </c>
      <c r="I108" s="14">
        <v>0</v>
      </c>
      <c r="J108" s="14">
        <v>-6</v>
      </c>
      <c r="K108" s="14">
        <v>490</v>
      </c>
      <c r="L108" s="14">
        <v>520</v>
      </c>
      <c r="M108" s="14">
        <v>525</v>
      </c>
      <c r="N108" s="14">
        <v>486</v>
      </c>
      <c r="O108" s="14">
        <v>510</v>
      </c>
      <c r="P108" s="14">
        <v>599</v>
      </c>
      <c r="Q108" s="14">
        <v>496</v>
      </c>
      <c r="R108" s="14">
        <v>546</v>
      </c>
      <c r="S108" s="14">
        <v>415</v>
      </c>
      <c r="T108" s="14">
        <v>424</v>
      </c>
      <c r="U108" s="14">
        <v>395</v>
      </c>
      <c r="V108" s="14">
        <v>367</v>
      </c>
      <c r="W108" s="14">
        <v>311</v>
      </c>
      <c r="X108" s="14">
        <v>0</v>
      </c>
    </row>
    <row r="109" spans="1:24" x14ac:dyDescent="0.45">
      <c r="A109" s="8" t="s">
        <v>181</v>
      </c>
      <c r="B109" s="32" t="s">
        <v>138</v>
      </c>
      <c r="C109" s="8" t="s">
        <v>425</v>
      </c>
      <c r="D109" s="13" t="s">
        <v>424</v>
      </c>
      <c r="E109" s="14">
        <v>0</v>
      </c>
      <c r="F109" s="14">
        <v>-1</v>
      </c>
      <c r="G109" s="14">
        <v>-1</v>
      </c>
      <c r="H109" s="14">
        <v>-1</v>
      </c>
      <c r="I109" s="14">
        <v>0</v>
      </c>
      <c r="J109" s="14">
        <v>-6</v>
      </c>
      <c r="K109" s="14">
        <v>490</v>
      </c>
      <c r="L109" s="14">
        <v>531</v>
      </c>
      <c r="M109" s="14">
        <v>547</v>
      </c>
      <c r="N109" s="14">
        <v>579</v>
      </c>
      <c r="O109" s="14">
        <v>616</v>
      </c>
      <c r="P109" s="14">
        <v>714</v>
      </c>
      <c r="Q109" s="14">
        <v>589</v>
      </c>
      <c r="R109" s="14">
        <v>654</v>
      </c>
      <c r="S109" s="14">
        <v>541</v>
      </c>
      <c r="T109" s="14">
        <v>519</v>
      </c>
      <c r="U109" s="14">
        <v>509</v>
      </c>
      <c r="V109" s="14">
        <v>465</v>
      </c>
      <c r="W109" s="14">
        <v>411</v>
      </c>
      <c r="X109" s="14">
        <v>0</v>
      </c>
    </row>
    <row r="110" spans="1:24" x14ac:dyDescent="0.45">
      <c r="A110" s="8" t="s">
        <v>181</v>
      </c>
      <c r="B110" s="32" t="s">
        <v>139</v>
      </c>
      <c r="C110" s="8" t="s">
        <v>426</v>
      </c>
      <c r="D110" s="13" t="s">
        <v>424</v>
      </c>
      <c r="E110" s="14">
        <v>0</v>
      </c>
      <c r="F110" s="14">
        <v>1</v>
      </c>
      <c r="G110" s="14">
        <v>1</v>
      </c>
      <c r="H110" s="14">
        <v>1</v>
      </c>
      <c r="I110" s="14">
        <v>1</v>
      </c>
      <c r="J110" s="14">
        <v>4</v>
      </c>
      <c r="K110" s="14">
        <v>43</v>
      </c>
      <c r="L110" s="14">
        <v>108</v>
      </c>
      <c r="M110" s="14">
        <v>182</v>
      </c>
      <c r="N110" s="14">
        <v>373</v>
      </c>
      <c r="O110" s="14">
        <v>560</v>
      </c>
      <c r="P110" s="14">
        <v>806</v>
      </c>
      <c r="Q110" s="14">
        <v>755</v>
      </c>
      <c r="R110" s="14">
        <v>921</v>
      </c>
      <c r="S110" s="14">
        <v>911</v>
      </c>
      <c r="T110" s="14">
        <v>845</v>
      </c>
      <c r="U110" s="14">
        <v>913</v>
      </c>
      <c r="V110" s="14">
        <v>844</v>
      </c>
      <c r="W110" s="14">
        <v>858</v>
      </c>
      <c r="X110" s="14">
        <v>0</v>
      </c>
    </row>
    <row r="111" spans="1:24" x14ac:dyDescent="0.45">
      <c r="A111" s="8" t="s">
        <v>181</v>
      </c>
      <c r="B111" s="32" t="s">
        <v>140</v>
      </c>
      <c r="C111" s="8" t="s">
        <v>427</v>
      </c>
      <c r="D111" s="13" t="s">
        <v>424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37</v>
      </c>
      <c r="M111" s="14">
        <v>71</v>
      </c>
      <c r="N111" s="14">
        <v>113</v>
      </c>
      <c r="O111" s="14">
        <v>766</v>
      </c>
      <c r="P111" s="14">
        <v>812</v>
      </c>
      <c r="Q111" s="14">
        <v>695</v>
      </c>
      <c r="R111" s="14">
        <v>817</v>
      </c>
      <c r="S111" s="14">
        <v>781</v>
      </c>
      <c r="T111" s="14">
        <v>736</v>
      </c>
      <c r="U111" s="14">
        <v>799</v>
      </c>
      <c r="V111" s="14">
        <v>748</v>
      </c>
      <c r="W111" s="14">
        <v>763</v>
      </c>
      <c r="X111" s="14">
        <v>0</v>
      </c>
    </row>
    <row r="112" spans="1:24" x14ac:dyDescent="0.45">
      <c r="A112" s="8" t="s">
        <v>184</v>
      </c>
      <c r="B112" s="32" t="s">
        <v>57</v>
      </c>
      <c r="C112" s="8" t="s">
        <v>428</v>
      </c>
      <c r="D112" s="13" t="s">
        <v>429</v>
      </c>
      <c r="E112" s="14">
        <v>0</v>
      </c>
      <c r="F112" s="14">
        <v>-1</v>
      </c>
      <c r="G112" s="14">
        <v>-1</v>
      </c>
      <c r="H112" s="14">
        <v>-1</v>
      </c>
      <c r="I112" s="14">
        <v>-1</v>
      </c>
      <c r="J112" s="14">
        <v>-10</v>
      </c>
      <c r="K112" s="14">
        <v>894</v>
      </c>
      <c r="L112" s="14">
        <v>951</v>
      </c>
      <c r="M112" s="14">
        <v>960</v>
      </c>
      <c r="N112" s="14">
        <v>893</v>
      </c>
      <c r="O112" s="14">
        <v>937</v>
      </c>
      <c r="P112" s="14">
        <v>1109</v>
      </c>
      <c r="Q112" s="14">
        <v>956</v>
      </c>
      <c r="R112" s="14">
        <v>1053</v>
      </c>
      <c r="S112" s="14">
        <v>838</v>
      </c>
      <c r="T112" s="14">
        <v>863</v>
      </c>
      <c r="U112" s="14">
        <v>821</v>
      </c>
      <c r="V112" s="14">
        <v>777</v>
      </c>
      <c r="W112" s="14">
        <v>670</v>
      </c>
      <c r="X112" s="14">
        <v>0</v>
      </c>
    </row>
    <row r="113" spans="1:24" x14ac:dyDescent="0.45">
      <c r="A113" s="8" t="s">
        <v>184</v>
      </c>
      <c r="B113" s="32" t="s">
        <v>138</v>
      </c>
      <c r="C113" s="8" t="s">
        <v>430</v>
      </c>
      <c r="D113" s="13" t="s">
        <v>429</v>
      </c>
      <c r="E113" s="14">
        <v>0</v>
      </c>
      <c r="F113" s="14">
        <v>-1</v>
      </c>
      <c r="G113" s="14">
        <v>-1</v>
      </c>
      <c r="H113" s="14">
        <v>-1</v>
      </c>
      <c r="I113" s="14">
        <v>-1</v>
      </c>
      <c r="J113" s="14">
        <v>-10</v>
      </c>
      <c r="K113" s="14">
        <v>894</v>
      </c>
      <c r="L113" s="14">
        <v>972</v>
      </c>
      <c r="M113" s="14">
        <v>1002</v>
      </c>
      <c r="N113" s="14">
        <v>1061</v>
      </c>
      <c r="O113" s="14">
        <v>1129</v>
      </c>
      <c r="P113" s="14">
        <v>1318</v>
      </c>
      <c r="Q113" s="14">
        <v>1132</v>
      </c>
      <c r="R113" s="14">
        <v>1258</v>
      </c>
      <c r="S113" s="14">
        <v>1077</v>
      </c>
      <c r="T113" s="14">
        <v>1054</v>
      </c>
      <c r="U113" s="14">
        <v>1047</v>
      </c>
      <c r="V113" s="14">
        <v>980</v>
      </c>
      <c r="W113" s="14">
        <v>878</v>
      </c>
      <c r="X113" s="14">
        <v>0</v>
      </c>
    </row>
    <row r="114" spans="1:24" x14ac:dyDescent="0.45">
      <c r="A114" s="8" t="s">
        <v>184</v>
      </c>
      <c r="B114" s="32" t="s">
        <v>139</v>
      </c>
      <c r="C114" s="8" t="s">
        <v>431</v>
      </c>
      <c r="D114" s="13" t="s">
        <v>429</v>
      </c>
      <c r="E114" s="14">
        <v>0</v>
      </c>
      <c r="F114" s="14">
        <v>1</v>
      </c>
      <c r="G114" s="14">
        <v>2</v>
      </c>
      <c r="H114" s="14">
        <v>2</v>
      </c>
      <c r="I114" s="14">
        <v>1</v>
      </c>
      <c r="J114" s="14">
        <v>8</v>
      </c>
      <c r="K114" s="14">
        <v>80</v>
      </c>
      <c r="L114" s="14">
        <v>201</v>
      </c>
      <c r="M114" s="14">
        <v>338</v>
      </c>
      <c r="N114" s="14">
        <v>689</v>
      </c>
      <c r="O114" s="14">
        <v>1031</v>
      </c>
      <c r="P114" s="14">
        <v>1493</v>
      </c>
      <c r="Q114" s="14">
        <v>1458</v>
      </c>
      <c r="R114" s="14">
        <v>1780</v>
      </c>
      <c r="S114" s="14">
        <v>1801</v>
      </c>
      <c r="T114" s="14">
        <v>1729</v>
      </c>
      <c r="U114" s="14">
        <v>1884</v>
      </c>
      <c r="V114" s="14">
        <v>1796</v>
      </c>
      <c r="W114" s="14">
        <v>1844</v>
      </c>
      <c r="X114" s="14">
        <v>0</v>
      </c>
    </row>
    <row r="115" spans="1:24" x14ac:dyDescent="0.45">
      <c r="A115" s="8" t="s">
        <v>184</v>
      </c>
      <c r="B115" s="32" t="s">
        <v>140</v>
      </c>
      <c r="C115" s="8" t="s">
        <v>432</v>
      </c>
      <c r="D115" s="13" t="s">
        <v>429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69</v>
      </c>
      <c r="M115" s="14">
        <v>132</v>
      </c>
      <c r="N115" s="14">
        <v>208</v>
      </c>
      <c r="O115" s="14">
        <v>1393</v>
      </c>
      <c r="P115" s="14">
        <v>1485</v>
      </c>
      <c r="Q115" s="14">
        <v>1327</v>
      </c>
      <c r="R115" s="14">
        <v>1564</v>
      </c>
      <c r="S115" s="14">
        <v>1533</v>
      </c>
      <c r="T115" s="14">
        <v>1491</v>
      </c>
      <c r="U115" s="14">
        <v>1636</v>
      </c>
      <c r="V115" s="14">
        <v>1581</v>
      </c>
      <c r="W115" s="14">
        <v>1630</v>
      </c>
      <c r="X115" s="14">
        <v>0</v>
      </c>
    </row>
    <row r="116" spans="1:24" x14ac:dyDescent="0.45">
      <c r="A116" s="8" t="s">
        <v>186</v>
      </c>
      <c r="B116" s="32" t="s">
        <v>57</v>
      </c>
      <c r="C116" s="8" t="s">
        <v>433</v>
      </c>
      <c r="D116" s="13" t="s">
        <v>434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-1</v>
      </c>
      <c r="K116" s="14">
        <v>74</v>
      </c>
      <c r="L116" s="14">
        <v>78</v>
      </c>
      <c r="M116" s="14">
        <v>79</v>
      </c>
      <c r="N116" s="14">
        <v>72</v>
      </c>
      <c r="O116" s="14">
        <v>76</v>
      </c>
      <c r="P116" s="14">
        <v>88</v>
      </c>
      <c r="Q116" s="14">
        <v>70</v>
      </c>
      <c r="R116" s="14">
        <v>77</v>
      </c>
      <c r="S116" s="14">
        <v>56</v>
      </c>
      <c r="T116" s="14">
        <v>56</v>
      </c>
      <c r="U116" s="14">
        <v>52</v>
      </c>
      <c r="V116" s="14">
        <v>48</v>
      </c>
      <c r="W116" s="14">
        <v>49</v>
      </c>
      <c r="X116" s="14">
        <v>0</v>
      </c>
    </row>
    <row r="117" spans="1:24" x14ac:dyDescent="0.45">
      <c r="A117" s="8" t="s">
        <v>186</v>
      </c>
      <c r="B117" s="32" t="s">
        <v>138</v>
      </c>
      <c r="C117" s="8" t="s">
        <v>435</v>
      </c>
      <c r="D117" s="13" t="s">
        <v>434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-1</v>
      </c>
      <c r="K117" s="14">
        <v>74</v>
      </c>
      <c r="L117" s="14">
        <v>80</v>
      </c>
      <c r="M117" s="14">
        <v>82</v>
      </c>
      <c r="N117" s="14">
        <v>87</v>
      </c>
      <c r="O117" s="14">
        <v>92</v>
      </c>
      <c r="P117" s="14">
        <v>106</v>
      </c>
      <c r="Q117" s="14">
        <v>84</v>
      </c>
      <c r="R117" s="14">
        <v>93</v>
      </c>
      <c r="S117" s="14">
        <v>75</v>
      </c>
      <c r="T117" s="14">
        <v>70</v>
      </c>
      <c r="U117" s="14">
        <v>69</v>
      </c>
      <c r="V117" s="14">
        <v>63</v>
      </c>
      <c r="W117" s="14">
        <v>66</v>
      </c>
      <c r="X117" s="14">
        <v>0</v>
      </c>
    </row>
    <row r="118" spans="1:24" x14ac:dyDescent="0.45">
      <c r="A118" s="8" t="s">
        <v>186</v>
      </c>
      <c r="B118" s="32" t="s">
        <v>139</v>
      </c>
      <c r="C118" s="8" t="s">
        <v>436</v>
      </c>
      <c r="D118" s="13" t="s">
        <v>434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1</v>
      </c>
      <c r="K118" s="14">
        <v>6</v>
      </c>
      <c r="L118" s="14">
        <v>16</v>
      </c>
      <c r="M118" s="14">
        <v>26</v>
      </c>
      <c r="N118" s="14">
        <v>55</v>
      </c>
      <c r="O118" s="14">
        <v>83</v>
      </c>
      <c r="P118" s="14">
        <v>118</v>
      </c>
      <c r="Q118" s="14">
        <v>106</v>
      </c>
      <c r="R118" s="14">
        <v>129</v>
      </c>
      <c r="S118" s="14">
        <v>124</v>
      </c>
      <c r="T118" s="14">
        <v>111</v>
      </c>
      <c r="U118" s="14">
        <v>118</v>
      </c>
      <c r="V118" s="14">
        <v>108</v>
      </c>
      <c r="W118" s="14">
        <v>118</v>
      </c>
      <c r="X118" s="14">
        <v>0</v>
      </c>
    </row>
    <row r="119" spans="1:24" x14ac:dyDescent="0.45">
      <c r="A119" s="8" t="s">
        <v>186</v>
      </c>
      <c r="B119" s="32" t="s">
        <v>140</v>
      </c>
      <c r="C119" s="8" t="s">
        <v>437</v>
      </c>
      <c r="D119" s="13" t="s">
        <v>434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5</v>
      </c>
      <c r="M119" s="14">
        <v>10</v>
      </c>
      <c r="N119" s="14">
        <v>16</v>
      </c>
      <c r="O119" s="14">
        <v>117</v>
      </c>
      <c r="P119" s="14">
        <v>123</v>
      </c>
      <c r="Q119" s="14">
        <v>102</v>
      </c>
      <c r="R119" s="14">
        <v>119</v>
      </c>
      <c r="S119" s="14">
        <v>111</v>
      </c>
      <c r="T119" s="14">
        <v>101</v>
      </c>
      <c r="U119" s="14">
        <v>108</v>
      </c>
      <c r="V119" s="14">
        <v>100</v>
      </c>
      <c r="W119" s="14">
        <v>110</v>
      </c>
      <c r="X119" s="14">
        <v>0</v>
      </c>
    </row>
    <row r="120" spans="1:24" x14ac:dyDescent="0.45">
      <c r="A120" s="8" t="s">
        <v>188</v>
      </c>
      <c r="B120" s="32" t="s">
        <v>57</v>
      </c>
      <c r="C120" s="8" t="s">
        <v>438</v>
      </c>
      <c r="D120" s="13" t="s">
        <v>439</v>
      </c>
      <c r="E120" s="14">
        <v>64271.06</v>
      </c>
      <c r="F120" s="14">
        <v>65359.22</v>
      </c>
      <c r="G120" s="14">
        <v>68207.960000000006</v>
      </c>
      <c r="H120" s="14">
        <v>72071.63</v>
      </c>
      <c r="I120" s="14">
        <v>74237.56</v>
      </c>
      <c r="J120" s="14">
        <v>76020.81</v>
      </c>
      <c r="K120" s="14">
        <v>78006.45</v>
      </c>
      <c r="L120" s="14">
        <v>80189.13</v>
      </c>
      <c r="M120" s="14">
        <v>82651</v>
      </c>
      <c r="N120" s="14">
        <v>85545.69</v>
      </c>
      <c r="O120" s="14">
        <v>90724.49</v>
      </c>
      <c r="P120" s="14">
        <v>96340.32</v>
      </c>
      <c r="Q120" s="14">
        <v>101167.06</v>
      </c>
      <c r="R120" s="14">
        <v>106485.14</v>
      </c>
      <c r="S120" s="14">
        <v>111793.99</v>
      </c>
      <c r="T120" s="14">
        <v>116629.68</v>
      </c>
      <c r="U120" s="14">
        <v>121707.95</v>
      </c>
      <c r="V120" s="14">
        <v>126478.09</v>
      </c>
      <c r="W120" s="14">
        <v>131348.4</v>
      </c>
      <c r="X120" s="14">
        <v>0</v>
      </c>
    </row>
    <row r="121" spans="1:24" x14ac:dyDescent="0.45">
      <c r="A121" s="8" t="s">
        <v>188</v>
      </c>
      <c r="B121" s="32" t="s">
        <v>138</v>
      </c>
      <c r="C121" s="8" t="s">
        <v>440</v>
      </c>
      <c r="D121" s="13" t="s">
        <v>439</v>
      </c>
      <c r="E121" s="14">
        <v>64271.06</v>
      </c>
      <c r="F121" s="14">
        <v>65359.22</v>
      </c>
      <c r="G121" s="14">
        <v>68207.960000000006</v>
      </c>
      <c r="H121" s="14">
        <v>72071.63</v>
      </c>
      <c r="I121" s="14">
        <v>74237.56</v>
      </c>
      <c r="J121" s="14">
        <v>76020.81</v>
      </c>
      <c r="K121" s="14">
        <v>78006.45</v>
      </c>
      <c r="L121" s="14">
        <v>80189.13</v>
      </c>
      <c r="M121" s="14">
        <v>82651</v>
      </c>
      <c r="N121" s="14">
        <v>85545.69</v>
      </c>
      <c r="O121" s="14">
        <v>90724.49</v>
      </c>
      <c r="P121" s="14">
        <v>96340.32</v>
      </c>
      <c r="Q121" s="14">
        <v>101167.06</v>
      </c>
      <c r="R121" s="14">
        <v>106485.14</v>
      </c>
      <c r="S121" s="14">
        <v>111793.99</v>
      </c>
      <c r="T121" s="14">
        <v>116629.68</v>
      </c>
      <c r="U121" s="14">
        <v>121707.95</v>
      </c>
      <c r="V121" s="14">
        <v>126478.09</v>
      </c>
      <c r="W121" s="14">
        <v>131348.4</v>
      </c>
      <c r="X121" s="14">
        <v>0</v>
      </c>
    </row>
    <row r="122" spans="1:24" x14ac:dyDescent="0.45">
      <c r="A122" s="8" t="s">
        <v>188</v>
      </c>
      <c r="B122" s="32" t="s">
        <v>139</v>
      </c>
      <c r="C122" s="8" t="s">
        <v>441</v>
      </c>
      <c r="D122" s="13" t="s">
        <v>439</v>
      </c>
      <c r="E122" s="14">
        <v>64271.06</v>
      </c>
      <c r="F122" s="14">
        <v>65359.22</v>
      </c>
      <c r="G122" s="14">
        <v>68207.960000000006</v>
      </c>
      <c r="H122" s="14">
        <v>72071.63</v>
      </c>
      <c r="I122" s="14">
        <v>74237.56</v>
      </c>
      <c r="J122" s="14">
        <v>76020.81</v>
      </c>
      <c r="K122" s="14">
        <v>78006.45</v>
      </c>
      <c r="L122" s="14">
        <v>80189.13</v>
      </c>
      <c r="M122" s="14">
        <v>82651</v>
      </c>
      <c r="N122" s="14">
        <v>85545.69</v>
      </c>
      <c r="O122" s="14">
        <v>90724.49</v>
      </c>
      <c r="P122" s="14">
        <v>96340.32</v>
      </c>
      <c r="Q122" s="14">
        <v>101167.06</v>
      </c>
      <c r="R122" s="14">
        <v>106485.14</v>
      </c>
      <c r="S122" s="14">
        <v>111793.99</v>
      </c>
      <c r="T122" s="14">
        <v>116629.68</v>
      </c>
      <c r="U122" s="14">
        <v>121707.95</v>
      </c>
      <c r="V122" s="14">
        <v>126478.09</v>
      </c>
      <c r="W122" s="14">
        <v>131348.4</v>
      </c>
      <c r="X122" s="14">
        <v>0</v>
      </c>
    </row>
    <row r="123" spans="1:24" x14ac:dyDescent="0.45">
      <c r="A123" s="8" t="s">
        <v>188</v>
      </c>
      <c r="B123" s="32" t="s">
        <v>140</v>
      </c>
      <c r="C123" s="8" t="s">
        <v>442</v>
      </c>
      <c r="D123" s="13" t="s">
        <v>439</v>
      </c>
      <c r="E123" s="14">
        <v>64271.06</v>
      </c>
      <c r="F123" s="14">
        <v>65359.22</v>
      </c>
      <c r="G123" s="14">
        <v>68207.960000000006</v>
      </c>
      <c r="H123" s="14">
        <v>72071.63</v>
      </c>
      <c r="I123" s="14">
        <v>74237.56</v>
      </c>
      <c r="J123" s="14">
        <v>76020.81</v>
      </c>
      <c r="K123" s="14">
        <v>78006.45</v>
      </c>
      <c r="L123" s="14">
        <v>80189.13</v>
      </c>
      <c r="M123" s="14">
        <v>82651</v>
      </c>
      <c r="N123" s="14">
        <v>85545.69</v>
      </c>
      <c r="O123" s="14">
        <v>90724.49</v>
      </c>
      <c r="P123" s="14">
        <v>96340.32</v>
      </c>
      <c r="Q123" s="14">
        <v>101167.06</v>
      </c>
      <c r="R123" s="14">
        <v>106485.14</v>
      </c>
      <c r="S123" s="14">
        <v>111793.99</v>
      </c>
      <c r="T123" s="14">
        <v>116629.68</v>
      </c>
      <c r="U123" s="14">
        <v>121707.95</v>
      </c>
      <c r="V123" s="14">
        <v>126478.09</v>
      </c>
      <c r="W123" s="14">
        <v>131348.4</v>
      </c>
      <c r="X123" s="14">
        <v>0</v>
      </c>
    </row>
    <row r="124" spans="1:24" x14ac:dyDescent="0.45">
      <c r="A124" s="8" t="s">
        <v>443</v>
      </c>
      <c r="B124" s="32" t="s">
        <v>57</v>
      </c>
      <c r="C124" s="8" t="s">
        <v>444</v>
      </c>
      <c r="D124" s="13" t="s">
        <v>445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-1.0000000000000001E-5</v>
      </c>
      <c r="K124" s="14">
        <v>1.1900000000000001E-3</v>
      </c>
      <c r="L124" s="14">
        <v>1.2800000000000001E-3</v>
      </c>
      <c r="M124" s="14">
        <v>1.2999999999999999E-3</v>
      </c>
      <c r="N124" s="14">
        <v>1.1999999999999999E-3</v>
      </c>
      <c r="O124" s="14">
        <v>1.24E-3</v>
      </c>
      <c r="P124" s="14">
        <v>1.4499999999999999E-3</v>
      </c>
      <c r="Q124" s="14">
        <v>1.2099999999999999E-3</v>
      </c>
      <c r="R124" s="14">
        <v>1.32E-3</v>
      </c>
      <c r="S124" s="14">
        <v>1.01E-3</v>
      </c>
      <c r="T124" s="14">
        <v>1.0200000000000001E-3</v>
      </c>
      <c r="U124" s="14">
        <v>9.5E-4</v>
      </c>
      <c r="V124" s="14">
        <v>8.7000000000000001E-4</v>
      </c>
      <c r="W124" s="14">
        <v>8.4000000000000003E-4</v>
      </c>
      <c r="X124" s="14">
        <v>8.0000000000000004E-4</v>
      </c>
    </row>
    <row r="125" spans="1:24" x14ac:dyDescent="0.45">
      <c r="A125" s="8" t="s">
        <v>443</v>
      </c>
      <c r="B125" s="32" t="s">
        <v>138</v>
      </c>
      <c r="C125" s="8" t="s">
        <v>446</v>
      </c>
      <c r="D125" s="13" t="s">
        <v>445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-1.0000000000000001E-5</v>
      </c>
      <c r="K125" s="14">
        <v>1.1900000000000001E-3</v>
      </c>
      <c r="L125" s="14">
        <v>1.31E-3</v>
      </c>
      <c r="M125" s="14">
        <v>1.3600000000000001E-3</v>
      </c>
      <c r="N125" s="14">
        <v>1.42E-3</v>
      </c>
      <c r="O125" s="14">
        <v>1.5E-3</v>
      </c>
      <c r="P125" s="14">
        <v>1.73E-3</v>
      </c>
      <c r="Q125" s="14">
        <v>1.4400000000000001E-3</v>
      </c>
      <c r="R125" s="14">
        <v>1.58E-3</v>
      </c>
      <c r="S125" s="14">
        <v>1.31E-3</v>
      </c>
      <c r="T125" s="14">
        <v>1.25E-3</v>
      </c>
      <c r="U125" s="14">
        <v>1.2199999999999999E-3</v>
      </c>
      <c r="V125" s="14">
        <v>1.1100000000000001E-3</v>
      </c>
      <c r="W125" s="14">
        <v>1.06E-3</v>
      </c>
      <c r="X125" s="14">
        <v>1.0200000000000001E-3</v>
      </c>
    </row>
    <row r="126" spans="1:24" x14ac:dyDescent="0.45">
      <c r="A126" s="8" t="s">
        <v>443</v>
      </c>
      <c r="B126" s="32" t="s">
        <v>139</v>
      </c>
      <c r="C126" s="8" t="s">
        <v>447</v>
      </c>
      <c r="D126" s="13" t="s">
        <v>445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1.0000000000000001E-5</v>
      </c>
      <c r="K126" s="14">
        <v>1.1E-4</v>
      </c>
      <c r="L126" s="14">
        <v>2.7E-4</v>
      </c>
      <c r="M126" s="14">
        <v>4.4999999999999999E-4</v>
      </c>
      <c r="N126" s="14">
        <v>9.2000000000000003E-4</v>
      </c>
      <c r="O126" s="14">
        <v>1.3600000000000001E-3</v>
      </c>
      <c r="P126" s="14">
        <v>1.9499999999999999E-3</v>
      </c>
      <c r="Q126" s="14">
        <v>1.8400000000000001E-3</v>
      </c>
      <c r="R126" s="14">
        <v>2.2200000000000002E-3</v>
      </c>
      <c r="S126" s="14">
        <v>2.1900000000000001E-3</v>
      </c>
      <c r="T126" s="14">
        <v>2.0300000000000001E-3</v>
      </c>
      <c r="U126" s="14">
        <v>2.1700000000000001E-3</v>
      </c>
      <c r="V126" s="14">
        <v>2E-3</v>
      </c>
      <c r="W126" s="14">
        <v>1.92E-3</v>
      </c>
      <c r="X126" s="14">
        <v>1.8400000000000001E-3</v>
      </c>
    </row>
    <row r="127" spans="1:24" x14ac:dyDescent="0.45">
      <c r="A127" s="8" t="s">
        <v>443</v>
      </c>
      <c r="B127" s="32" t="s">
        <v>140</v>
      </c>
      <c r="C127" s="8" t="s">
        <v>448</v>
      </c>
      <c r="D127" s="13" t="s">
        <v>445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9.0000000000000006E-5</v>
      </c>
      <c r="M127" s="14">
        <v>1.8000000000000001E-4</v>
      </c>
      <c r="N127" s="14">
        <v>2.7999999999999998E-4</v>
      </c>
      <c r="O127" s="14">
        <v>1.8600000000000001E-3</v>
      </c>
      <c r="P127" s="14">
        <v>1.9599999999999999E-3</v>
      </c>
      <c r="Q127" s="14">
        <v>1.6999999999999999E-3</v>
      </c>
      <c r="R127" s="14">
        <v>1.97E-3</v>
      </c>
      <c r="S127" s="14">
        <v>1.8799999999999999E-3</v>
      </c>
      <c r="T127" s="14">
        <v>1.7799999999999999E-3</v>
      </c>
      <c r="U127" s="14">
        <v>1.91E-3</v>
      </c>
      <c r="V127" s="14">
        <v>1.7799999999999999E-3</v>
      </c>
      <c r="W127" s="14">
        <v>1.7099999999999999E-3</v>
      </c>
      <c r="X127" s="14">
        <v>1.64E-3</v>
      </c>
    </row>
    <row r="128" spans="1:24" x14ac:dyDescent="0.45">
      <c r="A128" s="8" t="s">
        <v>449</v>
      </c>
      <c r="B128" s="32" t="s">
        <v>57</v>
      </c>
      <c r="C128" s="8" t="s">
        <v>450</v>
      </c>
      <c r="D128" s="13" t="s">
        <v>451</v>
      </c>
      <c r="E128" s="14">
        <v>0</v>
      </c>
      <c r="F128" s="14">
        <v>-2</v>
      </c>
      <c r="G128" s="14">
        <v>-4</v>
      </c>
      <c r="H128" s="14">
        <v>-5</v>
      </c>
      <c r="I128" s="14">
        <v>-6</v>
      </c>
      <c r="J128" s="14">
        <v>-23</v>
      </c>
      <c r="K128" s="14">
        <v>1435</v>
      </c>
      <c r="L128" s="14">
        <v>2985</v>
      </c>
      <c r="M128" s="14">
        <v>4549</v>
      </c>
      <c r="N128" s="14">
        <v>6001</v>
      </c>
      <c r="O128" s="14">
        <v>7524</v>
      </c>
      <c r="P128" s="14">
        <v>9319</v>
      </c>
      <c r="Q128" s="14">
        <v>10842</v>
      </c>
      <c r="R128" s="14">
        <v>12518</v>
      </c>
      <c r="S128" s="14">
        <v>13827</v>
      </c>
      <c r="T128" s="14">
        <v>15170</v>
      </c>
      <c r="U128" s="14">
        <v>16438</v>
      </c>
      <c r="V128" s="14">
        <v>17630</v>
      </c>
      <c r="W128" s="14">
        <v>18660</v>
      </c>
      <c r="X128" s="14">
        <v>0</v>
      </c>
    </row>
    <row r="129" spans="1:24" x14ac:dyDescent="0.45">
      <c r="A129" s="8" t="s">
        <v>449</v>
      </c>
      <c r="B129" s="32" t="s">
        <v>138</v>
      </c>
      <c r="C129" s="8" t="s">
        <v>452</v>
      </c>
      <c r="D129" s="13" t="s">
        <v>451</v>
      </c>
      <c r="E129" s="14">
        <v>0</v>
      </c>
      <c r="F129" s="14">
        <v>-2</v>
      </c>
      <c r="G129" s="14">
        <v>-4</v>
      </c>
      <c r="H129" s="14">
        <v>-5</v>
      </c>
      <c r="I129" s="14">
        <v>-6</v>
      </c>
      <c r="J129" s="14">
        <v>-23</v>
      </c>
      <c r="K129" s="14">
        <v>1435</v>
      </c>
      <c r="L129" s="14">
        <v>3018</v>
      </c>
      <c r="M129" s="14">
        <v>4650</v>
      </c>
      <c r="N129" s="14">
        <v>6375</v>
      </c>
      <c r="O129" s="14">
        <v>8212</v>
      </c>
      <c r="P129" s="14">
        <v>10350</v>
      </c>
      <c r="Q129" s="14">
        <v>12156</v>
      </c>
      <c r="R129" s="14">
        <v>14162</v>
      </c>
      <c r="S129" s="14">
        <v>15856</v>
      </c>
      <c r="T129" s="14">
        <v>17499</v>
      </c>
      <c r="U129" s="14">
        <v>19123</v>
      </c>
      <c r="V129" s="14">
        <v>20631</v>
      </c>
      <c r="W129" s="14">
        <v>21986</v>
      </c>
      <c r="X129" s="14">
        <v>0</v>
      </c>
    </row>
    <row r="130" spans="1:24" x14ac:dyDescent="0.45">
      <c r="A130" s="8" t="s">
        <v>449</v>
      </c>
      <c r="B130" s="32" t="s">
        <v>139</v>
      </c>
      <c r="C130" s="8" t="s">
        <v>453</v>
      </c>
      <c r="D130" s="13" t="s">
        <v>451</v>
      </c>
      <c r="E130" s="14">
        <v>0</v>
      </c>
      <c r="F130" s="14">
        <v>2</v>
      </c>
      <c r="G130" s="14">
        <v>5</v>
      </c>
      <c r="H130" s="14">
        <v>7</v>
      </c>
      <c r="I130" s="14">
        <v>9</v>
      </c>
      <c r="J130" s="14">
        <v>22</v>
      </c>
      <c r="K130" s="14">
        <v>152</v>
      </c>
      <c r="L130" s="14">
        <v>477</v>
      </c>
      <c r="M130" s="14">
        <v>1023</v>
      </c>
      <c r="N130" s="14">
        <v>2140</v>
      </c>
      <c r="O130" s="14">
        <v>3814</v>
      </c>
      <c r="P130" s="14">
        <v>6231</v>
      </c>
      <c r="Q130" s="14">
        <v>8551</v>
      </c>
      <c r="R130" s="14">
        <v>11381</v>
      </c>
      <c r="S130" s="14">
        <v>14218</v>
      </c>
      <c r="T130" s="14">
        <v>16902</v>
      </c>
      <c r="U130" s="14">
        <v>19818</v>
      </c>
      <c r="V130" s="14">
        <v>22565</v>
      </c>
      <c r="W130" s="14">
        <v>25384</v>
      </c>
      <c r="X130" s="14">
        <v>0</v>
      </c>
    </row>
    <row r="131" spans="1:24" x14ac:dyDescent="0.45">
      <c r="A131" s="8" t="s">
        <v>449</v>
      </c>
      <c r="B131" s="32" t="s">
        <v>140</v>
      </c>
      <c r="C131" s="8" t="s">
        <v>454</v>
      </c>
      <c r="D131" s="13" t="s">
        <v>451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112</v>
      </c>
      <c r="M131" s="14">
        <v>326</v>
      </c>
      <c r="N131" s="14">
        <v>663</v>
      </c>
      <c r="O131" s="14">
        <v>2939</v>
      </c>
      <c r="P131" s="14">
        <v>5359</v>
      </c>
      <c r="Q131" s="14">
        <v>7484</v>
      </c>
      <c r="R131" s="14">
        <v>9984</v>
      </c>
      <c r="S131" s="14">
        <v>12409</v>
      </c>
      <c r="T131" s="14">
        <v>14737</v>
      </c>
      <c r="U131" s="14">
        <v>17281</v>
      </c>
      <c r="V131" s="14">
        <v>19710</v>
      </c>
      <c r="W131" s="14">
        <v>22213</v>
      </c>
      <c r="X131" s="14">
        <v>0</v>
      </c>
    </row>
  </sheetData>
  <mergeCells count="2">
    <mergeCell ref="A2:X2"/>
    <mergeCell ref="A1:X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0" customWidth="1"/>
    <col min="2" max="48" width="10.46484375" customWidth="1"/>
  </cols>
  <sheetData>
    <row r="1" spans="1:48" ht="22.05" customHeight="1" x14ac:dyDescent="0.45">
      <c r="A1" s="90" t="s">
        <v>455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</row>
    <row r="2" spans="1:48" ht="42" customHeight="1" x14ac:dyDescent="0.45">
      <c r="A2" s="97" t="s">
        <v>456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</row>
    <row r="4" spans="1:48" x14ac:dyDescent="0.45">
      <c r="A4" s="93" t="s">
        <v>457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 ht="30" customHeight="1" x14ac:dyDescent="0.45">
      <c r="A5" s="4" t="s">
        <v>214</v>
      </c>
      <c r="B5" s="4" t="s">
        <v>458</v>
      </c>
      <c r="C5" s="4" t="s">
        <v>459</v>
      </c>
      <c r="D5" s="4" t="s">
        <v>460</v>
      </c>
      <c r="E5" s="4" t="s">
        <v>461</v>
      </c>
      <c r="F5" s="4" t="s">
        <v>462</v>
      </c>
      <c r="G5" s="4" t="s">
        <v>463</v>
      </c>
      <c r="H5" s="4" t="s">
        <v>464</v>
      </c>
      <c r="I5" s="4" t="s">
        <v>465</v>
      </c>
      <c r="J5" s="4" t="s">
        <v>466</v>
      </c>
      <c r="K5" s="4" t="s">
        <v>467</v>
      </c>
      <c r="L5" s="4" t="s">
        <v>468</v>
      </c>
      <c r="M5" s="4" t="s">
        <v>469</v>
      </c>
      <c r="N5" s="4" t="s">
        <v>470</v>
      </c>
      <c r="O5" s="4" t="s">
        <v>215</v>
      </c>
      <c r="P5" s="4" t="s">
        <v>471</v>
      </c>
      <c r="Q5" s="4" t="s">
        <v>472</v>
      </c>
      <c r="R5" s="4" t="s">
        <v>31</v>
      </c>
    </row>
    <row r="6" spans="1:48" x14ac:dyDescent="0.45">
      <c r="A6" s="32" t="s">
        <v>223</v>
      </c>
      <c r="B6" s="7">
        <f>INDEX(BT_Tau,MATCH($A$6,BT_Code,0))</f>
        <v>20</v>
      </c>
      <c r="C6" s="7">
        <f>B6*INDEX(BT_Flag,MATCH($A$6,BT_Code,0))</f>
        <v>20</v>
      </c>
      <c r="D6" s="7">
        <f>INDEX(BT_Theta,MATCH($A$6,BT_Code,0))*B6</f>
        <v>0</v>
      </c>
      <c r="E6" s="7">
        <f>INDEX(BT_Phi,MATCH($A$6,BT_Code,0))*SigmaEff</f>
        <v>0</v>
      </c>
      <c r="F6" s="7">
        <v>1</v>
      </c>
      <c r="G6" s="7">
        <f>INDEX(BT_Flag,MATCH($A$6,BT_Code,0))</f>
        <v>1</v>
      </c>
      <c r="H6" s="33">
        <f>IF(Mode="PROTOTYPE",1,EXP(Bf*(F6*B6+E6)))</f>
        <v>0.95131317563947027</v>
      </c>
      <c r="I6" s="7">
        <f>CBFsel</f>
        <v>0.48499999999999999</v>
      </c>
      <c r="J6" s="7">
        <f>PEU</f>
        <v>100</v>
      </c>
      <c r="K6" s="7">
        <f>Ssel</f>
        <v>1</v>
      </c>
      <c r="L6" s="7">
        <f>CBFyr</f>
        <v>0.48499999999999999</v>
      </c>
      <c r="M6" s="7">
        <v>1</v>
      </c>
      <c r="N6" s="7">
        <f>Yr</f>
        <v>2030</v>
      </c>
      <c r="O6" s="7" t="str">
        <f>INDEX(BT_Scen,MATCH($A$6,BT_Code,0))</f>
        <v>EG1</v>
      </c>
      <c r="P6" s="7">
        <f>Bf</f>
        <v>-2.4955979362141917E-3</v>
      </c>
      <c r="Q6" s="7" t="str">
        <f>BetaSet</f>
        <v>IPCC_CENTRAL</v>
      </c>
      <c r="R6" s="7" t="str">
        <f>Mode</f>
        <v>REBUILD</v>
      </c>
    </row>
    <row r="7" spans="1:48" ht="54" customHeight="1" x14ac:dyDescent="0.45">
      <c r="A7" s="4" t="s">
        <v>244</v>
      </c>
      <c r="B7" s="4" t="s">
        <v>473</v>
      </c>
      <c r="C7" s="4" t="s">
        <v>474</v>
      </c>
      <c r="D7" s="4" t="s">
        <v>475</v>
      </c>
      <c r="E7" s="4" t="s">
        <v>476</v>
      </c>
      <c r="F7" s="4" t="s">
        <v>477</v>
      </c>
      <c r="G7" s="4" t="s">
        <v>478</v>
      </c>
      <c r="H7" s="4" t="s">
        <v>479</v>
      </c>
      <c r="I7" s="4" t="s">
        <v>480</v>
      </c>
      <c r="J7" s="4" t="s">
        <v>481</v>
      </c>
      <c r="K7" s="4" t="s">
        <v>482</v>
      </c>
      <c r="L7" s="4" t="s">
        <v>483</v>
      </c>
      <c r="M7" s="4" t="s">
        <v>484</v>
      </c>
      <c r="N7" s="4" t="s">
        <v>485</v>
      </c>
      <c r="O7" s="4" t="s">
        <v>486</v>
      </c>
      <c r="P7" s="4" t="s">
        <v>487</v>
      </c>
      <c r="Q7" s="4" t="s">
        <v>488</v>
      </c>
      <c r="R7" s="4" t="s">
        <v>489</v>
      </c>
      <c r="S7" s="4" t="s">
        <v>490</v>
      </c>
      <c r="T7" s="4" t="s">
        <v>491</v>
      </c>
      <c r="U7" s="4" t="s">
        <v>492</v>
      </c>
      <c r="V7" s="4" t="s">
        <v>493</v>
      </c>
      <c r="W7" s="4" t="s">
        <v>494</v>
      </c>
      <c r="X7" s="4" t="s">
        <v>495</v>
      </c>
      <c r="Y7" s="4" t="s">
        <v>496</v>
      </c>
      <c r="Z7" s="4" t="s">
        <v>497</v>
      </c>
      <c r="AA7" s="4" t="s">
        <v>498</v>
      </c>
      <c r="AB7" s="4" t="s">
        <v>499</v>
      </c>
      <c r="AC7" s="4" t="s">
        <v>500</v>
      </c>
      <c r="AD7" s="4" t="s">
        <v>501</v>
      </c>
      <c r="AE7" s="4" t="s">
        <v>502</v>
      </c>
      <c r="AF7" s="4" t="s">
        <v>503</v>
      </c>
      <c r="AG7" s="4" t="s">
        <v>504</v>
      </c>
      <c r="AH7" s="4" t="s">
        <v>505</v>
      </c>
      <c r="AI7" s="4" t="s">
        <v>506</v>
      </c>
      <c r="AJ7" s="4" t="s">
        <v>507</v>
      </c>
      <c r="AK7" s="4" t="s">
        <v>508</v>
      </c>
      <c r="AL7" s="4" t="s">
        <v>509</v>
      </c>
      <c r="AM7" s="4" t="s">
        <v>510</v>
      </c>
      <c r="AN7" s="4" t="s">
        <v>511</v>
      </c>
      <c r="AO7" s="4" t="s">
        <v>512</v>
      </c>
      <c r="AP7" s="4" t="s">
        <v>513</v>
      </c>
      <c r="AQ7" s="4" t="s">
        <v>514</v>
      </c>
      <c r="AR7" s="4" t="s">
        <v>515</v>
      </c>
      <c r="AS7" s="4" t="s">
        <v>516</v>
      </c>
      <c r="AT7" s="4" t="s">
        <v>517</v>
      </c>
      <c r="AU7" s="4" t="s">
        <v>518</v>
      </c>
      <c r="AV7" s="4" t="s">
        <v>519</v>
      </c>
    </row>
    <row r="8" spans="1:48" x14ac:dyDescent="0.45">
      <c r="A8" s="34" t="str">
        <f>Inputs!$A$83</f>
        <v>DRI-EAF steel</v>
      </c>
      <c r="B8" s="35">
        <f>Inputs!$B$83</f>
        <v>5100</v>
      </c>
      <c r="C8" s="35">
        <f>Inputs!$C$83</f>
        <v>4.3999999999999997E-2</v>
      </c>
      <c r="D8" s="35">
        <f>Inputs!$D$83</f>
        <v>580</v>
      </c>
      <c r="E8" s="35">
        <f>Inputs!$E$83</f>
        <v>750</v>
      </c>
      <c r="F8" s="35">
        <f>Inputs!$J$83</f>
        <v>0.57099076999999998</v>
      </c>
      <c r="G8" s="35">
        <f>Inputs!$K$83</f>
        <v>3.7901020000000001E-2</v>
      </c>
      <c r="H8" s="35">
        <f>Inputs!$Q$83</f>
        <v>3.4469507031574592E-3</v>
      </c>
      <c r="I8" s="35">
        <f t="shared" ref="I8:I15" si="0">B8*(1+C8)^($N$6-BaseYr)</f>
        <v>6603.4845807876563</v>
      </c>
      <c r="J8" s="35">
        <f t="shared" ref="J8:J15" si="1">$F$6*$B$6*F8</f>
        <v>11.419815399999999</v>
      </c>
      <c r="K8" s="35">
        <f t="shared" ref="K8:K15" si="2">$G$6*$C$6*G8</f>
        <v>0.75802040000000004</v>
      </c>
      <c r="L8" s="35">
        <f t="shared" ref="L8:L15" si="3">MIN($D$6,$B$6)*$F$6*F8+MIN($D$6,$C$6)*$G$6*G8</f>
        <v>0</v>
      </c>
      <c r="M8" s="35">
        <f t="shared" ref="M8:M15" si="4">IF(E8&gt;0,(J8+K8-L8)/E8,0)</f>
        <v>1.6237114399999999E-2</v>
      </c>
      <c r="N8" s="35">
        <f>I8*(1+M8)^EpsQ1</f>
        <v>6561.0771921497799</v>
      </c>
      <c r="O8" s="35">
        <f t="shared" ref="O8:O15" si="5">N8*F8/1000</f>
        <v>3.7463145179750406</v>
      </c>
      <c r="P8" s="35">
        <f t="shared" ref="P8:P15" si="6">N8*G8/1000</f>
        <v>0.24867151788121264</v>
      </c>
      <c r="Q8" s="35">
        <f t="shared" ref="Q8:Q15" si="7">O8*($H$6-1)</f>
        <v>-0.1823961569359534</v>
      </c>
      <c r="R8" s="35">
        <f t="shared" ref="R8:R15" si="8">-P8*(1-EXP(-H8*($G$6*$C$6+$E$6)))</f>
        <v>-1.6565600901962803E-2</v>
      </c>
      <c r="S8" s="35">
        <f t="shared" ref="S8:T15" si="9">O8+Q8</f>
        <v>3.5639183610390872</v>
      </c>
      <c r="T8" s="35">
        <f t="shared" si="9"/>
        <v>0.23210591697924984</v>
      </c>
      <c r="U8" s="35">
        <f t="shared" ref="U8:U15" si="10">S8+T8</f>
        <v>3.7960242780183369</v>
      </c>
      <c r="V8" s="35">
        <f>(O8+P8)*(1-(1+M8)^(-EpsQ1))</f>
        <v>-2.5821510776942572E-2</v>
      </c>
      <c r="W8" s="35">
        <f>P8*(1-(1+M8)^(-EpsQ1))</f>
        <v>-1.6072832849119479E-3</v>
      </c>
      <c r="X8" s="35">
        <f t="shared" ref="X8:X15" si="11">IF(G8&gt;0,1,0)</f>
        <v>1</v>
      </c>
      <c r="Y8" s="35">
        <f t="shared" ref="Y8:Y15" si="12">S8*$F$6*$B$6</f>
        <v>71.278367220781746</v>
      </c>
      <c r="Z8" s="35">
        <f t="shared" ref="Z8:Z15" si="13">(P8*X8+R8)*$G$6*$C$6</f>
        <v>4.6421183395849965</v>
      </c>
      <c r="AA8" s="35">
        <f t="shared" ref="AA8:AA15" si="14">Y8+Z8</f>
        <v>75.920485560366743</v>
      </c>
      <c r="AB8" s="35">
        <f t="shared" ref="AB8:AB15" si="15">L8*N8/1000</f>
        <v>0</v>
      </c>
      <c r="AC8" s="35">
        <f t="shared" ref="AC8:AC15" si="16">IF(N8&gt;0,U8*1000/N8,0)</f>
        <v>0.57856723322204118</v>
      </c>
      <c r="AD8" s="35">
        <f t="shared" ref="AD8:AD15" si="17">IF(N8&gt;0,AA8*1000/N8-L8,0)</f>
        <v>11.571344664440824</v>
      </c>
      <c r="AE8" s="35">
        <f t="shared" ref="AE8:AE15" si="18">MAX(0,$I$6*$J$6*AC8-$K$6*MAX(0,AD8))</f>
        <v>16.489166146828175</v>
      </c>
      <c r="AF8" s="35">
        <f t="shared" ref="AF8:AF15" si="19">MAX(0,$L$6*$J$6*AC8-MAX(0,AD8))</f>
        <v>16.489166146828175</v>
      </c>
      <c r="AG8" s="35">
        <f t="shared" ref="AG8:AG15" si="20">MAX(0,$M$6*$J$6*AC8-MAX(0,AD8))</f>
        <v>46.285378657763296</v>
      </c>
      <c r="AH8" s="35">
        <f t="shared" ref="AH8:AH15" si="21">IF(B8&gt;0,D8*N8/B8*AE8/1000,0)</f>
        <v>12.303584571694728</v>
      </c>
      <c r="AI8" s="35">
        <f t="shared" ref="AI8:AI15" si="22">D8*(1+C8)^($N$6-BaseYr)*$I$6*$J$6*(F8+G8)/1000</f>
        <v>22.177512997410155</v>
      </c>
      <c r="AJ8" s="35">
        <f t="shared" ref="AJ8:AJ15" si="23">D8*$I$6*$J$6*(F8+G8)</f>
        <v>17128.126052699998</v>
      </c>
      <c r="AK8" s="35">
        <f t="shared" ref="AK8:AK15" si="24">D8*$L$6*$J$6*(F8+G8)</f>
        <v>17128.126052699998</v>
      </c>
      <c r="AL8" s="35">
        <f t="shared" ref="AL8:AL15" si="25">D8*$M$6*$J$6*(F8+G8)</f>
        <v>35315.723819999999</v>
      </c>
      <c r="AM8" s="35">
        <f t="shared" ref="AM8:AM15" si="26">D8*AE8</f>
        <v>9563.7163651603423</v>
      </c>
      <c r="AN8" s="35">
        <f t="shared" ref="AN8:AN15" si="27">D8*AF8</f>
        <v>9563.7163651603423</v>
      </c>
      <c r="AO8" s="35">
        <f t="shared" ref="AO8:AO15" si="28">D8*AG8</f>
        <v>26845.51962150271</v>
      </c>
      <c r="AP8" s="35">
        <f t="shared" ref="AP8:AP15" si="29">IF(N8&gt;0,D8*U8/N8,0)</f>
        <v>0.33556899526878392</v>
      </c>
      <c r="AQ8" s="35">
        <f t="shared" ref="AQ8:AQ15" si="30">IF(N8&gt;0,D8*(O8+P8)/N8,0)</f>
        <v>0.35315723819999995</v>
      </c>
      <c r="AR8" s="35">
        <f t="shared" ref="AR8:AR15" si="31">IF(N8&gt;0,D8*AS8/N8,0)</f>
        <v>0.35315723819999995</v>
      </c>
      <c r="AS8" s="35">
        <f t="shared" ref="AS8:AS15" si="32">O8*IF($F$6&gt;0,1,0)+P8*X8*IF($G$6&gt;0,1,0)</f>
        <v>3.994986035856253</v>
      </c>
      <c r="AT8" s="35">
        <f t="shared" ref="AT8:AT15" si="33">I8*(F8+G8)/1000</f>
        <v>4.0208075466331952</v>
      </c>
      <c r="AU8" s="35">
        <f t="shared" ref="AU8:AU15" si="34">I8*F8/1000</f>
        <v>3.7705287454670713</v>
      </c>
      <c r="AV8" s="35">
        <f t="shared" ref="AV8:AV15" si="35">I8*G8/1000</f>
        <v>0.25027880116612461</v>
      </c>
    </row>
    <row r="9" spans="1:48" x14ac:dyDescent="0.45">
      <c r="A9" s="34" t="str">
        <f>Inputs!$A$84</f>
        <v>Scrap-EAF steel</v>
      </c>
      <c r="B9" s="35">
        <f>Inputs!$B$84</f>
        <v>4800</v>
      </c>
      <c r="C9" s="35">
        <f>Inputs!$C$84</f>
        <v>4.3999999999999997E-2</v>
      </c>
      <c r="D9" s="35">
        <f>Inputs!$D$84</f>
        <v>300</v>
      </c>
      <c r="E9" s="35">
        <f>Inputs!$E$84</f>
        <v>680</v>
      </c>
      <c r="F9" s="35">
        <f>Inputs!$J$84</f>
        <v>4.4880000000000003E-2</v>
      </c>
      <c r="G9" s="35">
        <f>Inputs!$K$84</f>
        <v>4.3981149999999997E-2</v>
      </c>
      <c r="H9" s="35">
        <f>Inputs!$Q$84</f>
        <v>1.6366491404021942E-3</v>
      </c>
      <c r="I9" s="35">
        <f t="shared" si="0"/>
        <v>6215.0443113295587</v>
      </c>
      <c r="J9" s="35">
        <f t="shared" si="1"/>
        <v>0.89760000000000006</v>
      </c>
      <c r="K9" s="35">
        <f t="shared" si="2"/>
        <v>0.87962299999999993</v>
      </c>
      <c r="L9" s="35">
        <f t="shared" si="3"/>
        <v>0</v>
      </c>
      <c r="M9" s="35">
        <f t="shared" si="4"/>
        <v>2.6135632352941177E-3</v>
      </c>
      <c r="N9" s="35">
        <f>I9*(1+M9)^EpsQ2</f>
        <v>6208.5588088949444</v>
      </c>
      <c r="O9" s="35">
        <f t="shared" si="5"/>
        <v>0.27864011934320515</v>
      </c>
      <c r="P9" s="35">
        <f t="shared" si="6"/>
        <v>0.27305955625782985</v>
      </c>
      <c r="Q9" s="35">
        <f t="shared" si="7"/>
        <v>-1.3566102550259673E-2</v>
      </c>
      <c r="R9" s="35">
        <f t="shared" si="8"/>
        <v>-8.7933523144143686E-3</v>
      </c>
      <c r="S9" s="35">
        <f t="shared" si="9"/>
        <v>0.26507401679294545</v>
      </c>
      <c r="T9" s="35">
        <f t="shared" si="9"/>
        <v>0.26426620394341549</v>
      </c>
      <c r="U9" s="35">
        <f t="shared" si="10"/>
        <v>0.52934022073636089</v>
      </c>
      <c r="V9" s="35">
        <f>(O9+P9)*(1-(1+M9)^(-EpsQ2))</f>
        <v>-5.7630920466762074E-4</v>
      </c>
      <c r="W9" s="35">
        <f>P9*(1-(1+M9)^(-EpsQ2))</f>
        <v>-2.8523985540213379E-4</v>
      </c>
      <c r="X9" s="35">
        <f t="shared" si="11"/>
        <v>1</v>
      </c>
      <c r="Y9" s="35">
        <f t="shared" si="12"/>
        <v>5.3014803358589093</v>
      </c>
      <c r="Z9" s="35">
        <f t="shared" si="13"/>
        <v>5.2853240788683102</v>
      </c>
      <c r="AA9" s="35">
        <f t="shared" si="14"/>
        <v>10.586804414727219</v>
      </c>
      <c r="AB9" s="35">
        <f t="shared" si="15"/>
        <v>0</v>
      </c>
      <c r="AC9" s="35">
        <f t="shared" si="16"/>
        <v>8.5259757864897728E-2</v>
      </c>
      <c r="AD9" s="35">
        <f t="shared" si="17"/>
        <v>1.7051951572979551</v>
      </c>
      <c r="AE9" s="35">
        <f t="shared" si="18"/>
        <v>2.4299030991495849</v>
      </c>
      <c r="AF9" s="35">
        <f t="shared" si="19"/>
        <v>2.4299030991495849</v>
      </c>
      <c r="AG9" s="35">
        <f t="shared" si="20"/>
        <v>6.8207806291918187</v>
      </c>
      <c r="AH9" s="35">
        <f t="shared" si="21"/>
        <v>0.94288726818664259</v>
      </c>
      <c r="AI9" s="35">
        <f t="shared" si="22"/>
        <v>1.6740865789422863</v>
      </c>
      <c r="AJ9" s="35">
        <f t="shared" si="23"/>
        <v>1292.9297325</v>
      </c>
      <c r="AK9" s="35">
        <f t="shared" si="24"/>
        <v>1292.9297325</v>
      </c>
      <c r="AL9" s="35">
        <f t="shared" si="25"/>
        <v>2665.8344999999999</v>
      </c>
      <c r="AM9" s="35">
        <f t="shared" si="26"/>
        <v>728.97092974487543</v>
      </c>
      <c r="AN9" s="35">
        <f t="shared" si="27"/>
        <v>728.97092974487543</v>
      </c>
      <c r="AO9" s="35">
        <f t="shared" si="28"/>
        <v>2046.2341887575456</v>
      </c>
      <c r="AP9" s="35">
        <f t="shared" si="29"/>
        <v>2.5577927359469323E-2</v>
      </c>
      <c r="AQ9" s="35">
        <f t="shared" si="30"/>
        <v>2.6658345000000003E-2</v>
      </c>
      <c r="AR9" s="35">
        <f t="shared" si="31"/>
        <v>2.6658345000000003E-2</v>
      </c>
      <c r="AS9" s="35">
        <f t="shared" si="32"/>
        <v>0.55169967560103506</v>
      </c>
      <c r="AT9" s="35">
        <f t="shared" si="33"/>
        <v>0.55227598480570261</v>
      </c>
      <c r="AU9" s="35">
        <f t="shared" si="34"/>
        <v>0.27893118869247063</v>
      </c>
      <c r="AV9" s="35">
        <f t="shared" si="35"/>
        <v>0.27334479611323198</v>
      </c>
    </row>
    <row r="10" spans="1:48" x14ac:dyDescent="0.45">
      <c r="A10" s="34" t="str">
        <f>Inputs!$A$85</f>
        <v>BF-BOF steel</v>
      </c>
      <c r="B10" s="35">
        <f>Inputs!$B$85</f>
        <v>0</v>
      </c>
      <c r="C10" s="35">
        <f>Inputs!$C$85</f>
        <v>0</v>
      </c>
      <c r="D10" s="35">
        <f>Inputs!$D$85</f>
        <v>0</v>
      </c>
      <c r="E10" s="35">
        <f>Inputs!$E$85</f>
        <v>620</v>
      </c>
      <c r="F10" s="35">
        <f>Inputs!$J$85</f>
        <v>1.4249802699999998</v>
      </c>
      <c r="G10" s="35">
        <f>Inputs!$K$85</f>
        <v>5.276542E-2</v>
      </c>
      <c r="H10" s="35">
        <f>Inputs!$Q$85</f>
        <v>2.6960722989211347E-3</v>
      </c>
      <c r="I10" s="35">
        <f t="shared" si="0"/>
        <v>0</v>
      </c>
      <c r="J10" s="35">
        <f t="shared" si="1"/>
        <v>28.499605399999997</v>
      </c>
      <c r="K10" s="35">
        <f t="shared" si="2"/>
        <v>1.0553083999999999</v>
      </c>
      <c r="L10" s="35">
        <f t="shared" si="3"/>
        <v>0</v>
      </c>
      <c r="M10" s="35">
        <f t="shared" si="4"/>
        <v>4.7669215806451608E-2</v>
      </c>
      <c r="N10" s="35">
        <f>I10*(1+M10)^EpsQ3</f>
        <v>0</v>
      </c>
      <c r="O10" s="35">
        <f t="shared" si="5"/>
        <v>0</v>
      </c>
      <c r="P10" s="35">
        <f t="shared" si="6"/>
        <v>0</v>
      </c>
      <c r="Q10" s="35">
        <f t="shared" si="7"/>
        <v>0</v>
      </c>
      <c r="R10" s="35">
        <f t="shared" si="8"/>
        <v>0</v>
      </c>
      <c r="S10" s="35">
        <f t="shared" si="9"/>
        <v>0</v>
      </c>
      <c r="T10" s="35">
        <f t="shared" si="9"/>
        <v>0</v>
      </c>
      <c r="U10" s="35">
        <f t="shared" si="10"/>
        <v>0</v>
      </c>
      <c r="V10" s="35">
        <f>(O10+P10)*(1-(1+M10)^(-EpsQ3))</f>
        <v>0</v>
      </c>
      <c r="W10" s="35">
        <f>P10*(1-(1+M10)^(-EpsQ3))</f>
        <v>0</v>
      </c>
      <c r="X10" s="35">
        <f t="shared" si="11"/>
        <v>1</v>
      </c>
      <c r="Y10" s="35">
        <f t="shared" si="12"/>
        <v>0</v>
      </c>
      <c r="Z10" s="35">
        <f t="shared" si="13"/>
        <v>0</v>
      </c>
      <c r="AA10" s="35">
        <f t="shared" si="14"/>
        <v>0</v>
      </c>
      <c r="AB10" s="35">
        <f t="shared" si="15"/>
        <v>0</v>
      </c>
      <c r="AC10" s="35">
        <f t="shared" si="16"/>
        <v>0</v>
      </c>
      <c r="AD10" s="35">
        <f t="shared" si="17"/>
        <v>0</v>
      </c>
      <c r="AE10" s="35">
        <f t="shared" si="18"/>
        <v>0</v>
      </c>
      <c r="AF10" s="35">
        <f t="shared" si="19"/>
        <v>0</v>
      </c>
      <c r="AG10" s="35">
        <f t="shared" si="20"/>
        <v>0</v>
      </c>
      <c r="AH10" s="35">
        <f t="shared" si="21"/>
        <v>0</v>
      </c>
      <c r="AI10" s="35">
        <f t="shared" si="22"/>
        <v>0</v>
      </c>
      <c r="AJ10" s="35">
        <f t="shared" si="23"/>
        <v>0</v>
      </c>
      <c r="AK10" s="35">
        <f t="shared" si="24"/>
        <v>0</v>
      </c>
      <c r="AL10" s="35">
        <f t="shared" si="25"/>
        <v>0</v>
      </c>
      <c r="AM10" s="35">
        <f t="shared" si="26"/>
        <v>0</v>
      </c>
      <c r="AN10" s="35">
        <f t="shared" si="27"/>
        <v>0</v>
      </c>
      <c r="AO10" s="35">
        <f t="shared" si="28"/>
        <v>0</v>
      </c>
      <c r="AP10" s="35">
        <f t="shared" si="29"/>
        <v>0</v>
      </c>
      <c r="AQ10" s="35">
        <f t="shared" si="30"/>
        <v>0</v>
      </c>
      <c r="AR10" s="35">
        <f t="shared" si="31"/>
        <v>0</v>
      </c>
      <c r="AS10" s="35">
        <f t="shared" si="32"/>
        <v>0</v>
      </c>
      <c r="AT10" s="35">
        <f t="shared" si="33"/>
        <v>0</v>
      </c>
      <c r="AU10" s="35">
        <f t="shared" si="34"/>
        <v>0</v>
      </c>
      <c r="AV10" s="35">
        <f t="shared" si="35"/>
        <v>0</v>
      </c>
    </row>
    <row r="11" spans="1:48" x14ac:dyDescent="0.45">
      <c r="A11" s="34" t="str">
        <f>Inputs!$A$86</f>
        <v>Clinker</v>
      </c>
      <c r="B11" s="35">
        <f>Inputs!$B$86</f>
        <v>50000</v>
      </c>
      <c r="C11" s="35">
        <f>Inputs!$C$86</f>
        <v>3.3000000000000002E-2</v>
      </c>
      <c r="D11" s="35">
        <f>Inputs!$D$86</f>
        <v>800</v>
      </c>
      <c r="E11" s="35">
        <f>Inputs!$E$86</f>
        <v>110</v>
      </c>
      <c r="F11" s="35">
        <f>Inputs!$J$86</f>
        <v>0.31356850000000003</v>
      </c>
      <c r="G11" s="35">
        <f>Inputs!$K$86</f>
        <v>0.53702616000000003</v>
      </c>
      <c r="H11" s="35">
        <f>Inputs!$Q$86</f>
        <v>3.3464675036139224E-3</v>
      </c>
      <c r="I11" s="35">
        <f t="shared" si="0"/>
        <v>60753.588245941261</v>
      </c>
      <c r="J11" s="35">
        <f t="shared" si="1"/>
        <v>6.271370000000001</v>
      </c>
      <c r="K11" s="35">
        <f t="shared" si="2"/>
        <v>10.7405232</v>
      </c>
      <c r="L11" s="35">
        <f t="shared" si="3"/>
        <v>0</v>
      </c>
      <c r="M11" s="35">
        <f t="shared" si="4"/>
        <v>0.15465357454545456</v>
      </c>
      <c r="N11" s="35">
        <f>I11*(1+M11)^EpsQ4</f>
        <v>59886.200915955837</v>
      </c>
      <c r="O11" s="35">
        <f t="shared" si="5"/>
        <v>18.7784261919149</v>
      </c>
      <c r="P11" s="35">
        <f t="shared" si="6"/>
        <v>32.160456514884245</v>
      </c>
      <c r="Q11" s="35">
        <f t="shared" si="7"/>
        <v>-0.91426193777293197</v>
      </c>
      <c r="R11" s="35">
        <f t="shared" si="8"/>
        <v>-2.0820269455545297</v>
      </c>
      <c r="S11" s="35">
        <f t="shared" si="9"/>
        <v>17.864164254141969</v>
      </c>
      <c r="T11" s="35">
        <f t="shared" si="9"/>
        <v>30.078429569329714</v>
      </c>
      <c r="U11" s="35">
        <f t="shared" si="10"/>
        <v>47.942593823471682</v>
      </c>
      <c r="V11" s="35">
        <f>(O11+P11)*(1-(1+M11)^(-EpsQ4))</f>
        <v>-0.73779503103726363</v>
      </c>
      <c r="W11" s="35">
        <f>P11*(1-(1+M11)^(-EpsQ4))</f>
        <v>-0.46580968705472758</v>
      </c>
      <c r="X11" s="35">
        <f t="shared" si="11"/>
        <v>1</v>
      </c>
      <c r="Y11" s="35">
        <f t="shared" si="12"/>
        <v>357.28328508283937</v>
      </c>
      <c r="Z11" s="35">
        <f t="shared" si="13"/>
        <v>601.56859138659433</v>
      </c>
      <c r="AA11" s="35">
        <f t="shared" si="14"/>
        <v>958.85187646943371</v>
      </c>
      <c r="AB11" s="35">
        <f t="shared" si="15"/>
        <v>0</v>
      </c>
      <c r="AC11" s="35">
        <f t="shared" si="16"/>
        <v>0.80056161670288972</v>
      </c>
      <c r="AD11" s="35">
        <f t="shared" si="17"/>
        <v>16.011232334057794</v>
      </c>
      <c r="AE11" s="35">
        <f t="shared" si="18"/>
        <v>22.816006076032359</v>
      </c>
      <c r="AF11" s="35">
        <f t="shared" si="19"/>
        <v>22.816006076032359</v>
      </c>
      <c r="AG11" s="35">
        <f t="shared" si="20"/>
        <v>64.044929336231178</v>
      </c>
      <c r="AH11" s="35">
        <f t="shared" si="21"/>
        <v>21.861822783503086</v>
      </c>
      <c r="AI11" s="35">
        <f t="shared" si="22"/>
        <v>40.10110192456105</v>
      </c>
      <c r="AJ11" s="35">
        <f t="shared" si="23"/>
        <v>33003.072808000004</v>
      </c>
      <c r="AK11" s="35">
        <f t="shared" si="24"/>
        <v>33003.072808000004</v>
      </c>
      <c r="AL11" s="35">
        <f t="shared" si="25"/>
        <v>68047.572800000009</v>
      </c>
      <c r="AM11" s="35">
        <f t="shared" si="26"/>
        <v>18252.804860825887</v>
      </c>
      <c r="AN11" s="35">
        <f t="shared" si="27"/>
        <v>18252.804860825887</v>
      </c>
      <c r="AO11" s="35">
        <f t="shared" si="28"/>
        <v>51235.943468984944</v>
      </c>
      <c r="AP11" s="35">
        <f t="shared" si="29"/>
        <v>0.64044929336231182</v>
      </c>
      <c r="AQ11" s="35">
        <f t="shared" si="30"/>
        <v>0.68047572800000011</v>
      </c>
      <c r="AR11" s="35">
        <f t="shared" si="31"/>
        <v>0.68047572800000011</v>
      </c>
      <c r="AS11" s="35">
        <f t="shared" si="32"/>
        <v>50.938882706799149</v>
      </c>
      <c r="AT11" s="35">
        <f t="shared" si="33"/>
        <v>51.676677737836407</v>
      </c>
      <c r="AU11" s="35">
        <f t="shared" si="34"/>
        <v>19.050411535897435</v>
      </c>
      <c r="AV11" s="35">
        <f t="shared" si="35"/>
        <v>32.626266201938975</v>
      </c>
    </row>
    <row r="12" spans="1:48" x14ac:dyDescent="0.45">
      <c r="A12" s="34" t="str">
        <f>Inputs!$A$87</f>
        <v>Ammonia</v>
      </c>
      <c r="B12" s="35">
        <f>Inputs!$B$87</f>
        <v>1785</v>
      </c>
      <c r="C12" s="35">
        <f>Inputs!$C$87</f>
        <v>2.1999999999999999E-2</v>
      </c>
      <c r="D12" s="35">
        <f>Inputs!$D$87</f>
        <v>120</v>
      </c>
      <c r="E12" s="35">
        <f>Inputs!$E$87</f>
        <v>450</v>
      </c>
      <c r="F12" s="35">
        <f>Inputs!$J$87</f>
        <v>1.97472</v>
      </c>
      <c r="G12" s="35">
        <f>Inputs!$K$87</f>
        <v>0</v>
      </c>
      <c r="H12" s="35">
        <f>Inputs!$Q$87</f>
        <v>2.8931765504132002E-3</v>
      </c>
      <c r="I12" s="35">
        <f t="shared" si="0"/>
        <v>2033.9655612021818</v>
      </c>
      <c r="J12" s="35">
        <f t="shared" si="1"/>
        <v>39.494399999999999</v>
      </c>
      <c r="K12" s="35">
        <f t="shared" si="2"/>
        <v>0</v>
      </c>
      <c r="L12" s="35">
        <f t="shared" si="3"/>
        <v>0</v>
      </c>
      <c r="M12" s="35">
        <f t="shared" si="4"/>
        <v>8.7765333333333334E-2</v>
      </c>
      <c r="N12" s="35">
        <f>I12*(1+M12)^EpsQ5</f>
        <v>1966.6610186418877</v>
      </c>
      <c r="O12" s="35">
        <f t="shared" si="5"/>
        <v>3.8836048467325086</v>
      </c>
      <c r="P12" s="35">
        <f t="shared" si="6"/>
        <v>0</v>
      </c>
      <c r="Q12" s="35">
        <f t="shared" si="7"/>
        <v>-0.18908038705856764</v>
      </c>
      <c r="R12" s="35">
        <f t="shared" si="8"/>
        <v>0</v>
      </c>
      <c r="S12" s="35">
        <f t="shared" si="9"/>
        <v>3.6945244596739411</v>
      </c>
      <c r="T12" s="35">
        <f t="shared" si="9"/>
        <v>0</v>
      </c>
      <c r="U12" s="35">
        <f t="shared" si="10"/>
        <v>3.6945244596739411</v>
      </c>
      <c r="V12" s="35">
        <f>(O12+P12)*(1-(1+M12)^(-EpsQ5))</f>
        <v>-0.1329076262846639</v>
      </c>
      <c r="W12" s="35">
        <f>P12*(1-(1+M12)^(-EpsQ5))</f>
        <v>0</v>
      </c>
      <c r="X12" s="35">
        <f t="shared" si="11"/>
        <v>0</v>
      </c>
      <c r="Y12" s="35">
        <f t="shared" si="12"/>
        <v>73.890489193478828</v>
      </c>
      <c r="Z12" s="35">
        <f t="shared" si="13"/>
        <v>0</v>
      </c>
      <c r="AA12" s="35">
        <f t="shared" si="14"/>
        <v>73.890489193478828</v>
      </c>
      <c r="AB12" s="35">
        <f t="shared" si="15"/>
        <v>0</v>
      </c>
      <c r="AC12" s="35">
        <f t="shared" si="16"/>
        <v>1.8785771541987748</v>
      </c>
      <c r="AD12" s="35">
        <f t="shared" si="17"/>
        <v>37.571543083975499</v>
      </c>
      <c r="AE12" s="35">
        <f t="shared" si="18"/>
        <v>53.539448894665085</v>
      </c>
      <c r="AF12" s="35">
        <f t="shared" si="19"/>
        <v>53.539448894665085</v>
      </c>
      <c r="AG12" s="35">
        <f t="shared" si="20"/>
        <v>150.28617233590199</v>
      </c>
      <c r="AH12" s="35">
        <f t="shared" si="21"/>
        <v>7.0785846790391478</v>
      </c>
      <c r="AI12" s="35">
        <f t="shared" si="22"/>
        <v>13.095855794375316</v>
      </c>
      <c r="AJ12" s="35">
        <f t="shared" si="23"/>
        <v>11492.8704</v>
      </c>
      <c r="AK12" s="35">
        <f t="shared" si="24"/>
        <v>11492.8704</v>
      </c>
      <c r="AL12" s="35">
        <f t="shared" si="25"/>
        <v>23696.639999999999</v>
      </c>
      <c r="AM12" s="35">
        <f t="shared" si="26"/>
        <v>6424.7338673598106</v>
      </c>
      <c r="AN12" s="35">
        <f t="shared" si="27"/>
        <v>6424.7338673598106</v>
      </c>
      <c r="AO12" s="35">
        <f t="shared" si="28"/>
        <v>18034.34068030824</v>
      </c>
      <c r="AP12" s="35">
        <f t="shared" si="29"/>
        <v>0.22542925850385298</v>
      </c>
      <c r="AQ12" s="35">
        <f t="shared" si="30"/>
        <v>0.23696639999999999</v>
      </c>
      <c r="AR12" s="35">
        <f t="shared" si="31"/>
        <v>0.23696639999999999</v>
      </c>
      <c r="AS12" s="35">
        <f t="shared" si="32"/>
        <v>3.8836048467325086</v>
      </c>
      <c r="AT12" s="35">
        <f t="shared" si="33"/>
        <v>4.0165124730171726</v>
      </c>
      <c r="AU12" s="35">
        <f t="shared" si="34"/>
        <v>4.0165124730171726</v>
      </c>
      <c r="AV12" s="35">
        <f t="shared" si="35"/>
        <v>0</v>
      </c>
    </row>
    <row r="13" spans="1:48" x14ac:dyDescent="0.45">
      <c r="A13" s="34" t="str">
        <f>Inputs!$A$88</f>
        <v>Urea</v>
      </c>
      <c r="B13" s="35">
        <f>Inputs!$B$88</f>
        <v>2800</v>
      </c>
      <c r="C13" s="35">
        <f>Inputs!$C$88</f>
        <v>2.1999999999999999E-2</v>
      </c>
      <c r="D13" s="35">
        <f>Inputs!$D$88</f>
        <v>1600</v>
      </c>
      <c r="E13" s="35">
        <f>Inputs!$E$88</f>
        <v>380</v>
      </c>
      <c r="F13" s="35">
        <f>Inputs!$J$88</f>
        <v>0.11219999999999999</v>
      </c>
      <c r="G13" s="35">
        <f>Inputs!$K$88</f>
        <v>0</v>
      </c>
      <c r="H13" s="35">
        <f>Inputs!$Q$88</f>
        <v>1.008786865491756E-3</v>
      </c>
      <c r="I13" s="35">
        <f t="shared" si="0"/>
        <v>3190.534213650481</v>
      </c>
      <c r="J13" s="35">
        <f t="shared" si="1"/>
        <v>2.2439999999999998</v>
      </c>
      <c r="K13" s="35">
        <f t="shared" si="2"/>
        <v>0</v>
      </c>
      <c r="L13" s="35">
        <f t="shared" si="3"/>
        <v>0</v>
      </c>
      <c r="M13" s="35">
        <f t="shared" si="4"/>
        <v>5.9052631578947364E-3</v>
      </c>
      <c r="N13" s="35">
        <f>I13*(1+M13)^EpsQ6</f>
        <v>3183.0288425590215</v>
      </c>
      <c r="O13" s="35">
        <f t="shared" si="5"/>
        <v>0.35713583613512218</v>
      </c>
      <c r="P13" s="35">
        <f t="shared" si="6"/>
        <v>0</v>
      </c>
      <c r="Q13" s="35">
        <f t="shared" si="7"/>
        <v>-1.738780972676162E-2</v>
      </c>
      <c r="R13" s="35">
        <f t="shared" si="8"/>
        <v>0</v>
      </c>
      <c r="S13" s="35">
        <f t="shared" si="9"/>
        <v>0.33974802640836055</v>
      </c>
      <c r="T13" s="35">
        <f t="shared" si="9"/>
        <v>0</v>
      </c>
      <c r="U13" s="35">
        <f t="shared" si="10"/>
        <v>0.33974802640836055</v>
      </c>
      <c r="V13" s="35">
        <f>(O13+P13)*(1-(1+M13)^(-EpsQ6))</f>
        <v>-8.4210263646177896E-4</v>
      </c>
      <c r="W13" s="35">
        <f>P13*(1-(1+M13)^(-EpsQ6))</f>
        <v>0</v>
      </c>
      <c r="X13" s="35">
        <f t="shared" si="11"/>
        <v>0</v>
      </c>
      <c r="Y13" s="35">
        <f t="shared" si="12"/>
        <v>6.794960528167211</v>
      </c>
      <c r="Z13" s="35">
        <f t="shared" si="13"/>
        <v>0</v>
      </c>
      <c r="AA13" s="35">
        <f t="shared" si="14"/>
        <v>6.794960528167211</v>
      </c>
      <c r="AB13" s="35">
        <f t="shared" si="15"/>
        <v>0</v>
      </c>
      <c r="AC13" s="35">
        <f t="shared" si="16"/>
        <v>0.10673733830674854</v>
      </c>
      <c r="AD13" s="35">
        <f t="shared" si="17"/>
        <v>2.1347467661349708</v>
      </c>
      <c r="AE13" s="35">
        <f t="shared" si="18"/>
        <v>3.0420141417423339</v>
      </c>
      <c r="AF13" s="35">
        <f t="shared" si="19"/>
        <v>3.0420141417423339</v>
      </c>
      <c r="AG13" s="35">
        <f t="shared" si="20"/>
        <v>8.5389870645398833</v>
      </c>
      <c r="AH13" s="35">
        <f t="shared" si="21"/>
        <v>5.5330392872218717</v>
      </c>
      <c r="AI13" s="35">
        <f t="shared" si="22"/>
        <v>9.9211028745267562</v>
      </c>
      <c r="AJ13" s="35">
        <f t="shared" si="23"/>
        <v>8706.7199999999993</v>
      </c>
      <c r="AK13" s="35">
        <f t="shared" si="24"/>
        <v>8706.7199999999993</v>
      </c>
      <c r="AL13" s="35">
        <f t="shared" si="25"/>
        <v>17952</v>
      </c>
      <c r="AM13" s="35">
        <f t="shared" si="26"/>
        <v>4867.222626787734</v>
      </c>
      <c r="AN13" s="35">
        <f t="shared" si="27"/>
        <v>4867.222626787734</v>
      </c>
      <c r="AO13" s="35">
        <f t="shared" si="28"/>
        <v>13662.379303263813</v>
      </c>
      <c r="AP13" s="35">
        <f t="shared" si="29"/>
        <v>0.17077974129079768</v>
      </c>
      <c r="AQ13" s="35">
        <f t="shared" si="30"/>
        <v>0.17951999999999999</v>
      </c>
      <c r="AR13" s="35">
        <f t="shared" si="31"/>
        <v>0.17951999999999999</v>
      </c>
      <c r="AS13" s="35">
        <f t="shared" si="32"/>
        <v>0.35713583613512218</v>
      </c>
      <c r="AT13" s="35">
        <f t="shared" si="33"/>
        <v>0.3579779387715839</v>
      </c>
      <c r="AU13" s="35">
        <f t="shared" si="34"/>
        <v>0.3579779387715839</v>
      </c>
      <c r="AV13" s="35">
        <f t="shared" si="35"/>
        <v>0</v>
      </c>
    </row>
    <row r="14" spans="1:48" x14ac:dyDescent="0.45">
      <c r="A14" s="34" t="str">
        <f>Inputs!$A$89</f>
        <v>Ammonium nitrate</v>
      </c>
      <c r="B14" s="35">
        <f>Inputs!$B$89</f>
        <v>600</v>
      </c>
      <c r="C14" s="35">
        <f>Inputs!$C$89</f>
        <v>2.1999999999999999E-2</v>
      </c>
      <c r="D14" s="35">
        <f>Inputs!$D$89</f>
        <v>80</v>
      </c>
      <c r="E14" s="35">
        <f>Inputs!$E$89</f>
        <v>320</v>
      </c>
      <c r="F14" s="35">
        <f>Inputs!$J$89</f>
        <v>0.11219999999999999</v>
      </c>
      <c r="G14" s="35">
        <f>Inputs!$K$89</f>
        <v>0.99441250000000003</v>
      </c>
      <c r="H14" s="35">
        <f>Inputs!$Q$89</f>
        <v>7.8858436436826454E-3</v>
      </c>
      <c r="I14" s="35">
        <f t="shared" si="0"/>
        <v>683.68590292510305</v>
      </c>
      <c r="J14" s="35">
        <f t="shared" si="1"/>
        <v>2.2439999999999998</v>
      </c>
      <c r="K14" s="35">
        <f t="shared" si="2"/>
        <v>19.888249999999999</v>
      </c>
      <c r="L14" s="35">
        <f t="shared" si="3"/>
        <v>0</v>
      </c>
      <c r="M14" s="35">
        <f t="shared" si="4"/>
        <v>6.916328125E-2</v>
      </c>
      <c r="N14" s="35">
        <f>I14*(1+M14)^EpsQ7</f>
        <v>665.63938566715558</v>
      </c>
      <c r="O14" s="35">
        <f t="shared" si="5"/>
        <v>7.4684739071854855E-2</v>
      </c>
      <c r="P14" s="35">
        <f t="shared" si="6"/>
        <v>0.66192012559974034</v>
      </c>
      <c r="Q14" s="35">
        <f t="shared" si="7"/>
        <v>-3.6361627736033898E-3</v>
      </c>
      <c r="R14" s="35">
        <f t="shared" si="8"/>
        <v>-9.6579730131253927E-2</v>
      </c>
      <c r="S14" s="35">
        <f t="shared" si="9"/>
        <v>7.1048576298251467E-2</v>
      </c>
      <c r="T14" s="35">
        <f t="shared" si="9"/>
        <v>0.56534039546848636</v>
      </c>
      <c r="U14" s="35">
        <f t="shared" si="10"/>
        <v>0.63638897176673781</v>
      </c>
      <c r="V14" s="35">
        <f>(O14+P14)*(1-(1+M14)^(-EpsQ7))</f>
        <v>-1.99705015791104E-2</v>
      </c>
      <c r="W14" s="35">
        <f>P14*(1-(1+M14)^(-EpsQ7))</f>
        <v>-1.7945682342768693E-2</v>
      </c>
      <c r="X14" s="35">
        <f t="shared" si="11"/>
        <v>1</v>
      </c>
      <c r="Y14" s="35">
        <f t="shared" si="12"/>
        <v>1.4209715259650293</v>
      </c>
      <c r="Z14" s="35">
        <f t="shared" si="13"/>
        <v>11.306807909369727</v>
      </c>
      <c r="AA14" s="35">
        <f t="shared" si="14"/>
        <v>12.727779435334757</v>
      </c>
      <c r="AB14" s="35">
        <f t="shared" si="15"/>
        <v>0</v>
      </c>
      <c r="AC14" s="35">
        <f t="shared" si="16"/>
        <v>0.95605666592114169</v>
      </c>
      <c r="AD14" s="35">
        <f t="shared" si="17"/>
        <v>19.121133318422835</v>
      </c>
      <c r="AE14" s="35">
        <f t="shared" si="18"/>
        <v>27.247614978752537</v>
      </c>
      <c r="AF14" s="35">
        <f t="shared" si="19"/>
        <v>27.247614978752537</v>
      </c>
      <c r="AG14" s="35">
        <f t="shared" si="20"/>
        <v>76.484533273691341</v>
      </c>
      <c r="AH14" s="35">
        <f t="shared" si="21"/>
        <v>2.4182780927136038</v>
      </c>
      <c r="AI14" s="35">
        <f t="shared" si="22"/>
        <v>4.892520701754564</v>
      </c>
      <c r="AJ14" s="35">
        <f t="shared" si="23"/>
        <v>4293.6564999999991</v>
      </c>
      <c r="AK14" s="35">
        <f t="shared" si="24"/>
        <v>4293.6564999999991</v>
      </c>
      <c r="AL14" s="35">
        <f t="shared" si="25"/>
        <v>8852.9</v>
      </c>
      <c r="AM14" s="35">
        <f t="shared" si="26"/>
        <v>2179.8091983002032</v>
      </c>
      <c r="AN14" s="35">
        <f t="shared" si="27"/>
        <v>2179.8091983002032</v>
      </c>
      <c r="AO14" s="35">
        <f t="shared" si="28"/>
        <v>6118.7626618953072</v>
      </c>
      <c r="AP14" s="35">
        <f t="shared" si="29"/>
        <v>7.6484533273691341E-2</v>
      </c>
      <c r="AQ14" s="35">
        <f t="shared" si="30"/>
        <v>8.852900000000001E-2</v>
      </c>
      <c r="AR14" s="35">
        <f t="shared" si="31"/>
        <v>8.852900000000001E-2</v>
      </c>
      <c r="AS14" s="35">
        <f t="shared" si="32"/>
        <v>0.73660486467159525</v>
      </c>
      <c r="AT14" s="35">
        <f t="shared" si="33"/>
        <v>0.75657536625070554</v>
      </c>
      <c r="AU14" s="35">
        <f t="shared" si="34"/>
        <v>7.6709558308196563E-2</v>
      </c>
      <c r="AV14" s="35">
        <f t="shared" si="35"/>
        <v>0.67986580794250906</v>
      </c>
    </row>
    <row r="15" spans="1:48" x14ac:dyDescent="0.45">
      <c r="A15" s="34" t="str">
        <f>Inputs!$A$90</f>
        <v>Aluminium</v>
      </c>
      <c r="B15" s="35">
        <f>Inputs!$B$90</f>
        <v>300</v>
      </c>
      <c r="C15" s="35">
        <f>Inputs!$C$90</f>
        <v>5.5E-2</v>
      </c>
      <c r="D15" s="35">
        <f>Inputs!$D$90</f>
        <v>167</v>
      </c>
      <c r="E15" s="35">
        <f>Inputs!$E$90</f>
        <v>2400</v>
      </c>
      <c r="F15" s="35">
        <f>Inputs!$J$90</f>
        <v>0.12342</v>
      </c>
      <c r="G15" s="35">
        <f>Inputs!$K$90</f>
        <v>2.3974930400000001</v>
      </c>
      <c r="H15" s="35">
        <f>Inputs!$Q$90</f>
        <v>1.9988245320635362E-3</v>
      </c>
      <c r="I15" s="35">
        <f t="shared" si="0"/>
        <v>413.65284202856708</v>
      </c>
      <c r="J15" s="35">
        <f t="shared" si="1"/>
        <v>2.4683999999999999</v>
      </c>
      <c r="K15" s="35">
        <f t="shared" si="2"/>
        <v>47.949860800000003</v>
      </c>
      <c r="L15" s="35">
        <f t="shared" si="3"/>
        <v>0</v>
      </c>
      <c r="M15" s="35">
        <f t="shared" si="4"/>
        <v>2.100760866666667E-2</v>
      </c>
      <c r="N15" s="35">
        <f>I15*(1+M15)^EpsQ8</f>
        <v>409.37519411418629</v>
      </c>
      <c r="O15" s="35">
        <f t="shared" si="5"/>
        <v>5.0525086457572872E-2</v>
      </c>
      <c r="P15" s="35">
        <f t="shared" si="6"/>
        <v>0.98147417863741071</v>
      </c>
      <c r="Q15" s="35">
        <f t="shared" si="7"/>
        <v>-2.4599060101604298E-3</v>
      </c>
      <c r="R15" s="35">
        <f t="shared" si="8"/>
        <v>-3.8461983650502372E-2</v>
      </c>
      <c r="S15" s="35">
        <f t="shared" si="9"/>
        <v>4.8065180447412439E-2</v>
      </c>
      <c r="T15" s="35">
        <f t="shared" si="9"/>
        <v>0.94301219498690836</v>
      </c>
      <c r="U15" s="35">
        <f t="shared" si="10"/>
        <v>0.99107737543432084</v>
      </c>
      <c r="V15" s="35">
        <f>(O15+P15)*(1-(1+M15)^(-EpsQ8))</f>
        <v>-1.0783578407891388E-2</v>
      </c>
      <c r="W15" s="35">
        <f>P15*(1-(1+M15)^(-EpsQ8))</f>
        <v>-1.0255631102298508E-2</v>
      </c>
      <c r="X15" s="35">
        <f t="shared" si="11"/>
        <v>1</v>
      </c>
      <c r="Y15" s="35">
        <f t="shared" si="12"/>
        <v>0.96130360894824873</v>
      </c>
      <c r="Z15" s="35">
        <f t="shared" si="13"/>
        <v>18.860243899738165</v>
      </c>
      <c r="AA15" s="35">
        <f t="shared" si="14"/>
        <v>19.821547508686415</v>
      </c>
      <c r="AB15" s="35">
        <f t="shared" si="15"/>
        <v>0</v>
      </c>
      <c r="AC15" s="35">
        <f t="shared" si="16"/>
        <v>2.4209512195257279</v>
      </c>
      <c r="AD15" s="35">
        <f t="shared" si="17"/>
        <v>48.419024390514551</v>
      </c>
      <c r="AE15" s="35">
        <f t="shared" si="18"/>
        <v>68.997109756483255</v>
      </c>
      <c r="AF15" s="35">
        <f t="shared" si="19"/>
        <v>68.997109756483255</v>
      </c>
      <c r="AG15" s="35">
        <f t="shared" si="20"/>
        <v>193.67609756205823</v>
      </c>
      <c r="AH15" s="35">
        <f t="shared" si="21"/>
        <v>15.723442561265506</v>
      </c>
      <c r="AI15" s="35">
        <f t="shared" si="22"/>
        <v>28.153398803171779</v>
      </c>
      <c r="AJ15" s="35">
        <f t="shared" si="23"/>
        <v>20418.135167479999</v>
      </c>
      <c r="AK15" s="35">
        <f t="shared" si="24"/>
        <v>20418.135167479999</v>
      </c>
      <c r="AL15" s="35">
        <f t="shared" si="25"/>
        <v>42099.247768000001</v>
      </c>
      <c r="AM15" s="35">
        <f t="shared" si="26"/>
        <v>11522.517329332704</v>
      </c>
      <c r="AN15" s="35">
        <f t="shared" si="27"/>
        <v>11522.517329332704</v>
      </c>
      <c r="AO15" s="35">
        <f t="shared" si="28"/>
        <v>32343.908292863725</v>
      </c>
      <c r="AP15" s="35">
        <f t="shared" si="29"/>
        <v>0.40429885366079654</v>
      </c>
      <c r="AQ15" s="35">
        <f t="shared" si="30"/>
        <v>0.42099247768000009</v>
      </c>
      <c r="AR15" s="35">
        <f t="shared" si="31"/>
        <v>0.42099247768000009</v>
      </c>
      <c r="AS15" s="35">
        <f t="shared" si="32"/>
        <v>1.0319992650949836</v>
      </c>
      <c r="AT15" s="35">
        <f t="shared" si="33"/>
        <v>1.0427828435028748</v>
      </c>
      <c r="AU15" s="35">
        <f t="shared" si="34"/>
        <v>5.105303376316575E-2</v>
      </c>
      <c r="AV15" s="35">
        <f t="shared" si="35"/>
        <v>0.99172980973970914</v>
      </c>
    </row>
    <row r="16" spans="1:48" x14ac:dyDescent="0.45">
      <c r="A16" s="36" t="s">
        <v>520</v>
      </c>
      <c r="I16" s="37">
        <f>SUM(I8:I15)</f>
        <v>79893.955657864804</v>
      </c>
      <c r="N16" s="37">
        <f t="shared" ref="N16:W16" si="36">SUM(N8:N15)</f>
        <v>78880.541357982802</v>
      </c>
      <c r="O16" s="37">
        <f t="shared" si="36"/>
        <v>27.169331337630204</v>
      </c>
      <c r="P16" s="37">
        <f t="shared" si="36"/>
        <v>34.325581893260441</v>
      </c>
      <c r="Q16" s="37">
        <f t="shared" si="36"/>
        <v>-1.3227884628282383</v>
      </c>
      <c r="R16" s="37">
        <f t="shared" si="36"/>
        <v>-2.242427612552663</v>
      </c>
      <c r="S16" s="37">
        <f t="shared" si="36"/>
        <v>25.846542874801969</v>
      </c>
      <c r="T16" s="37">
        <f t="shared" si="36"/>
        <v>32.083154280707774</v>
      </c>
      <c r="U16" s="37">
        <f t="shared" si="36"/>
        <v>57.929697155509736</v>
      </c>
      <c r="V16" s="37">
        <f t="shared" si="36"/>
        <v>-0.92869665992700123</v>
      </c>
      <c r="W16" s="37">
        <f t="shared" si="36"/>
        <v>-0.49590352364010887</v>
      </c>
      <c r="Y16" s="37">
        <f>SUM(Y8:Y15)</f>
        <v>516.93085749603927</v>
      </c>
      <c r="Z16" s="37">
        <f>SUM(Z8:Z15)</f>
        <v>641.66308561415553</v>
      </c>
      <c r="AA16" s="37">
        <f>SUM(AA8:AA15)</f>
        <v>1158.5939431101945</v>
      </c>
      <c r="AB16" s="37">
        <f>SUM(AB8:AB15)</f>
        <v>0</v>
      </c>
      <c r="AH16" s="37">
        <f t="shared" ref="AH16:AV16" si="37">SUM(AH8:AH15)</f>
        <v>65.86163924362458</v>
      </c>
      <c r="AI16" s="37">
        <f t="shared" si="37"/>
        <v>120.0155796747419</v>
      </c>
      <c r="AJ16" s="37">
        <f t="shared" si="37"/>
        <v>96335.510660679996</v>
      </c>
      <c r="AK16" s="37">
        <f t="shared" si="37"/>
        <v>96335.510660679996</v>
      </c>
      <c r="AL16" s="37">
        <f t="shared" si="37"/>
        <v>198629.91888799999</v>
      </c>
      <c r="AM16" s="37">
        <f t="shared" si="37"/>
        <v>53539.775177511554</v>
      </c>
      <c r="AN16" s="37">
        <f t="shared" si="37"/>
        <v>53539.775177511554</v>
      </c>
      <c r="AO16" s="37">
        <f t="shared" si="37"/>
        <v>150287.0882175763</v>
      </c>
      <c r="AP16" s="37">
        <f t="shared" si="37"/>
        <v>1.8785886027197038</v>
      </c>
      <c r="AQ16" s="37">
        <f t="shared" si="37"/>
        <v>1.9862991888800001</v>
      </c>
      <c r="AR16" s="37">
        <f t="shared" si="37"/>
        <v>1.9862991888800001</v>
      </c>
      <c r="AS16" s="37">
        <f t="shared" si="37"/>
        <v>61.494913230890646</v>
      </c>
      <c r="AT16" s="37">
        <f t="shared" si="37"/>
        <v>62.423609890817644</v>
      </c>
      <c r="AU16" s="37">
        <f t="shared" si="37"/>
        <v>27.602124473917094</v>
      </c>
      <c r="AV16" s="37">
        <f t="shared" si="37"/>
        <v>34.821485416900551</v>
      </c>
    </row>
    <row r="20" spans="1:48" x14ac:dyDescent="0.45">
      <c r="A20" s="93" t="s">
        <v>521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30" customHeight="1" x14ac:dyDescent="0.45">
      <c r="A21" s="4" t="s">
        <v>214</v>
      </c>
      <c r="B21" s="4" t="s">
        <v>458</v>
      </c>
      <c r="C21" s="4" t="s">
        <v>459</v>
      </c>
      <c r="D21" s="4" t="s">
        <v>460</v>
      </c>
      <c r="E21" s="4" t="s">
        <v>461</v>
      </c>
      <c r="F21" s="4" t="s">
        <v>462</v>
      </c>
      <c r="G21" s="4" t="s">
        <v>463</v>
      </c>
      <c r="H21" s="4" t="s">
        <v>464</v>
      </c>
      <c r="I21" s="4" t="s">
        <v>465</v>
      </c>
      <c r="J21" s="4" t="s">
        <v>466</v>
      </c>
      <c r="K21" s="4" t="s">
        <v>467</v>
      </c>
      <c r="L21" s="4" t="s">
        <v>468</v>
      </c>
      <c r="M21" s="4" t="s">
        <v>469</v>
      </c>
      <c r="N21" s="4" t="s">
        <v>470</v>
      </c>
      <c r="O21" s="4" t="s">
        <v>215</v>
      </c>
      <c r="P21" s="4" t="s">
        <v>471</v>
      </c>
      <c r="Q21" s="4" t="s">
        <v>472</v>
      </c>
      <c r="R21" s="4" t="s">
        <v>31</v>
      </c>
    </row>
    <row r="22" spans="1:48" x14ac:dyDescent="0.45">
      <c r="A22" s="32" t="s">
        <v>228</v>
      </c>
      <c r="B22" s="7">
        <f>INDEX(BT_Tau,MATCH($A$22,BT_Code,0))</f>
        <v>20</v>
      </c>
      <c r="C22" s="7">
        <f>B22*INDEX(BT_Flag,MATCH($A$22,BT_Code,0))</f>
        <v>0</v>
      </c>
      <c r="D22" s="7">
        <f>INDEX(BT_Theta,MATCH($A$22,BT_Code,0))*B22</f>
        <v>0</v>
      </c>
      <c r="E22" s="7">
        <f>INDEX(BT_Phi,MATCH($A$22,BT_Code,0))*SigmaEff</f>
        <v>0</v>
      </c>
      <c r="F22" s="7">
        <v>1</v>
      </c>
      <c r="G22" s="7">
        <f>INDEX(BT_Flag,MATCH($A$22,BT_Code,0))</f>
        <v>0</v>
      </c>
      <c r="H22" s="33">
        <f>IF(Mode="PROTOTYPE",1,EXP(Bf*(F22*B22+E22)))</f>
        <v>0.95131317563947027</v>
      </c>
      <c r="I22" s="7">
        <f>CBFsel</f>
        <v>0.48499999999999999</v>
      </c>
      <c r="J22" s="7">
        <f>PEU</f>
        <v>100</v>
      </c>
      <c r="K22" s="7">
        <f>Ssel</f>
        <v>1</v>
      </c>
      <c r="L22" s="7">
        <f>CBFyr</f>
        <v>0.48499999999999999</v>
      </c>
      <c r="M22" s="7">
        <v>1</v>
      </c>
      <c r="N22" s="7">
        <f>Yr</f>
        <v>2030</v>
      </c>
      <c r="O22" s="7" t="str">
        <f>INDEX(BT_Scen,MATCH($A$22,BT_Code,0))</f>
        <v>EG1</v>
      </c>
      <c r="P22" s="7">
        <f>Bf</f>
        <v>-2.4955979362141917E-3</v>
      </c>
      <c r="Q22" s="7" t="str">
        <f>BetaSet</f>
        <v>IPCC_CENTRAL</v>
      </c>
      <c r="R22" s="7" t="str">
        <f>Mode</f>
        <v>REBUILD</v>
      </c>
    </row>
    <row r="23" spans="1:48" ht="54" customHeight="1" x14ac:dyDescent="0.45">
      <c r="A23" s="4" t="s">
        <v>244</v>
      </c>
      <c r="B23" s="4" t="s">
        <v>473</v>
      </c>
      <c r="C23" s="4" t="s">
        <v>474</v>
      </c>
      <c r="D23" s="4" t="s">
        <v>475</v>
      </c>
      <c r="E23" s="4" t="s">
        <v>476</v>
      </c>
      <c r="F23" s="4" t="s">
        <v>477</v>
      </c>
      <c r="G23" s="4" t="s">
        <v>478</v>
      </c>
      <c r="H23" s="4" t="s">
        <v>479</v>
      </c>
      <c r="I23" s="4" t="s">
        <v>480</v>
      </c>
      <c r="J23" s="4" t="s">
        <v>481</v>
      </c>
      <c r="K23" s="4" t="s">
        <v>482</v>
      </c>
      <c r="L23" s="4" t="s">
        <v>483</v>
      </c>
      <c r="M23" s="4" t="s">
        <v>484</v>
      </c>
      <c r="N23" s="4" t="s">
        <v>485</v>
      </c>
      <c r="O23" s="4" t="s">
        <v>486</v>
      </c>
      <c r="P23" s="4" t="s">
        <v>487</v>
      </c>
      <c r="Q23" s="4" t="s">
        <v>488</v>
      </c>
      <c r="R23" s="4" t="s">
        <v>489</v>
      </c>
      <c r="S23" s="4" t="s">
        <v>490</v>
      </c>
      <c r="T23" s="4" t="s">
        <v>491</v>
      </c>
      <c r="U23" s="4" t="s">
        <v>492</v>
      </c>
      <c r="V23" s="4" t="s">
        <v>493</v>
      </c>
      <c r="W23" s="4" t="s">
        <v>494</v>
      </c>
      <c r="X23" s="4" t="s">
        <v>495</v>
      </c>
      <c r="Y23" s="4" t="s">
        <v>496</v>
      </c>
      <c r="Z23" s="4" t="s">
        <v>497</v>
      </c>
      <c r="AA23" s="4" t="s">
        <v>498</v>
      </c>
      <c r="AB23" s="4" t="s">
        <v>499</v>
      </c>
      <c r="AC23" s="4" t="s">
        <v>500</v>
      </c>
      <c r="AD23" s="4" t="s">
        <v>501</v>
      </c>
      <c r="AE23" s="4" t="s">
        <v>502</v>
      </c>
      <c r="AF23" s="4" t="s">
        <v>503</v>
      </c>
      <c r="AG23" s="4" t="s">
        <v>504</v>
      </c>
      <c r="AH23" s="4" t="s">
        <v>505</v>
      </c>
      <c r="AI23" s="4" t="s">
        <v>506</v>
      </c>
      <c r="AJ23" s="4" t="s">
        <v>507</v>
      </c>
      <c r="AK23" s="4" t="s">
        <v>508</v>
      </c>
      <c r="AL23" s="4" t="s">
        <v>509</v>
      </c>
      <c r="AM23" s="4" t="s">
        <v>510</v>
      </c>
      <c r="AN23" s="4" t="s">
        <v>511</v>
      </c>
      <c r="AO23" s="4" t="s">
        <v>512</v>
      </c>
      <c r="AP23" s="4" t="s">
        <v>513</v>
      </c>
      <c r="AQ23" s="4" t="s">
        <v>514</v>
      </c>
      <c r="AR23" s="4" t="s">
        <v>515</v>
      </c>
      <c r="AS23" s="4" t="s">
        <v>516</v>
      </c>
      <c r="AT23" s="4" t="s">
        <v>517</v>
      </c>
      <c r="AU23" s="4" t="s">
        <v>518</v>
      </c>
      <c r="AV23" s="4" t="s">
        <v>519</v>
      </c>
    </row>
    <row r="24" spans="1:48" x14ac:dyDescent="0.45">
      <c r="A24" s="34" t="str">
        <f>Inputs!$A$83</f>
        <v>DRI-EAF steel</v>
      </c>
      <c r="B24" s="35">
        <f>Inputs!$B$83</f>
        <v>5100</v>
      </c>
      <c r="C24" s="35">
        <f>Inputs!$C$83</f>
        <v>4.3999999999999997E-2</v>
      </c>
      <c r="D24" s="35">
        <f>Inputs!$D$83</f>
        <v>580</v>
      </c>
      <c r="E24" s="35">
        <f>Inputs!$E$83</f>
        <v>750</v>
      </c>
      <c r="F24" s="35">
        <f>Inputs!$J$83</f>
        <v>0.57099076999999998</v>
      </c>
      <c r="G24" s="35">
        <f>Inputs!$K$83</f>
        <v>3.7901020000000001E-2</v>
      </c>
      <c r="H24" s="35">
        <f>Inputs!$Q$83</f>
        <v>3.4469507031574592E-3</v>
      </c>
      <c r="I24" s="35">
        <f t="shared" ref="I24:I31" si="38">B24*(1+C24)^($N$22-BaseYr)</f>
        <v>6603.4845807876563</v>
      </c>
      <c r="J24" s="35">
        <f t="shared" ref="J24:J31" si="39">$F$22*$B$22*F24</f>
        <v>11.419815399999999</v>
      </c>
      <c r="K24" s="35">
        <f t="shared" ref="K24:K31" si="40">$G$22*$C$22*G24</f>
        <v>0</v>
      </c>
      <c r="L24" s="35">
        <f t="shared" ref="L24:L31" si="41">MIN($D$22,$B$22)*$F$22*F24+MIN($D$22,$C$22)*$G$22*G24</f>
        <v>0</v>
      </c>
      <c r="M24" s="35">
        <f t="shared" ref="M24:M31" si="42">IF(E24&gt;0,(J24+K24-L24)/E24,0)</f>
        <v>1.5226420533333332E-2</v>
      </c>
      <c r="N24" s="35">
        <f>I24*(1+M24)^EpsQ1</f>
        <v>6563.6891261590508</v>
      </c>
      <c r="O24" s="35">
        <f t="shared" ref="O24:O31" si="43">N24*F24/1000</f>
        <v>3.7478059081861832</v>
      </c>
      <c r="P24" s="35">
        <f t="shared" ref="P24:P31" si="44">N24*G24/1000</f>
        <v>0.24877051284433671</v>
      </c>
      <c r="Q24" s="35">
        <f t="shared" ref="Q24:Q31" si="45">O24*($H$22-1)</f>
        <v>-0.18246876798921632</v>
      </c>
      <c r="R24" s="35">
        <f t="shared" ref="R24:R31" si="46">-P24*(1-EXP(-H24*($G$22*$C$22+$E$22)))</f>
        <v>0</v>
      </c>
      <c r="S24" s="35">
        <f t="shared" ref="S24:T31" si="47">O24+Q24</f>
        <v>3.5653371401969669</v>
      </c>
      <c r="T24" s="35">
        <f t="shared" si="47"/>
        <v>0.24877051284433671</v>
      </c>
      <c r="U24" s="35">
        <f t="shared" ref="U24:U31" si="48">S24+T24</f>
        <v>3.8141076530413036</v>
      </c>
      <c r="V24" s="35">
        <f>(O24+P24)*(1-(1+M24)^(-EpsQ1))</f>
        <v>-2.423112560267552E-2</v>
      </c>
      <c r="W24" s="35">
        <f>P24*(1-(1+M24)^(-EpsQ1))</f>
        <v>-1.508288321787878E-3</v>
      </c>
      <c r="X24" s="35">
        <f t="shared" ref="X24:X31" si="49">IF(G24&gt;0,1,0)</f>
        <v>1</v>
      </c>
      <c r="Y24" s="35">
        <f t="shared" ref="Y24:Y31" si="50">S24*$F$22*$B$22</f>
        <v>71.306742803939343</v>
      </c>
      <c r="Z24" s="35">
        <f t="shared" ref="Z24:Z31" si="51">(P24*X24+R24)*$G$22*$C$22</f>
        <v>0</v>
      </c>
      <c r="AA24" s="35">
        <f t="shared" ref="AA24:AA31" si="52">Y24+Z24</f>
        <v>71.306742803939343</v>
      </c>
      <c r="AB24" s="35">
        <f t="shared" ref="AB24:AB31" si="53">L24*N24/1000</f>
        <v>0</v>
      </c>
      <c r="AC24" s="35">
        <f t="shared" ref="AC24:AC31" si="54">IF(N24&gt;0,U24*1000/N24,0)</f>
        <v>0.5810920626695264</v>
      </c>
      <c r="AD24" s="35">
        <f t="shared" ref="AD24:AD31" si="55">IF(N24&gt;0,AA24*1000/N24-L24,0)</f>
        <v>10.863820853390527</v>
      </c>
      <c r="AE24" s="35">
        <f t="shared" ref="AE24:AE31" si="56">MAX(0,$I$22*$J$22*AC24-$K$22*MAX(0,AD24))</f>
        <v>17.319144186081502</v>
      </c>
      <c r="AF24" s="35">
        <f t="shared" ref="AF24:AF31" si="57">MAX(0,$L$22*$J$22*AC24-MAX(0,AD24))</f>
        <v>17.319144186081502</v>
      </c>
      <c r="AG24" s="35">
        <f t="shared" ref="AG24:AG31" si="58">MAX(0,$M$22*$J$22*AC24-MAX(0,AD24))</f>
        <v>47.245385413562111</v>
      </c>
      <c r="AH24" s="35">
        <f t="shared" ref="AH24:AH31" si="59">IF(B24&gt;0,D24*N24/B24*AE24/1000,0)</f>
        <v>12.928026951719032</v>
      </c>
      <c r="AI24" s="35">
        <f t="shared" ref="AI24:AI31" si="60">D24*(1+C24)^($N$22-BaseYr)*$I$22*$J$22*(F24+G24)/1000</f>
        <v>22.177512997410155</v>
      </c>
      <c r="AJ24" s="35">
        <f t="shared" ref="AJ24:AJ31" si="61">D24*$I$22*$J$22*(F24+G24)</f>
        <v>17128.126052699998</v>
      </c>
      <c r="AK24" s="35">
        <f t="shared" ref="AK24:AK31" si="62">D24*$L$22*$J$22*(F24+G24)</f>
        <v>17128.126052699998</v>
      </c>
      <c r="AL24" s="35">
        <f t="shared" ref="AL24:AL31" si="63">D24*$M$22*$J$22*(F24+G24)</f>
        <v>35315.723819999999</v>
      </c>
      <c r="AM24" s="35">
        <f t="shared" ref="AM24:AM31" si="64">D24*AE24</f>
        <v>10045.10362792727</v>
      </c>
      <c r="AN24" s="35">
        <f t="shared" ref="AN24:AN31" si="65">D24*AF24</f>
        <v>10045.10362792727</v>
      </c>
      <c r="AO24" s="35">
        <f t="shared" ref="AO24:AO31" si="66">D24*AG24</f>
        <v>27402.323539866025</v>
      </c>
      <c r="AP24" s="35">
        <f t="shared" ref="AP24:AP31" si="67">IF(N24&gt;0,D24*U24/N24,0)</f>
        <v>0.3370333963483253</v>
      </c>
      <c r="AQ24" s="35">
        <f t="shared" ref="AQ24:AQ31" si="68">IF(N24&gt;0,D24*(O24+P24)/N24,0)</f>
        <v>0.3531572382</v>
      </c>
      <c r="AR24" s="35">
        <f t="shared" ref="AR24:AR31" si="69">IF(N24&gt;0,D24*AS24/N24,0)</f>
        <v>0.33117464659999996</v>
      </c>
      <c r="AS24" s="35">
        <f t="shared" ref="AS24:AS31" si="70">O24*IF($F$22&gt;0,1,0)+P24*X24*IF($G$22&gt;0,1,0)</f>
        <v>3.7478059081861832</v>
      </c>
      <c r="AT24" s="35">
        <f t="shared" ref="AT24:AT31" si="71">I24*(F24+G24)/1000</f>
        <v>4.0208075466331952</v>
      </c>
      <c r="AU24" s="35">
        <f t="shared" ref="AU24:AU31" si="72">I24*F24/1000</f>
        <v>3.7705287454670713</v>
      </c>
      <c r="AV24" s="35">
        <f t="shared" ref="AV24:AV31" si="73">I24*G24/1000</f>
        <v>0.25027880116612461</v>
      </c>
    </row>
    <row r="25" spans="1:48" x14ac:dyDescent="0.45">
      <c r="A25" s="34" t="str">
        <f>Inputs!$A$84</f>
        <v>Scrap-EAF steel</v>
      </c>
      <c r="B25" s="35">
        <f>Inputs!$B$84</f>
        <v>4800</v>
      </c>
      <c r="C25" s="35">
        <f>Inputs!$C$84</f>
        <v>4.3999999999999997E-2</v>
      </c>
      <c r="D25" s="35">
        <f>Inputs!$D$84</f>
        <v>300</v>
      </c>
      <c r="E25" s="35">
        <f>Inputs!$E$84</f>
        <v>680</v>
      </c>
      <c r="F25" s="35">
        <f>Inputs!$J$84</f>
        <v>4.4880000000000003E-2</v>
      </c>
      <c r="G25" s="35">
        <f>Inputs!$K$84</f>
        <v>4.3981149999999997E-2</v>
      </c>
      <c r="H25" s="35">
        <f>Inputs!$Q$84</f>
        <v>1.6366491404021942E-3</v>
      </c>
      <c r="I25" s="35">
        <f t="shared" si="38"/>
        <v>6215.0443113295587</v>
      </c>
      <c r="J25" s="35">
        <f t="shared" si="39"/>
        <v>0.89760000000000006</v>
      </c>
      <c r="K25" s="35">
        <f t="shared" si="40"/>
        <v>0</v>
      </c>
      <c r="L25" s="35">
        <f t="shared" si="41"/>
        <v>0</v>
      </c>
      <c r="M25" s="35">
        <f t="shared" si="42"/>
        <v>1.32E-3</v>
      </c>
      <c r="N25" s="35">
        <f>I25*(1+M25)^EpsQ2</f>
        <v>6211.7657968809172</v>
      </c>
      <c r="O25" s="35">
        <f t="shared" si="43"/>
        <v>0.2787840489640156</v>
      </c>
      <c r="P25" s="35">
        <f t="shared" si="44"/>
        <v>0.27320060327748913</v>
      </c>
      <c r="Q25" s="35">
        <f t="shared" si="45"/>
        <v>-1.3573110026428348E-2</v>
      </c>
      <c r="R25" s="35">
        <f t="shared" si="46"/>
        <v>0</v>
      </c>
      <c r="S25" s="35">
        <f t="shared" si="47"/>
        <v>0.26521093893758724</v>
      </c>
      <c r="T25" s="35">
        <f t="shared" si="47"/>
        <v>0.27320060327748913</v>
      </c>
      <c r="U25" s="35">
        <f t="shared" si="48"/>
        <v>0.53841154221507637</v>
      </c>
      <c r="V25" s="35">
        <f>(O25+P25)*(1-(1+M25)^(-EpsQ2))</f>
        <v>-2.9133256419789386E-4</v>
      </c>
      <c r="W25" s="35">
        <f>P25*(1-(1+M25)^(-EpsQ2))</f>
        <v>-1.4419283574286623E-4</v>
      </c>
      <c r="X25" s="35">
        <f t="shared" si="49"/>
        <v>1</v>
      </c>
      <c r="Y25" s="35">
        <f t="shared" si="50"/>
        <v>5.3042187787517445</v>
      </c>
      <c r="Z25" s="35">
        <f t="shared" si="51"/>
        <v>0</v>
      </c>
      <c r="AA25" s="35">
        <f t="shared" si="52"/>
        <v>5.3042187787517445</v>
      </c>
      <c r="AB25" s="35">
        <f t="shared" si="53"/>
        <v>0</v>
      </c>
      <c r="AC25" s="35">
        <f t="shared" si="54"/>
        <v>8.6676085322699423E-2</v>
      </c>
      <c r="AD25" s="35">
        <f t="shared" si="55"/>
        <v>0.85389870645398847</v>
      </c>
      <c r="AE25" s="35">
        <f t="shared" si="56"/>
        <v>3.3498914316969337</v>
      </c>
      <c r="AF25" s="35">
        <f t="shared" si="57"/>
        <v>3.3498914316969337</v>
      </c>
      <c r="AG25" s="35">
        <f t="shared" si="58"/>
        <v>7.8137098258159527</v>
      </c>
      <c r="AH25" s="35">
        <f t="shared" si="59"/>
        <v>1.3005463136674662</v>
      </c>
      <c r="AI25" s="35">
        <f t="shared" si="60"/>
        <v>1.6740865789422863</v>
      </c>
      <c r="AJ25" s="35">
        <f t="shared" si="61"/>
        <v>1292.9297325</v>
      </c>
      <c r="AK25" s="35">
        <f t="shared" si="62"/>
        <v>1292.9297325</v>
      </c>
      <c r="AL25" s="35">
        <f t="shared" si="63"/>
        <v>2665.8344999999999</v>
      </c>
      <c r="AM25" s="35">
        <f t="shared" si="64"/>
        <v>1004.9674295090801</v>
      </c>
      <c r="AN25" s="35">
        <f t="shared" si="65"/>
        <v>1004.9674295090801</v>
      </c>
      <c r="AO25" s="35">
        <f t="shared" si="66"/>
        <v>2344.1129477447857</v>
      </c>
      <c r="AP25" s="35">
        <f t="shared" si="67"/>
        <v>2.6002825596809831E-2</v>
      </c>
      <c r="AQ25" s="35">
        <f t="shared" si="68"/>
        <v>2.6658345E-2</v>
      </c>
      <c r="AR25" s="35">
        <f t="shared" si="69"/>
        <v>1.3464E-2</v>
      </c>
      <c r="AS25" s="35">
        <f t="shared" si="70"/>
        <v>0.2787840489640156</v>
      </c>
      <c r="AT25" s="35">
        <f t="shared" si="71"/>
        <v>0.55227598480570261</v>
      </c>
      <c r="AU25" s="35">
        <f t="shared" si="72"/>
        <v>0.27893118869247063</v>
      </c>
      <c r="AV25" s="35">
        <f t="shared" si="73"/>
        <v>0.27334479611323198</v>
      </c>
    </row>
    <row r="26" spans="1:48" x14ac:dyDescent="0.45">
      <c r="A26" s="34" t="str">
        <f>Inputs!$A$85</f>
        <v>BF-BOF steel</v>
      </c>
      <c r="B26" s="35">
        <f>Inputs!$B$85</f>
        <v>0</v>
      </c>
      <c r="C26" s="35">
        <f>Inputs!$C$85</f>
        <v>0</v>
      </c>
      <c r="D26" s="35">
        <f>Inputs!$D$85</f>
        <v>0</v>
      </c>
      <c r="E26" s="35">
        <f>Inputs!$E$85</f>
        <v>620</v>
      </c>
      <c r="F26" s="35">
        <f>Inputs!$J$85</f>
        <v>1.4249802699999998</v>
      </c>
      <c r="G26" s="35">
        <f>Inputs!$K$85</f>
        <v>5.276542E-2</v>
      </c>
      <c r="H26" s="35">
        <f>Inputs!$Q$85</f>
        <v>2.6960722989211347E-3</v>
      </c>
      <c r="I26" s="35">
        <f t="shared" si="38"/>
        <v>0</v>
      </c>
      <c r="J26" s="35">
        <f t="shared" si="39"/>
        <v>28.499605399999997</v>
      </c>
      <c r="K26" s="35">
        <f t="shared" si="40"/>
        <v>0</v>
      </c>
      <c r="L26" s="35">
        <f t="shared" si="41"/>
        <v>0</v>
      </c>
      <c r="M26" s="35">
        <f t="shared" si="42"/>
        <v>4.5967105483870965E-2</v>
      </c>
      <c r="N26" s="35">
        <f>I26*(1+M26)^EpsQ3</f>
        <v>0</v>
      </c>
      <c r="O26" s="35">
        <f t="shared" si="43"/>
        <v>0</v>
      </c>
      <c r="P26" s="35">
        <f t="shared" si="44"/>
        <v>0</v>
      </c>
      <c r="Q26" s="35">
        <f t="shared" si="45"/>
        <v>0</v>
      </c>
      <c r="R26" s="35">
        <f t="shared" si="46"/>
        <v>0</v>
      </c>
      <c r="S26" s="35">
        <f t="shared" si="47"/>
        <v>0</v>
      </c>
      <c r="T26" s="35">
        <f t="shared" si="47"/>
        <v>0</v>
      </c>
      <c r="U26" s="35">
        <f t="shared" si="48"/>
        <v>0</v>
      </c>
      <c r="V26" s="35">
        <f>(O26+P26)*(1-(1+M26)^(-EpsQ3))</f>
        <v>0</v>
      </c>
      <c r="W26" s="35">
        <f>P26*(1-(1+M26)^(-EpsQ3))</f>
        <v>0</v>
      </c>
      <c r="X26" s="35">
        <f t="shared" si="49"/>
        <v>1</v>
      </c>
      <c r="Y26" s="35">
        <f t="shared" si="50"/>
        <v>0</v>
      </c>
      <c r="Z26" s="35">
        <f t="shared" si="51"/>
        <v>0</v>
      </c>
      <c r="AA26" s="35">
        <f t="shared" si="52"/>
        <v>0</v>
      </c>
      <c r="AB26" s="35">
        <f t="shared" si="53"/>
        <v>0</v>
      </c>
      <c r="AC26" s="35">
        <f t="shared" si="54"/>
        <v>0</v>
      </c>
      <c r="AD26" s="35">
        <f t="shared" si="55"/>
        <v>0</v>
      </c>
      <c r="AE26" s="35">
        <f t="shared" si="56"/>
        <v>0</v>
      </c>
      <c r="AF26" s="35">
        <f t="shared" si="57"/>
        <v>0</v>
      </c>
      <c r="AG26" s="35">
        <f t="shared" si="58"/>
        <v>0</v>
      </c>
      <c r="AH26" s="35">
        <f t="shared" si="59"/>
        <v>0</v>
      </c>
      <c r="AI26" s="35">
        <f t="shared" si="60"/>
        <v>0</v>
      </c>
      <c r="AJ26" s="35">
        <f t="shared" si="61"/>
        <v>0</v>
      </c>
      <c r="AK26" s="35">
        <f t="shared" si="62"/>
        <v>0</v>
      </c>
      <c r="AL26" s="35">
        <f t="shared" si="63"/>
        <v>0</v>
      </c>
      <c r="AM26" s="35">
        <f t="shared" si="64"/>
        <v>0</v>
      </c>
      <c r="AN26" s="35">
        <f t="shared" si="65"/>
        <v>0</v>
      </c>
      <c r="AO26" s="35">
        <f t="shared" si="66"/>
        <v>0</v>
      </c>
      <c r="AP26" s="35">
        <f t="shared" si="67"/>
        <v>0</v>
      </c>
      <c r="AQ26" s="35">
        <f t="shared" si="68"/>
        <v>0</v>
      </c>
      <c r="AR26" s="35">
        <f t="shared" si="69"/>
        <v>0</v>
      </c>
      <c r="AS26" s="35">
        <f t="shared" si="70"/>
        <v>0</v>
      </c>
      <c r="AT26" s="35">
        <f t="shared" si="71"/>
        <v>0</v>
      </c>
      <c r="AU26" s="35">
        <f t="shared" si="72"/>
        <v>0</v>
      </c>
      <c r="AV26" s="35">
        <f t="shared" si="73"/>
        <v>0</v>
      </c>
    </row>
    <row r="27" spans="1:48" x14ac:dyDescent="0.45">
      <c r="A27" s="34" t="str">
        <f>Inputs!$A$86</f>
        <v>Clinker</v>
      </c>
      <c r="B27" s="35">
        <f>Inputs!$B$86</f>
        <v>50000</v>
      </c>
      <c r="C27" s="35">
        <f>Inputs!$C$86</f>
        <v>3.3000000000000002E-2</v>
      </c>
      <c r="D27" s="35">
        <f>Inputs!$D$86</f>
        <v>800</v>
      </c>
      <c r="E27" s="35">
        <f>Inputs!$E$86</f>
        <v>110</v>
      </c>
      <c r="F27" s="35">
        <f>Inputs!$J$86</f>
        <v>0.31356850000000003</v>
      </c>
      <c r="G27" s="35">
        <f>Inputs!$K$86</f>
        <v>0.53702616000000003</v>
      </c>
      <c r="H27" s="35">
        <f>Inputs!$Q$86</f>
        <v>3.3464675036139224E-3</v>
      </c>
      <c r="I27" s="35">
        <f t="shared" si="38"/>
        <v>60753.588245941261</v>
      </c>
      <c r="J27" s="35">
        <f t="shared" si="39"/>
        <v>6.271370000000001</v>
      </c>
      <c r="K27" s="35">
        <f t="shared" si="40"/>
        <v>0</v>
      </c>
      <c r="L27" s="35">
        <f t="shared" si="41"/>
        <v>0</v>
      </c>
      <c r="M27" s="35">
        <f t="shared" si="42"/>
        <v>5.7012454545454554E-2</v>
      </c>
      <c r="N27" s="35">
        <f>I27*(1+M27)^EpsQ4</f>
        <v>60417.663079400758</v>
      </c>
      <c r="O27" s="35">
        <f t="shared" si="43"/>
        <v>18.945075985313078</v>
      </c>
      <c r="P27" s="35">
        <f t="shared" si="44"/>
        <v>32.445865599704362</v>
      </c>
      <c r="Q27" s="35">
        <f t="shared" si="45"/>
        <v>-0.9223755869938276</v>
      </c>
      <c r="R27" s="35">
        <f t="shared" si="46"/>
        <v>0</v>
      </c>
      <c r="S27" s="35">
        <f t="shared" si="47"/>
        <v>18.022700398319252</v>
      </c>
      <c r="T27" s="35">
        <f t="shared" si="47"/>
        <v>32.445865599704362</v>
      </c>
      <c r="U27" s="35">
        <f t="shared" si="48"/>
        <v>50.468565998023614</v>
      </c>
      <c r="V27" s="35">
        <f>(O27+P27)*(1-(1+M27)^(-EpsQ4))</f>
        <v>-0.28573615281896092</v>
      </c>
      <c r="W27" s="35">
        <f>P27*(1-(1+M27)^(-EpsQ4))</f>
        <v>-0.18040060223460577</v>
      </c>
      <c r="X27" s="35">
        <f t="shared" si="49"/>
        <v>1</v>
      </c>
      <c r="Y27" s="35">
        <f t="shared" si="50"/>
        <v>360.45400796638501</v>
      </c>
      <c r="Z27" s="35">
        <f t="shared" si="51"/>
        <v>0</v>
      </c>
      <c r="AA27" s="35">
        <f t="shared" si="52"/>
        <v>360.45400796638501</v>
      </c>
      <c r="AB27" s="35">
        <f t="shared" si="53"/>
        <v>0</v>
      </c>
      <c r="AC27" s="35">
        <f t="shared" si="54"/>
        <v>0.83532800551550523</v>
      </c>
      <c r="AD27" s="35">
        <f t="shared" si="55"/>
        <v>5.9660369103101045</v>
      </c>
      <c r="AE27" s="35">
        <f t="shared" si="56"/>
        <v>34.547371357191899</v>
      </c>
      <c r="AF27" s="35">
        <f t="shared" si="57"/>
        <v>34.547371357191899</v>
      </c>
      <c r="AG27" s="35">
        <f t="shared" si="58"/>
        <v>77.566763641240414</v>
      </c>
      <c r="AH27" s="35">
        <f t="shared" si="59"/>
        <v>33.396343087004162</v>
      </c>
      <c r="AI27" s="35">
        <f t="shared" si="60"/>
        <v>40.10110192456105</v>
      </c>
      <c r="AJ27" s="35">
        <f t="shared" si="61"/>
        <v>33003.072808000004</v>
      </c>
      <c r="AK27" s="35">
        <f t="shared" si="62"/>
        <v>33003.072808000004</v>
      </c>
      <c r="AL27" s="35">
        <f t="shared" si="63"/>
        <v>68047.572800000009</v>
      </c>
      <c r="AM27" s="35">
        <f t="shared" si="64"/>
        <v>27637.897085753521</v>
      </c>
      <c r="AN27" s="35">
        <f t="shared" si="65"/>
        <v>27637.897085753521</v>
      </c>
      <c r="AO27" s="35">
        <f t="shared" si="66"/>
        <v>62053.410912992331</v>
      </c>
      <c r="AP27" s="35">
        <f t="shared" si="67"/>
        <v>0.66826240441240425</v>
      </c>
      <c r="AQ27" s="35">
        <f t="shared" si="68"/>
        <v>0.680475728</v>
      </c>
      <c r="AR27" s="35">
        <f t="shared" si="69"/>
        <v>0.25085480000000004</v>
      </c>
      <c r="AS27" s="35">
        <f t="shared" si="70"/>
        <v>18.945075985313078</v>
      </c>
      <c r="AT27" s="35">
        <f t="shared" si="71"/>
        <v>51.676677737836407</v>
      </c>
      <c r="AU27" s="35">
        <f t="shared" si="72"/>
        <v>19.050411535897435</v>
      </c>
      <c r="AV27" s="35">
        <f t="shared" si="73"/>
        <v>32.626266201938975</v>
      </c>
    </row>
    <row r="28" spans="1:48" x14ac:dyDescent="0.45">
      <c r="A28" s="34" t="str">
        <f>Inputs!$A$87</f>
        <v>Ammonia</v>
      </c>
      <c r="B28" s="35">
        <f>Inputs!$B$87</f>
        <v>1785</v>
      </c>
      <c r="C28" s="35">
        <f>Inputs!$C$87</f>
        <v>2.1999999999999999E-2</v>
      </c>
      <c r="D28" s="35">
        <f>Inputs!$D$87</f>
        <v>120</v>
      </c>
      <c r="E28" s="35">
        <f>Inputs!$E$87</f>
        <v>450</v>
      </c>
      <c r="F28" s="35">
        <f>Inputs!$J$87</f>
        <v>1.97472</v>
      </c>
      <c r="G28" s="35">
        <f>Inputs!$K$87</f>
        <v>0</v>
      </c>
      <c r="H28" s="35">
        <f>Inputs!$Q$87</f>
        <v>2.8931765504132002E-3</v>
      </c>
      <c r="I28" s="35">
        <f t="shared" si="38"/>
        <v>2033.9655612021818</v>
      </c>
      <c r="J28" s="35">
        <f t="shared" si="39"/>
        <v>39.494399999999999</v>
      </c>
      <c r="K28" s="35">
        <f t="shared" si="40"/>
        <v>0</v>
      </c>
      <c r="L28" s="35">
        <f t="shared" si="41"/>
        <v>0</v>
      </c>
      <c r="M28" s="35">
        <f t="shared" si="42"/>
        <v>8.7765333333333334E-2</v>
      </c>
      <c r="N28" s="35">
        <f>I28*(1+M28)^EpsQ5</f>
        <v>1966.6610186418877</v>
      </c>
      <c r="O28" s="35">
        <f t="shared" si="43"/>
        <v>3.8836048467325086</v>
      </c>
      <c r="P28" s="35">
        <f t="shared" si="44"/>
        <v>0</v>
      </c>
      <c r="Q28" s="35">
        <f t="shared" si="45"/>
        <v>-0.18908038705856764</v>
      </c>
      <c r="R28" s="35">
        <f t="shared" si="46"/>
        <v>0</v>
      </c>
      <c r="S28" s="35">
        <f t="shared" si="47"/>
        <v>3.6945244596739411</v>
      </c>
      <c r="T28" s="35">
        <f t="shared" si="47"/>
        <v>0</v>
      </c>
      <c r="U28" s="35">
        <f t="shared" si="48"/>
        <v>3.6945244596739411</v>
      </c>
      <c r="V28" s="35">
        <f>(O28+P28)*(1-(1+M28)^(-EpsQ5))</f>
        <v>-0.1329076262846639</v>
      </c>
      <c r="W28" s="35">
        <f>P28*(1-(1+M28)^(-EpsQ5))</f>
        <v>0</v>
      </c>
      <c r="X28" s="35">
        <f t="shared" si="49"/>
        <v>0</v>
      </c>
      <c r="Y28" s="35">
        <f t="shared" si="50"/>
        <v>73.890489193478828</v>
      </c>
      <c r="Z28" s="35">
        <f t="shared" si="51"/>
        <v>0</v>
      </c>
      <c r="AA28" s="35">
        <f t="shared" si="52"/>
        <v>73.890489193478828</v>
      </c>
      <c r="AB28" s="35">
        <f t="shared" si="53"/>
        <v>0</v>
      </c>
      <c r="AC28" s="35">
        <f t="shared" si="54"/>
        <v>1.8785771541987748</v>
      </c>
      <c r="AD28" s="35">
        <f t="shared" si="55"/>
        <v>37.571543083975499</v>
      </c>
      <c r="AE28" s="35">
        <f t="shared" si="56"/>
        <v>53.539448894665085</v>
      </c>
      <c r="AF28" s="35">
        <f t="shared" si="57"/>
        <v>53.539448894665085</v>
      </c>
      <c r="AG28" s="35">
        <f t="shared" si="58"/>
        <v>150.28617233590199</v>
      </c>
      <c r="AH28" s="35">
        <f t="shared" si="59"/>
        <v>7.0785846790391478</v>
      </c>
      <c r="AI28" s="35">
        <f t="shared" si="60"/>
        <v>13.095855794375316</v>
      </c>
      <c r="AJ28" s="35">
        <f t="shared" si="61"/>
        <v>11492.8704</v>
      </c>
      <c r="AK28" s="35">
        <f t="shared" si="62"/>
        <v>11492.8704</v>
      </c>
      <c r="AL28" s="35">
        <f t="shared" si="63"/>
        <v>23696.639999999999</v>
      </c>
      <c r="AM28" s="35">
        <f t="shared" si="64"/>
        <v>6424.7338673598106</v>
      </c>
      <c r="AN28" s="35">
        <f t="shared" si="65"/>
        <v>6424.7338673598106</v>
      </c>
      <c r="AO28" s="35">
        <f t="shared" si="66"/>
        <v>18034.34068030824</v>
      </c>
      <c r="AP28" s="35">
        <f t="shared" si="67"/>
        <v>0.22542925850385298</v>
      </c>
      <c r="AQ28" s="35">
        <f t="shared" si="68"/>
        <v>0.23696639999999999</v>
      </c>
      <c r="AR28" s="35">
        <f t="shared" si="69"/>
        <v>0.23696639999999999</v>
      </c>
      <c r="AS28" s="35">
        <f t="shared" si="70"/>
        <v>3.8836048467325086</v>
      </c>
      <c r="AT28" s="35">
        <f t="shared" si="71"/>
        <v>4.0165124730171726</v>
      </c>
      <c r="AU28" s="35">
        <f t="shared" si="72"/>
        <v>4.0165124730171726</v>
      </c>
      <c r="AV28" s="35">
        <f t="shared" si="73"/>
        <v>0</v>
      </c>
    </row>
    <row r="29" spans="1:48" x14ac:dyDescent="0.45">
      <c r="A29" s="34" t="str">
        <f>Inputs!$A$88</f>
        <v>Urea</v>
      </c>
      <c r="B29" s="35">
        <f>Inputs!$B$88</f>
        <v>2800</v>
      </c>
      <c r="C29" s="35">
        <f>Inputs!$C$88</f>
        <v>2.1999999999999999E-2</v>
      </c>
      <c r="D29" s="35">
        <f>Inputs!$D$88</f>
        <v>1600</v>
      </c>
      <c r="E29" s="35">
        <f>Inputs!$E$88</f>
        <v>380</v>
      </c>
      <c r="F29" s="35">
        <f>Inputs!$J$88</f>
        <v>0.11219999999999999</v>
      </c>
      <c r="G29" s="35">
        <f>Inputs!$K$88</f>
        <v>0</v>
      </c>
      <c r="H29" s="35">
        <f>Inputs!$Q$88</f>
        <v>1.008786865491756E-3</v>
      </c>
      <c r="I29" s="35">
        <f t="shared" si="38"/>
        <v>3190.534213650481</v>
      </c>
      <c r="J29" s="35">
        <f t="shared" si="39"/>
        <v>2.2439999999999998</v>
      </c>
      <c r="K29" s="35">
        <f t="shared" si="40"/>
        <v>0</v>
      </c>
      <c r="L29" s="35">
        <f t="shared" si="41"/>
        <v>0</v>
      </c>
      <c r="M29" s="35">
        <f t="shared" si="42"/>
        <v>5.9052631578947364E-3</v>
      </c>
      <c r="N29" s="35">
        <f>I29*(1+M29)^EpsQ6</f>
        <v>3183.0288425590215</v>
      </c>
      <c r="O29" s="35">
        <f t="shared" si="43"/>
        <v>0.35713583613512218</v>
      </c>
      <c r="P29" s="35">
        <f t="shared" si="44"/>
        <v>0</v>
      </c>
      <c r="Q29" s="35">
        <f t="shared" si="45"/>
        <v>-1.738780972676162E-2</v>
      </c>
      <c r="R29" s="35">
        <f t="shared" si="46"/>
        <v>0</v>
      </c>
      <c r="S29" s="35">
        <f t="shared" si="47"/>
        <v>0.33974802640836055</v>
      </c>
      <c r="T29" s="35">
        <f t="shared" si="47"/>
        <v>0</v>
      </c>
      <c r="U29" s="35">
        <f t="shared" si="48"/>
        <v>0.33974802640836055</v>
      </c>
      <c r="V29" s="35">
        <f>(O29+P29)*(1-(1+M29)^(-EpsQ6))</f>
        <v>-8.4210263646177896E-4</v>
      </c>
      <c r="W29" s="35">
        <f>P29*(1-(1+M29)^(-EpsQ6))</f>
        <v>0</v>
      </c>
      <c r="X29" s="35">
        <f t="shared" si="49"/>
        <v>0</v>
      </c>
      <c r="Y29" s="35">
        <f t="shared" si="50"/>
        <v>6.794960528167211</v>
      </c>
      <c r="Z29" s="35">
        <f t="shared" si="51"/>
        <v>0</v>
      </c>
      <c r="AA29" s="35">
        <f t="shared" si="52"/>
        <v>6.794960528167211</v>
      </c>
      <c r="AB29" s="35">
        <f t="shared" si="53"/>
        <v>0</v>
      </c>
      <c r="AC29" s="35">
        <f t="shared" si="54"/>
        <v>0.10673733830674854</v>
      </c>
      <c r="AD29" s="35">
        <f t="shared" si="55"/>
        <v>2.1347467661349708</v>
      </c>
      <c r="AE29" s="35">
        <f t="shared" si="56"/>
        <v>3.0420141417423339</v>
      </c>
      <c r="AF29" s="35">
        <f t="shared" si="57"/>
        <v>3.0420141417423339</v>
      </c>
      <c r="AG29" s="35">
        <f t="shared" si="58"/>
        <v>8.5389870645398833</v>
      </c>
      <c r="AH29" s="35">
        <f t="shared" si="59"/>
        <v>5.5330392872218717</v>
      </c>
      <c r="AI29" s="35">
        <f t="shared" si="60"/>
        <v>9.9211028745267562</v>
      </c>
      <c r="AJ29" s="35">
        <f t="shared" si="61"/>
        <v>8706.7199999999993</v>
      </c>
      <c r="AK29" s="35">
        <f t="shared" si="62"/>
        <v>8706.7199999999993</v>
      </c>
      <c r="AL29" s="35">
        <f t="shared" si="63"/>
        <v>17952</v>
      </c>
      <c r="AM29" s="35">
        <f t="shared" si="64"/>
        <v>4867.222626787734</v>
      </c>
      <c r="AN29" s="35">
        <f t="shared" si="65"/>
        <v>4867.222626787734</v>
      </c>
      <c r="AO29" s="35">
        <f t="shared" si="66"/>
        <v>13662.379303263813</v>
      </c>
      <c r="AP29" s="35">
        <f t="shared" si="67"/>
        <v>0.17077974129079768</v>
      </c>
      <c r="AQ29" s="35">
        <f t="shared" si="68"/>
        <v>0.17951999999999999</v>
      </c>
      <c r="AR29" s="35">
        <f t="shared" si="69"/>
        <v>0.17951999999999999</v>
      </c>
      <c r="AS29" s="35">
        <f t="shared" si="70"/>
        <v>0.35713583613512218</v>
      </c>
      <c r="AT29" s="35">
        <f t="shared" si="71"/>
        <v>0.3579779387715839</v>
      </c>
      <c r="AU29" s="35">
        <f t="shared" si="72"/>
        <v>0.3579779387715839</v>
      </c>
      <c r="AV29" s="35">
        <f t="shared" si="73"/>
        <v>0</v>
      </c>
    </row>
    <row r="30" spans="1:48" x14ac:dyDescent="0.45">
      <c r="A30" s="34" t="str">
        <f>Inputs!$A$89</f>
        <v>Ammonium nitrate</v>
      </c>
      <c r="B30" s="35">
        <f>Inputs!$B$89</f>
        <v>600</v>
      </c>
      <c r="C30" s="35">
        <f>Inputs!$C$89</f>
        <v>2.1999999999999999E-2</v>
      </c>
      <c r="D30" s="35">
        <f>Inputs!$D$89</f>
        <v>80</v>
      </c>
      <c r="E30" s="35">
        <f>Inputs!$E$89</f>
        <v>320</v>
      </c>
      <c r="F30" s="35">
        <f>Inputs!$J$89</f>
        <v>0.11219999999999999</v>
      </c>
      <c r="G30" s="35">
        <f>Inputs!$K$89</f>
        <v>0.99441250000000003</v>
      </c>
      <c r="H30" s="35">
        <f>Inputs!$Q$89</f>
        <v>7.8858436436826454E-3</v>
      </c>
      <c r="I30" s="35">
        <f t="shared" si="38"/>
        <v>683.68590292510305</v>
      </c>
      <c r="J30" s="35">
        <f t="shared" si="39"/>
        <v>2.2439999999999998</v>
      </c>
      <c r="K30" s="35">
        <f t="shared" si="40"/>
        <v>0</v>
      </c>
      <c r="L30" s="35">
        <f t="shared" si="41"/>
        <v>0</v>
      </c>
      <c r="M30" s="35">
        <f t="shared" si="42"/>
        <v>7.0124999999999996E-3</v>
      </c>
      <c r="N30" s="35">
        <f>I30*(1+M30)^EpsQ7</f>
        <v>681.77752517049896</v>
      </c>
      <c r="O30" s="35">
        <f t="shared" si="43"/>
        <v>7.6495438324129972E-2</v>
      </c>
      <c r="P30" s="35">
        <f t="shared" si="44"/>
        <v>0.67796809324860885</v>
      </c>
      <c r="Q30" s="35">
        <f t="shared" si="45"/>
        <v>-3.7243199700686511E-3</v>
      </c>
      <c r="R30" s="35">
        <f t="shared" si="46"/>
        <v>0</v>
      </c>
      <c r="S30" s="35">
        <f t="shared" si="47"/>
        <v>7.2771118354061318E-2</v>
      </c>
      <c r="T30" s="35">
        <f t="shared" si="47"/>
        <v>0.67796809324860885</v>
      </c>
      <c r="U30" s="35">
        <f t="shared" si="48"/>
        <v>0.75073921160267021</v>
      </c>
      <c r="V30" s="35">
        <f>(O30+P30)*(1-(1+M30)^(-EpsQ7))</f>
        <v>-2.1118346779668228E-3</v>
      </c>
      <c r="W30" s="35">
        <f>P30*(1-(1+M30)^(-EpsQ7))</f>
        <v>-1.8977146939002435E-3</v>
      </c>
      <c r="X30" s="35">
        <f t="shared" si="49"/>
        <v>1</v>
      </c>
      <c r="Y30" s="35">
        <f t="shared" si="50"/>
        <v>1.4554223670812263</v>
      </c>
      <c r="Z30" s="35">
        <f t="shared" si="51"/>
        <v>0</v>
      </c>
      <c r="AA30" s="35">
        <f t="shared" si="52"/>
        <v>1.4554223670812263</v>
      </c>
      <c r="AB30" s="35">
        <f t="shared" si="53"/>
        <v>0</v>
      </c>
      <c r="AC30" s="35">
        <f t="shared" si="54"/>
        <v>1.1011498383067488</v>
      </c>
      <c r="AD30" s="35">
        <f t="shared" si="55"/>
        <v>2.1347467661349708</v>
      </c>
      <c r="AE30" s="35">
        <f t="shared" si="56"/>
        <v>51.271020391742347</v>
      </c>
      <c r="AF30" s="35">
        <f t="shared" si="57"/>
        <v>51.271020391742347</v>
      </c>
      <c r="AG30" s="35">
        <f t="shared" si="58"/>
        <v>107.98023706453992</v>
      </c>
      <c r="AH30" s="35">
        <f t="shared" si="59"/>
        <v>4.6607239194197714</v>
      </c>
      <c r="AI30" s="35">
        <f t="shared" si="60"/>
        <v>4.892520701754564</v>
      </c>
      <c r="AJ30" s="35">
        <f t="shared" si="61"/>
        <v>4293.6564999999991</v>
      </c>
      <c r="AK30" s="35">
        <f t="shared" si="62"/>
        <v>4293.6564999999991</v>
      </c>
      <c r="AL30" s="35">
        <f t="shared" si="63"/>
        <v>8852.9</v>
      </c>
      <c r="AM30" s="35">
        <f t="shared" si="64"/>
        <v>4101.6816313393874</v>
      </c>
      <c r="AN30" s="35">
        <f t="shared" si="65"/>
        <v>4101.6816313393874</v>
      </c>
      <c r="AO30" s="35">
        <f t="shared" si="66"/>
        <v>8638.4189651631932</v>
      </c>
      <c r="AP30" s="35">
        <f t="shared" si="67"/>
        <v>8.8091987064539898E-2</v>
      </c>
      <c r="AQ30" s="35">
        <f t="shared" si="68"/>
        <v>8.852900000000001E-2</v>
      </c>
      <c r="AR30" s="35">
        <f t="shared" si="69"/>
        <v>8.9759999999999979E-3</v>
      </c>
      <c r="AS30" s="35">
        <f t="shared" si="70"/>
        <v>7.6495438324129972E-2</v>
      </c>
      <c r="AT30" s="35">
        <f t="shared" si="71"/>
        <v>0.75657536625070554</v>
      </c>
      <c r="AU30" s="35">
        <f t="shared" si="72"/>
        <v>7.6709558308196563E-2</v>
      </c>
      <c r="AV30" s="35">
        <f t="shared" si="73"/>
        <v>0.67986580794250906</v>
      </c>
    </row>
    <row r="31" spans="1:48" x14ac:dyDescent="0.45">
      <c r="A31" s="34" t="str">
        <f>Inputs!$A$90</f>
        <v>Aluminium</v>
      </c>
      <c r="B31" s="35">
        <f>Inputs!$B$90</f>
        <v>300</v>
      </c>
      <c r="C31" s="35">
        <f>Inputs!$C$90</f>
        <v>5.5E-2</v>
      </c>
      <c r="D31" s="35">
        <f>Inputs!$D$90</f>
        <v>167</v>
      </c>
      <c r="E31" s="35">
        <f>Inputs!$E$90</f>
        <v>2400</v>
      </c>
      <c r="F31" s="35">
        <f>Inputs!$J$90</f>
        <v>0.12342</v>
      </c>
      <c r="G31" s="35">
        <f>Inputs!$K$90</f>
        <v>2.3974930400000001</v>
      </c>
      <c r="H31" s="35">
        <f>Inputs!$Q$90</f>
        <v>1.9988245320635362E-3</v>
      </c>
      <c r="I31" s="35">
        <f t="shared" si="38"/>
        <v>413.65284202856708</v>
      </c>
      <c r="J31" s="35">
        <f t="shared" si="39"/>
        <v>2.4683999999999999</v>
      </c>
      <c r="K31" s="35">
        <f t="shared" si="40"/>
        <v>0</v>
      </c>
      <c r="L31" s="35">
        <f t="shared" si="41"/>
        <v>0</v>
      </c>
      <c r="M31" s="35">
        <f t="shared" si="42"/>
        <v>1.0284999999999999E-3</v>
      </c>
      <c r="N31" s="35">
        <f>I31*(1+M31)^EpsQ8</f>
        <v>413.44028500168491</v>
      </c>
      <c r="O31" s="35">
        <f t="shared" si="43"/>
        <v>5.1026799974907951E-2</v>
      </c>
      <c r="P31" s="35">
        <f t="shared" si="44"/>
        <v>0.99122020574715597</v>
      </c>
      <c r="Q31" s="35">
        <f t="shared" si="45"/>
        <v>-2.4843328480582266E-3</v>
      </c>
      <c r="R31" s="35">
        <f t="shared" si="46"/>
        <v>0</v>
      </c>
      <c r="S31" s="35">
        <f t="shared" si="47"/>
        <v>4.8542467126849724E-2</v>
      </c>
      <c r="T31" s="35">
        <f t="shared" si="47"/>
        <v>0.99122020574715597</v>
      </c>
      <c r="U31" s="35">
        <f t="shared" si="48"/>
        <v>1.0397626728740057</v>
      </c>
      <c r="V31" s="35">
        <f>(O31+P31)*(1-(1+M31)^(-EpsQ8))</f>
        <v>-5.3583778081091587E-4</v>
      </c>
      <c r="W31" s="35">
        <f>P31*(1-(1+M31)^(-EpsQ8))</f>
        <v>-5.0960399255311735E-4</v>
      </c>
      <c r="X31" s="35">
        <f t="shared" si="49"/>
        <v>1</v>
      </c>
      <c r="Y31" s="35">
        <f t="shared" si="50"/>
        <v>0.97084934253699451</v>
      </c>
      <c r="Z31" s="35">
        <f t="shared" si="51"/>
        <v>0</v>
      </c>
      <c r="AA31" s="35">
        <f t="shared" si="52"/>
        <v>0.97084934253699451</v>
      </c>
      <c r="AB31" s="35">
        <f t="shared" si="53"/>
        <v>0</v>
      </c>
      <c r="AC31" s="35">
        <f t="shared" si="54"/>
        <v>2.5149041121374234</v>
      </c>
      <c r="AD31" s="35">
        <f t="shared" si="55"/>
        <v>2.3482214427484687</v>
      </c>
      <c r="AE31" s="35">
        <f t="shared" si="56"/>
        <v>119.62462799591657</v>
      </c>
      <c r="AF31" s="35">
        <f t="shared" si="57"/>
        <v>119.62462799591657</v>
      </c>
      <c r="AG31" s="35">
        <f t="shared" si="58"/>
        <v>249.14218977099387</v>
      </c>
      <c r="AH31" s="35">
        <f t="shared" si="59"/>
        <v>27.531419762464441</v>
      </c>
      <c r="AI31" s="35">
        <f t="shared" si="60"/>
        <v>28.153398803171779</v>
      </c>
      <c r="AJ31" s="35">
        <f t="shared" si="61"/>
        <v>20418.135167479999</v>
      </c>
      <c r="AK31" s="35">
        <f t="shared" si="62"/>
        <v>20418.135167479999</v>
      </c>
      <c r="AL31" s="35">
        <f t="shared" si="63"/>
        <v>42099.247768000001</v>
      </c>
      <c r="AM31" s="35">
        <f t="shared" si="64"/>
        <v>19977.312875318068</v>
      </c>
      <c r="AN31" s="35">
        <f t="shared" si="65"/>
        <v>19977.312875318068</v>
      </c>
      <c r="AO31" s="35">
        <f t="shared" si="66"/>
        <v>41606.745691755976</v>
      </c>
      <c r="AP31" s="35">
        <f t="shared" si="67"/>
        <v>0.41998898672694968</v>
      </c>
      <c r="AQ31" s="35">
        <f t="shared" si="68"/>
        <v>0.42099247767999998</v>
      </c>
      <c r="AR31" s="35">
        <f t="shared" si="69"/>
        <v>2.061114E-2</v>
      </c>
      <c r="AS31" s="35">
        <f t="shared" si="70"/>
        <v>5.1026799974907951E-2</v>
      </c>
      <c r="AT31" s="35">
        <f t="shared" si="71"/>
        <v>1.0427828435028748</v>
      </c>
      <c r="AU31" s="35">
        <f t="shared" si="72"/>
        <v>5.105303376316575E-2</v>
      </c>
      <c r="AV31" s="35">
        <f t="shared" si="73"/>
        <v>0.99172980973970914</v>
      </c>
    </row>
    <row r="32" spans="1:48" x14ac:dyDescent="0.45">
      <c r="A32" s="36" t="s">
        <v>520</v>
      </c>
      <c r="I32" s="37">
        <f>SUM(I24:I31)</f>
        <v>79893.955657864804</v>
      </c>
      <c r="N32" s="37">
        <f t="shared" ref="N32:W32" si="74">SUM(N24:N31)</f>
        <v>79438.025673813812</v>
      </c>
      <c r="O32" s="37">
        <f t="shared" si="74"/>
        <v>27.339928863629947</v>
      </c>
      <c r="P32" s="37">
        <f t="shared" si="74"/>
        <v>34.637025014821951</v>
      </c>
      <c r="Q32" s="37">
        <f t="shared" si="74"/>
        <v>-1.3310943146129284</v>
      </c>
      <c r="R32" s="37">
        <f t="shared" si="74"/>
        <v>0</v>
      </c>
      <c r="S32" s="37">
        <f t="shared" si="74"/>
        <v>26.008834549017021</v>
      </c>
      <c r="T32" s="37">
        <f t="shared" si="74"/>
        <v>34.637025014821951</v>
      </c>
      <c r="U32" s="37">
        <f t="shared" si="74"/>
        <v>60.645859563838968</v>
      </c>
      <c r="V32" s="37">
        <f t="shared" si="74"/>
        <v>-0.44665601236573776</v>
      </c>
      <c r="W32" s="37">
        <f t="shared" si="74"/>
        <v>-0.18446040207858988</v>
      </c>
      <c r="Y32" s="37">
        <f>SUM(Y24:Y31)</f>
        <v>520.17669098034037</v>
      </c>
      <c r="Z32" s="37">
        <f>SUM(Z24:Z31)</f>
        <v>0</v>
      </c>
      <c r="AA32" s="37">
        <f>SUM(AA24:AA31)</f>
        <v>520.17669098034037</v>
      </c>
      <c r="AB32" s="37">
        <f>SUM(AB24:AB31)</f>
        <v>0</v>
      </c>
      <c r="AH32" s="37">
        <f t="shared" ref="AH32:AV32" si="75">SUM(AH24:AH31)</f>
        <v>92.428684000535881</v>
      </c>
      <c r="AI32" s="37">
        <f t="shared" si="75"/>
        <v>120.0155796747419</v>
      </c>
      <c r="AJ32" s="37">
        <f t="shared" si="75"/>
        <v>96335.510660679996</v>
      </c>
      <c r="AK32" s="37">
        <f t="shared" si="75"/>
        <v>96335.510660679996</v>
      </c>
      <c r="AL32" s="37">
        <f t="shared" si="75"/>
        <v>198629.91888799999</v>
      </c>
      <c r="AM32" s="37">
        <f t="shared" si="75"/>
        <v>74058.919143994877</v>
      </c>
      <c r="AN32" s="37">
        <f t="shared" si="75"/>
        <v>74058.919143994877</v>
      </c>
      <c r="AO32" s="37">
        <f t="shared" si="75"/>
        <v>173741.73204109439</v>
      </c>
      <c r="AP32" s="37">
        <f t="shared" si="75"/>
        <v>1.9355885999436795</v>
      </c>
      <c r="AQ32" s="37">
        <f t="shared" si="75"/>
        <v>1.9862991888799999</v>
      </c>
      <c r="AR32" s="37">
        <f t="shared" si="75"/>
        <v>1.0415669865999999</v>
      </c>
      <c r="AS32" s="37">
        <f t="shared" si="75"/>
        <v>27.339928863629947</v>
      </c>
      <c r="AT32" s="37">
        <f t="shared" si="75"/>
        <v>62.423609890817644</v>
      </c>
      <c r="AU32" s="37">
        <f t="shared" si="75"/>
        <v>27.602124473917094</v>
      </c>
      <c r="AV32" s="37">
        <f t="shared" si="75"/>
        <v>34.821485416900551</v>
      </c>
    </row>
    <row r="36" spans="1:48" x14ac:dyDescent="0.45">
      <c r="A36" s="93" t="s">
        <v>522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 ht="30" customHeight="1" x14ac:dyDescent="0.45">
      <c r="A37" s="4" t="s">
        <v>214</v>
      </c>
      <c r="B37" s="4" t="s">
        <v>458</v>
      </c>
      <c r="C37" s="4" t="s">
        <v>459</v>
      </c>
      <c r="D37" s="4" t="s">
        <v>460</v>
      </c>
      <c r="E37" s="4" t="s">
        <v>461</v>
      </c>
      <c r="F37" s="4" t="s">
        <v>462</v>
      </c>
      <c r="G37" s="4" t="s">
        <v>463</v>
      </c>
      <c r="H37" s="4" t="s">
        <v>464</v>
      </c>
      <c r="I37" s="4" t="s">
        <v>465</v>
      </c>
      <c r="J37" s="4" t="s">
        <v>466</v>
      </c>
      <c r="K37" s="4" t="s">
        <v>467</v>
      </c>
      <c r="L37" s="4" t="s">
        <v>468</v>
      </c>
      <c r="M37" s="4" t="s">
        <v>469</v>
      </c>
      <c r="N37" s="4" t="s">
        <v>470</v>
      </c>
      <c r="O37" s="4" t="s">
        <v>215</v>
      </c>
      <c r="P37" s="4" t="s">
        <v>471</v>
      </c>
      <c r="Q37" s="4" t="s">
        <v>472</v>
      </c>
      <c r="R37" s="4" t="s">
        <v>31</v>
      </c>
    </row>
    <row r="38" spans="1:48" ht="25.5" x14ac:dyDescent="0.45">
      <c r="A38" s="32" t="s">
        <v>230</v>
      </c>
      <c r="B38" s="7">
        <f>INDEX(BT_Tau,MATCH($A$38,BT_Code,0))</f>
        <v>20</v>
      </c>
      <c r="C38" s="7">
        <f>B38*INDEX(BT_Flag,MATCH($A$38,BT_Code,0))</f>
        <v>0</v>
      </c>
      <c r="D38" s="7">
        <f>INDEX(BT_Theta,MATCH($A$38,BT_Code,0))*B38</f>
        <v>0</v>
      </c>
      <c r="E38" s="7">
        <f>INDEX(BT_Phi,MATCH($A$38,BT_Code,0))*SigmaEff</f>
        <v>0</v>
      </c>
      <c r="F38" s="7">
        <v>1</v>
      </c>
      <c r="G38" s="7">
        <f>INDEX(BT_Flag,MATCH($A$38,BT_Code,0))</f>
        <v>0</v>
      </c>
      <c r="H38" s="33">
        <f>IF(Mode="PROTOTYPE",1,EXP(Bf*(F38*B38+E38)))</f>
        <v>0.95131317563947027</v>
      </c>
      <c r="I38" s="7">
        <f>CBFsel</f>
        <v>0.48499999999999999</v>
      </c>
      <c r="J38" s="7">
        <f>PEU</f>
        <v>100</v>
      </c>
      <c r="K38" s="7">
        <f>Ssel</f>
        <v>1</v>
      </c>
      <c r="L38" s="7">
        <f>CBFyr</f>
        <v>0.48499999999999999</v>
      </c>
      <c r="M38" s="7">
        <v>1</v>
      </c>
      <c r="N38" s="7">
        <f>Yr</f>
        <v>2030</v>
      </c>
      <c r="O38" s="7" t="str">
        <f>INDEX(BT_Scen,MATCH($A$38,BT_Code,0))</f>
        <v>EG2</v>
      </c>
      <c r="P38" s="7">
        <f>Bf</f>
        <v>-2.4955979362141917E-3</v>
      </c>
      <c r="Q38" s="7" t="str">
        <f>BetaSet</f>
        <v>IPCC_CENTRAL</v>
      </c>
      <c r="R38" s="7" t="str">
        <f>Mode</f>
        <v>REBUILD</v>
      </c>
    </row>
    <row r="39" spans="1:48" ht="54" customHeight="1" x14ac:dyDescent="0.45">
      <c r="A39" s="4" t="s">
        <v>244</v>
      </c>
      <c r="B39" s="4" t="s">
        <v>473</v>
      </c>
      <c r="C39" s="4" t="s">
        <v>474</v>
      </c>
      <c r="D39" s="4" t="s">
        <v>475</v>
      </c>
      <c r="E39" s="4" t="s">
        <v>476</v>
      </c>
      <c r="F39" s="4" t="s">
        <v>477</v>
      </c>
      <c r="G39" s="4" t="s">
        <v>478</v>
      </c>
      <c r="H39" s="4" t="s">
        <v>479</v>
      </c>
      <c r="I39" s="4" t="s">
        <v>480</v>
      </c>
      <c r="J39" s="4" t="s">
        <v>481</v>
      </c>
      <c r="K39" s="4" t="s">
        <v>482</v>
      </c>
      <c r="L39" s="4" t="s">
        <v>483</v>
      </c>
      <c r="M39" s="4" t="s">
        <v>484</v>
      </c>
      <c r="N39" s="4" t="s">
        <v>485</v>
      </c>
      <c r="O39" s="4" t="s">
        <v>486</v>
      </c>
      <c r="P39" s="4" t="s">
        <v>487</v>
      </c>
      <c r="Q39" s="4" t="s">
        <v>488</v>
      </c>
      <c r="R39" s="4" t="s">
        <v>489</v>
      </c>
      <c r="S39" s="4" t="s">
        <v>490</v>
      </c>
      <c r="T39" s="4" t="s">
        <v>491</v>
      </c>
      <c r="U39" s="4" t="s">
        <v>492</v>
      </c>
      <c r="V39" s="4" t="s">
        <v>493</v>
      </c>
      <c r="W39" s="4" t="s">
        <v>494</v>
      </c>
      <c r="X39" s="4" t="s">
        <v>495</v>
      </c>
      <c r="Y39" s="4" t="s">
        <v>496</v>
      </c>
      <c r="Z39" s="4" t="s">
        <v>497</v>
      </c>
      <c r="AA39" s="4" t="s">
        <v>498</v>
      </c>
      <c r="AB39" s="4" t="s">
        <v>499</v>
      </c>
      <c r="AC39" s="4" t="s">
        <v>500</v>
      </c>
      <c r="AD39" s="4" t="s">
        <v>501</v>
      </c>
      <c r="AE39" s="4" t="s">
        <v>502</v>
      </c>
      <c r="AF39" s="4" t="s">
        <v>503</v>
      </c>
      <c r="AG39" s="4" t="s">
        <v>504</v>
      </c>
      <c r="AH39" s="4" t="s">
        <v>505</v>
      </c>
      <c r="AI39" s="4" t="s">
        <v>506</v>
      </c>
      <c r="AJ39" s="4" t="s">
        <v>507</v>
      </c>
      <c r="AK39" s="4" t="s">
        <v>508</v>
      </c>
      <c r="AL39" s="4" t="s">
        <v>509</v>
      </c>
      <c r="AM39" s="4" t="s">
        <v>510</v>
      </c>
      <c r="AN39" s="4" t="s">
        <v>511</v>
      </c>
      <c r="AO39" s="4" t="s">
        <v>512</v>
      </c>
      <c r="AP39" s="4" t="s">
        <v>513</v>
      </c>
      <c r="AQ39" s="4" t="s">
        <v>514</v>
      </c>
      <c r="AR39" s="4" t="s">
        <v>515</v>
      </c>
      <c r="AS39" s="4" t="s">
        <v>516</v>
      </c>
      <c r="AT39" s="4" t="s">
        <v>517</v>
      </c>
      <c r="AU39" s="4" t="s">
        <v>518</v>
      </c>
      <c r="AV39" s="4" t="s">
        <v>519</v>
      </c>
    </row>
    <row r="40" spans="1:48" x14ac:dyDescent="0.45">
      <c r="A40" s="34" t="str">
        <f>Inputs!$A$83</f>
        <v>DRI-EAF steel</v>
      </c>
      <c r="B40" s="35">
        <f>Inputs!$B$83</f>
        <v>5100</v>
      </c>
      <c r="C40" s="35">
        <f>Inputs!$C$83</f>
        <v>4.3999999999999997E-2</v>
      </c>
      <c r="D40" s="35">
        <f>Inputs!$D$83</f>
        <v>580</v>
      </c>
      <c r="E40" s="35">
        <f>Inputs!$E$83</f>
        <v>750</v>
      </c>
      <c r="F40" s="35">
        <f>Inputs!$J$83</f>
        <v>0.57099076999999998</v>
      </c>
      <c r="G40" s="35">
        <f>Inputs!$K$83</f>
        <v>3.7901020000000001E-2</v>
      </c>
      <c r="H40" s="35">
        <f>Inputs!$Q$83</f>
        <v>3.4469507031574592E-3</v>
      </c>
      <c r="I40" s="35">
        <f t="shared" ref="I40:I47" si="76">B40*(1+C40)^($N$38-BaseYr)</f>
        <v>6603.4845807876563</v>
      </c>
      <c r="J40" s="35">
        <f t="shared" ref="J40:J47" si="77">$F$38*$B$38*F40</f>
        <v>11.419815399999999</v>
      </c>
      <c r="K40" s="35">
        <f t="shared" ref="K40:K47" si="78">$G$38*$C$38*G40</f>
        <v>0</v>
      </c>
      <c r="L40" s="35">
        <f t="shared" ref="L40:L47" si="79">MIN($D$38,$B$38)*$F$38*F40+MIN($D$38,$C$38)*$G$38*G40</f>
        <v>0</v>
      </c>
      <c r="M40" s="35">
        <f t="shared" ref="M40:M47" si="80">IF(E40&gt;0,(J40+K40-L40)/E40,0)</f>
        <v>1.5226420533333332E-2</v>
      </c>
      <c r="N40" s="35">
        <f>I40*(1+M40)^EpsQ1</f>
        <v>6563.6891261590508</v>
      </c>
      <c r="O40" s="35">
        <f t="shared" ref="O40:O47" si="81">N40*F40/1000</f>
        <v>3.7478059081861832</v>
      </c>
      <c r="P40" s="35">
        <f t="shared" ref="P40:P47" si="82">N40*G40/1000</f>
        <v>0.24877051284433671</v>
      </c>
      <c r="Q40" s="35">
        <f t="shared" ref="Q40:Q47" si="83">O40*($H$38-1)</f>
        <v>-0.18246876798921632</v>
      </c>
      <c r="R40" s="35">
        <f t="shared" ref="R40:R47" si="84">-P40*(1-EXP(-H40*($G$38*$C$38+$E$38)))</f>
        <v>0</v>
      </c>
      <c r="S40" s="35">
        <f t="shared" ref="S40:T47" si="85">O40+Q40</f>
        <v>3.5653371401969669</v>
      </c>
      <c r="T40" s="35">
        <f t="shared" si="85"/>
        <v>0.24877051284433671</v>
      </c>
      <c r="U40" s="35">
        <f t="shared" ref="U40:U47" si="86">S40+T40</f>
        <v>3.8141076530413036</v>
      </c>
      <c r="V40" s="35">
        <f>(O40+P40)*(1-(1+M40)^(-EpsQ1))</f>
        <v>-2.423112560267552E-2</v>
      </c>
      <c r="W40" s="35">
        <f>P40*(1-(1+M40)^(-EpsQ1))</f>
        <v>-1.508288321787878E-3</v>
      </c>
      <c r="X40" s="35">
        <f t="shared" ref="X40:X47" si="87">IF(G40&gt;0,1,0)</f>
        <v>1</v>
      </c>
      <c r="Y40" s="35">
        <f t="shared" ref="Y40:Y47" si="88">S40*$F$38*$B$38</f>
        <v>71.306742803939343</v>
      </c>
      <c r="Z40" s="35">
        <f t="shared" ref="Z40:Z47" si="89">(P40*X40+R40)*$G$38*$C$38</f>
        <v>0</v>
      </c>
      <c r="AA40" s="35">
        <f t="shared" ref="AA40:AA47" si="90">Y40+Z40</f>
        <v>71.306742803939343</v>
      </c>
      <c r="AB40" s="35">
        <f t="shared" ref="AB40:AB47" si="91">L40*N40/1000</f>
        <v>0</v>
      </c>
      <c r="AC40" s="35">
        <f t="shared" ref="AC40:AC47" si="92">IF(N40&gt;0,U40*1000/N40,0)</f>
        <v>0.5810920626695264</v>
      </c>
      <c r="AD40" s="35">
        <f t="shared" ref="AD40:AD47" si="93">IF(N40&gt;0,AA40*1000/N40-L40,0)</f>
        <v>10.863820853390527</v>
      </c>
      <c r="AE40" s="35">
        <f t="shared" ref="AE40:AE47" si="94">MAX(0,$I$38*$J$38*AC40-$K$38*MAX(0,AD40))</f>
        <v>17.319144186081502</v>
      </c>
      <c r="AF40" s="35">
        <f t="shared" ref="AF40:AF47" si="95">MAX(0,$L$38*$J$38*AC40-MAX(0,AD40))</f>
        <v>17.319144186081502</v>
      </c>
      <c r="AG40" s="35">
        <f t="shared" ref="AG40:AG47" si="96">MAX(0,$M$38*$J$38*AC40-MAX(0,AD40))</f>
        <v>47.245385413562111</v>
      </c>
      <c r="AH40" s="35">
        <f t="shared" ref="AH40:AH47" si="97">IF(B40&gt;0,D40*N40/B40*AE40/1000,0)</f>
        <v>12.928026951719032</v>
      </c>
      <c r="AI40" s="35">
        <f t="shared" ref="AI40:AI47" si="98">D40*(1+C40)^($N$38-BaseYr)*$I$38*$J$38*(F40+G40)/1000</f>
        <v>22.177512997410155</v>
      </c>
      <c r="AJ40" s="35">
        <f t="shared" ref="AJ40:AJ47" si="99">D40*$I$38*$J$38*(F40+G40)</f>
        <v>17128.126052699998</v>
      </c>
      <c r="AK40" s="35">
        <f t="shared" ref="AK40:AK47" si="100">D40*$L$38*$J$38*(F40+G40)</f>
        <v>17128.126052699998</v>
      </c>
      <c r="AL40" s="35">
        <f t="shared" ref="AL40:AL47" si="101">D40*$M$38*$J$38*(F40+G40)</f>
        <v>35315.723819999999</v>
      </c>
      <c r="AM40" s="35">
        <f t="shared" ref="AM40:AM47" si="102">D40*AE40</f>
        <v>10045.10362792727</v>
      </c>
      <c r="AN40" s="35">
        <f t="shared" ref="AN40:AN47" si="103">D40*AF40</f>
        <v>10045.10362792727</v>
      </c>
      <c r="AO40" s="35">
        <f t="shared" ref="AO40:AO47" si="104">D40*AG40</f>
        <v>27402.323539866025</v>
      </c>
      <c r="AP40" s="35">
        <f t="shared" ref="AP40:AP47" si="105">IF(N40&gt;0,D40*U40/N40,0)</f>
        <v>0.3370333963483253</v>
      </c>
      <c r="AQ40" s="35">
        <f t="shared" ref="AQ40:AQ47" si="106">IF(N40&gt;0,D40*(O40+P40)/N40,0)</f>
        <v>0.3531572382</v>
      </c>
      <c r="AR40" s="35">
        <f t="shared" ref="AR40:AR47" si="107">IF(N40&gt;0,D40*AS40/N40,0)</f>
        <v>0.33117464659999996</v>
      </c>
      <c r="AS40" s="35">
        <f t="shared" ref="AS40:AS47" si="108">O40*IF($F$38&gt;0,1,0)+P40*X40*IF($G$38&gt;0,1,0)</f>
        <v>3.7478059081861832</v>
      </c>
      <c r="AT40" s="35">
        <f t="shared" ref="AT40:AT47" si="109">I40*(F40+G40)/1000</f>
        <v>4.0208075466331952</v>
      </c>
      <c r="AU40" s="35">
        <f t="shared" ref="AU40:AU47" si="110">I40*F40/1000</f>
        <v>3.7705287454670713</v>
      </c>
      <c r="AV40" s="35">
        <f t="shared" ref="AV40:AV47" si="111">I40*G40/1000</f>
        <v>0.25027880116612461</v>
      </c>
    </row>
    <row r="41" spans="1:48" x14ac:dyDescent="0.45">
      <c r="A41" s="34" t="str">
        <f>Inputs!$A$84</f>
        <v>Scrap-EAF steel</v>
      </c>
      <c r="B41" s="35">
        <f>Inputs!$B$84</f>
        <v>4800</v>
      </c>
      <c r="C41" s="35">
        <f>Inputs!$C$84</f>
        <v>4.3999999999999997E-2</v>
      </c>
      <c r="D41" s="35">
        <f>Inputs!$D$84</f>
        <v>300</v>
      </c>
      <c r="E41" s="35">
        <f>Inputs!$E$84</f>
        <v>680</v>
      </c>
      <c r="F41" s="35">
        <f>Inputs!$J$84</f>
        <v>4.4880000000000003E-2</v>
      </c>
      <c r="G41" s="35">
        <f>Inputs!$K$84</f>
        <v>4.3981149999999997E-2</v>
      </c>
      <c r="H41" s="35">
        <f>Inputs!$Q$84</f>
        <v>1.6366491404021942E-3</v>
      </c>
      <c r="I41" s="35">
        <f t="shared" si="76"/>
        <v>6215.0443113295587</v>
      </c>
      <c r="J41" s="35">
        <f t="shared" si="77"/>
        <v>0.89760000000000006</v>
      </c>
      <c r="K41" s="35">
        <f t="shared" si="78"/>
        <v>0</v>
      </c>
      <c r="L41" s="35">
        <f t="shared" si="79"/>
        <v>0</v>
      </c>
      <c r="M41" s="35">
        <f t="shared" si="80"/>
        <v>1.32E-3</v>
      </c>
      <c r="N41" s="35">
        <f>I41*(1+M41)^EpsQ2</f>
        <v>6211.7657968809172</v>
      </c>
      <c r="O41" s="35">
        <f t="shared" si="81"/>
        <v>0.2787840489640156</v>
      </c>
      <c r="P41" s="35">
        <f t="shared" si="82"/>
        <v>0.27320060327748913</v>
      </c>
      <c r="Q41" s="35">
        <f t="shared" si="83"/>
        <v>-1.3573110026428348E-2</v>
      </c>
      <c r="R41" s="35">
        <f t="shared" si="84"/>
        <v>0</v>
      </c>
      <c r="S41" s="35">
        <f t="shared" si="85"/>
        <v>0.26521093893758724</v>
      </c>
      <c r="T41" s="35">
        <f t="shared" si="85"/>
        <v>0.27320060327748913</v>
      </c>
      <c r="U41" s="35">
        <f t="shared" si="86"/>
        <v>0.53841154221507637</v>
      </c>
      <c r="V41" s="35">
        <f>(O41+P41)*(1-(1+M41)^(-EpsQ2))</f>
        <v>-2.9133256419789386E-4</v>
      </c>
      <c r="W41" s="35">
        <f>P41*(1-(1+M41)^(-EpsQ2))</f>
        <v>-1.4419283574286623E-4</v>
      </c>
      <c r="X41" s="35">
        <f t="shared" si="87"/>
        <v>1</v>
      </c>
      <c r="Y41" s="35">
        <f t="shared" si="88"/>
        <v>5.3042187787517445</v>
      </c>
      <c r="Z41" s="35">
        <f t="shared" si="89"/>
        <v>0</v>
      </c>
      <c r="AA41" s="35">
        <f t="shared" si="90"/>
        <v>5.3042187787517445</v>
      </c>
      <c r="AB41" s="35">
        <f t="shared" si="91"/>
        <v>0</v>
      </c>
      <c r="AC41" s="35">
        <f t="shared" si="92"/>
        <v>8.6676085322699423E-2</v>
      </c>
      <c r="AD41" s="35">
        <f t="shared" si="93"/>
        <v>0.85389870645398847</v>
      </c>
      <c r="AE41" s="35">
        <f t="shared" si="94"/>
        <v>3.3498914316969337</v>
      </c>
      <c r="AF41" s="35">
        <f t="shared" si="95"/>
        <v>3.3498914316969337</v>
      </c>
      <c r="AG41" s="35">
        <f t="shared" si="96"/>
        <v>7.8137098258159527</v>
      </c>
      <c r="AH41" s="35">
        <f t="shared" si="97"/>
        <v>1.3005463136674662</v>
      </c>
      <c r="AI41" s="35">
        <f t="shared" si="98"/>
        <v>1.6740865789422863</v>
      </c>
      <c r="AJ41" s="35">
        <f t="shared" si="99"/>
        <v>1292.9297325</v>
      </c>
      <c r="AK41" s="35">
        <f t="shared" si="100"/>
        <v>1292.9297325</v>
      </c>
      <c r="AL41" s="35">
        <f t="shared" si="101"/>
        <v>2665.8344999999999</v>
      </c>
      <c r="AM41" s="35">
        <f t="shared" si="102"/>
        <v>1004.9674295090801</v>
      </c>
      <c r="AN41" s="35">
        <f t="shared" si="103"/>
        <v>1004.9674295090801</v>
      </c>
      <c r="AO41" s="35">
        <f t="shared" si="104"/>
        <v>2344.1129477447857</v>
      </c>
      <c r="AP41" s="35">
        <f t="shared" si="105"/>
        <v>2.6002825596809831E-2</v>
      </c>
      <c r="AQ41" s="35">
        <f t="shared" si="106"/>
        <v>2.6658345E-2</v>
      </c>
      <c r="AR41" s="35">
        <f t="shared" si="107"/>
        <v>1.3464E-2</v>
      </c>
      <c r="AS41" s="35">
        <f t="shared" si="108"/>
        <v>0.2787840489640156</v>
      </c>
      <c r="AT41" s="35">
        <f t="shared" si="109"/>
        <v>0.55227598480570261</v>
      </c>
      <c r="AU41" s="35">
        <f t="shared" si="110"/>
        <v>0.27893118869247063</v>
      </c>
      <c r="AV41" s="35">
        <f t="shared" si="111"/>
        <v>0.27334479611323198</v>
      </c>
    </row>
    <row r="42" spans="1:48" x14ac:dyDescent="0.45">
      <c r="A42" s="34" t="str">
        <f>Inputs!$A$85</f>
        <v>BF-BOF steel</v>
      </c>
      <c r="B42" s="35">
        <f>Inputs!$B$85</f>
        <v>0</v>
      </c>
      <c r="C42" s="35">
        <f>Inputs!$C$85</f>
        <v>0</v>
      </c>
      <c r="D42" s="35">
        <f>Inputs!$D$85</f>
        <v>0</v>
      </c>
      <c r="E42" s="35">
        <f>Inputs!$E$85</f>
        <v>620</v>
      </c>
      <c r="F42" s="35">
        <f>Inputs!$J$85</f>
        <v>1.4249802699999998</v>
      </c>
      <c r="G42" s="35">
        <f>Inputs!$K$85</f>
        <v>5.276542E-2</v>
      </c>
      <c r="H42" s="35">
        <f>Inputs!$Q$85</f>
        <v>2.6960722989211347E-3</v>
      </c>
      <c r="I42" s="35">
        <f t="shared" si="76"/>
        <v>0</v>
      </c>
      <c r="J42" s="35">
        <f t="shared" si="77"/>
        <v>28.499605399999997</v>
      </c>
      <c r="K42" s="35">
        <f t="shared" si="78"/>
        <v>0</v>
      </c>
      <c r="L42" s="35">
        <f t="shared" si="79"/>
        <v>0</v>
      </c>
      <c r="M42" s="35">
        <f t="shared" si="80"/>
        <v>4.5967105483870965E-2</v>
      </c>
      <c r="N42" s="35">
        <f>I42*(1+M42)^EpsQ3</f>
        <v>0</v>
      </c>
      <c r="O42" s="35">
        <f t="shared" si="81"/>
        <v>0</v>
      </c>
      <c r="P42" s="35">
        <f t="shared" si="82"/>
        <v>0</v>
      </c>
      <c r="Q42" s="35">
        <f t="shared" si="83"/>
        <v>0</v>
      </c>
      <c r="R42" s="35">
        <f t="shared" si="84"/>
        <v>0</v>
      </c>
      <c r="S42" s="35">
        <f t="shared" si="85"/>
        <v>0</v>
      </c>
      <c r="T42" s="35">
        <f t="shared" si="85"/>
        <v>0</v>
      </c>
      <c r="U42" s="35">
        <f t="shared" si="86"/>
        <v>0</v>
      </c>
      <c r="V42" s="35">
        <f>(O42+P42)*(1-(1+M42)^(-EpsQ3))</f>
        <v>0</v>
      </c>
      <c r="W42" s="35">
        <f>P42*(1-(1+M42)^(-EpsQ3))</f>
        <v>0</v>
      </c>
      <c r="X42" s="35">
        <f t="shared" si="87"/>
        <v>1</v>
      </c>
      <c r="Y42" s="35">
        <f t="shared" si="88"/>
        <v>0</v>
      </c>
      <c r="Z42" s="35">
        <f t="shared" si="89"/>
        <v>0</v>
      </c>
      <c r="AA42" s="35">
        <f t="shared" si="90"/>
        <v>0</v>
      </c>
      <c r="AB42" s="35">
        <f t="shared" si="91"/>
        <v>0</v>
      </c>
      <c r="AC42" s="35">
        <f t="shared" si="92"/>
        <v>0</v>
      </c>
      <c r="AD42" s="35">
        <f t="shared" si="93"/>
        <v>0</v>
      </c>
      <c r="AE42" s="35">
        <f t="shared" si="94"/>
        <v>0</v>
      </c>
      <c r="AF42" s="35">
        <f t="shared" si="95"/>
        <v>0</v>
      </c>
      <c r="AG42" s="35">
        <f t="shared" si="96"/>
        <v>0</v>
      </c>
      <c r="AH42" s="35">
        <f t="shared" si="97"/>
        <v>0</v>
      </c>
      <c r="AI42" s="35">
        <f t="shared" si="98"/>
        <v>0</v>
      </c>
      <c r="AJ42" s="35">
        <f t="shared" si="99"/>
        <v>0</v>
      </c>
      <c r="AK42" s="35">
        <f t="shared" si="100"/>
        <v>0</v>
      </c>
      <c r="AL42" s="35">
        <f t="shared" si="101"/>
        <v>0</v>
      </c>
      <c r="AM42" s="35">
        <f t="shared" si="102"/>
        <v>0</v>
      </c>
      <c r="AN42" s="35">
        <f t="shared" si="103"/>
        <v>0</v>
      </c>
      <c r="AO42" s="35">
        <f t="shared" si="104"/>
        <v>0</v>
      </c>
      <c r="AP42" s="35">
        <f t="shared" si="105"/>
        <v>0</v>
      </c>
      <c r="AQ42" s="35">
        <f t="shared" si="106"/>
        <v>0</v>
      </c>
      <c r="AR42" s="35">
        <f t="shared" si="107"/>
        <v>0</v>
      </c>
      <c r="AS42" s="35">
        <f t="shared" si="108"/>
        <v>0</v>
      </c>
      <c r="AT42" s="35">
        <f t="shared" si="109"/>
        <v>0</v>
      </c>
      <c r="AU42" s="35">
        <f t="shared" si="110"/>
        <v>0</v>
      </c>
      <c r="AV42" s="35">
        <f t="shared" si="111"/>
        <v>0</v>
      </c>
    </row>
    <row r="43" spans="1:48" x14ac:dyDescent="0.45">
      <c r="A43" s="34" t="str">
        <f>Inputs!$A$86</f>
        <v>Clinker</v>
      </c>
      <c r="B43" s="35">
        <f>Inputs!$B$86</f>
        <v>50000</v>
      </c>
      <c r="C43" s="35">
        <f>Inputs!$C$86</f>
        <v>3.3000000000000002E-2</v>
      </c>
      <c r="D43" s="35">
        <f>Inputs!$D$86</f>
        <v>800</v>
      </c>
      <c r="E43" s="35">
        <f>Inputs!$E$86</f>
        <v>110</v>
      </c>
      <c r="F43" s="35">
        <f>Inputs!$J$86</f>
        <v>0.31356850000000003</v>
      </c>
      <c r="G43" s="35">
        <f>Inputs!$K$86</f>
        <v>0.53702616000000003</v>
      </c>
      <c r="H43" s="35">
        <f>Inputs!$Q$86</f>
        <v>3.3464675036139224E-3</v>
      </c>
      <c r="I43" s="35">
        <f t="shared" si="76"/>
        <v>60753.588245941261</v>
      </c>
      <c r="J43" s="35">
        <f t="shared" si="77"/>
        <v>6.271370000000001</v>
      </c>
      <c r="K43" s="35">
        <f t="shared" si="78"/>
        <v>0</v>
      </c>
      <c r="L43" s="35">
        <f t="shared" si="79"/>
        <v>0</v>
      </c>
      <c r="M43" s="35">
        <f t="shared" si="80"/>
        <v>5.7012454545454554E-2</v>
      </c>
      <c r="N43" s="35">
        <f>I43*(1+M43)^EpsQ4</f>
        <v>60417.663079400758</v>
      </c>
      <c r="O43" s="35">
        <f t="shared" si="81"/>
        <v>18.945075985313078</v>
      </c>
      <c r="P43" s="35">
        <f t="shared" si="82"/>
        <v>32.445865599704362</v>
      </c>
      <c r="Q43" s="35">
        <f t="shared" si="83"/>
        <v>-0.9223755869938276</v>
      </c>
      <c r="R43" s="35">
        <f t="shared" si="84"/>
        <v>0</v>
      </c>
      <c r="S43" s="35">
        <f t="shared" si="85"/>
        <v>18.022700398319252</v>
      </c>
      <c r="T43" s="35">
        <f t="shared" si="85"/>
        <v>32.445865599704362</v>
      </c>
      <c r="U43" s="35">
        <f t="shared" si="86"/>
        <v>50.468565998023614</v>
      </c>
      <c r="V43" s="35">
        <f>(O43+P43)*(1-(1+M43)^(-EpsQ4))</f>
        <v>-0.28573615281896092</v>
      </c>
      <c r="W43" s="35">
        <f>P43*(1-(1+M43)^(-EpsQ4))</f>
        <v>-0.18040060223460577</v>
      </c>
      <c r="X43" s="35">
        <f t="shared" si="87"/>
        <v>1</v>
      </c>
      <c r="Y43" s="35">
        <f t="shared" si="88"/>
        <v>360.45400796638501</v>
      </c>
      <c r="Z43" s="35">
        <f t="shared" si="89"/>
        <v>0</v>
      </c>
      <c r="AA43" s="35">
        <f t="shared" si="90"/>
        <v>360.45400796638501</v>
      </c>
      <c r="AB43" s="35">
        <f t="shared" si="91"/>
        <v>0</v>
      </c>
      <c r="AC43" s="35">
        <f t="shared" si="92"/>
        <v>0.83532800551550523</v>
      </c>
      <c r="AD43" s="35">
        <f t="shared" si="93"/>
        <v>5.9660369103101045</v>
      </c>
      <c r="AE43" s="35">
        <f t="shared" si="94"/>
        <v>34.547371357191899</v>
      </c>
      <c r="AF43" s="35">
        <f t="shared" si="95"/>
        <v>34.547371357191899</v>
      </c>
      <c r="AG43" s="35">
        <f t="shared" si="96"/>
        <v>77.566763641240414</v>
      </c>
      <c r="AH43" s="35">
        <f t="shared" si="97"/>
        <v>33.396343087004162</v>
      </c>
      <c r="AI43" s="35">
        <f t="shared" si="98"/>
        <v>40.10110192456105</v>
      </c>
      <c r="AJ43" s="35">
        <f t="shared" si="99"/>
        <v>33003.072808000004</v>
      </c>
      <c r="AK43" s="35">
        <f t="shared" si="100"/>
        <v>33003.072808000004</v>
      </c>
      <c r="AL43" s="35">
        <f t="shared" si="101"/>
        <v>68047.572800000009</v>
      </c>
      <c r="AM43" s="35">
        <f t="shared" si="102"/>
        <v>27637.897085753521</v>
      </c>
      <c r="AN43" s="35">
        <f t="shared" si="103"/>
        <v>27637.897085753521</v>
      </c>
      <c r="AO43" s="35">
        <f t="shared" si="104"/>
        <v>62053.410912992331</v>
      </c>
      <c r="AP43" s="35">
        <f t="shared" si="105"/>
        <v>0.66826240441240425</v>
      </c>
      <c r="AQ43" s="35">
        <f t="shared" si="106"/>
        <v>0.680475728</v>
      </c>
      <c r="AR43" s="35">
        <f t="shared" si="107"/>
        <v>0.25085480000000004</v>
      </c>
      <c r="AS43" s="35">
        <f t="shared" si="108"/>
        <v>18.945075985313078</v>
      </c>
      <c r="AT43" s="35">
        <f t="shared" si="109"/>
        <v>51.676677737836407</v>
      </c>
      <c r="AU43" s="35">
        <f t="shared" si="110"/>
        <v>19.050411535897435</v>
      </c>
      <c r="AV43" s="35">
        <f t="shared" si="111"/>
        <v>32.626266201938975</v>
      </c>
    </row>
    <row r="44" spans="1:48" x14ac:dyDescent="0.45">
      <c r="A44" s="34" t="str">
        <f>Inputs!$A$87</f>
        <v>Ammonia</v>
      </c>
      <c r="B44" s="35">
        <f>Inputs!$B$87</f>
        <v>1785</v>
      </c>
      <c r="C44" s="35">
        <f>Inputs!$C$87</f>
        <v>2.1999999999999999E-2</v>
      </c>
      <c r="D44" s="35">
        <f>Inputs!$D$87</f>
        <v>120</v>
      </c>
      <c r="E44" s="35">
        <f>Inputs!$E$87</f>
        <v>450</v>
      </c>
      <c r="F44" s="35">
        <f>Inputs!$J$87</f>
        <v>1.97472</v>
      </c>
      <c r="G44" s="35">
        <f>Inputs!$K$87</f>
        <v>0</v>
      </c>
      <c r="H44" s="35">
        <f>Inputs!$Q$87</f>
        <v>2.8931765504132002E-3</v>
      </c>
      <c r="I44" s="35">
        <f t="shared" si="76"/>
        <v>2033.9655612021818</v>
      </c>
      <c r="J44" s="35">
        <f t="shared" si="77"/>
        <v>39.494399999999999</v>
      </c>
      <c r="K44" s="35">
        <f t="shared" si="78"/>
        <v>0</v>
      </c>
      <c r="L44" s="35">
        <f t="shared" si="79"/>
        <v>0</v>
      </c>
      <c r="M44" s="35">
        <f t="shared" si="80"/>
        <v>8.7765333333333334E-2</v>
      </c>
      <c r="N44" s="35">
        <f>I44*(1+M44)^EpsQ5</f>
        <v>1966.6610186418877</v>
      </c>
      <c r="O44" s="35">
        <f t="shared" si="81"/>
        <v>3.8836048467325086</v>
      </c>
      <c r="P44" s="35">
        <f t="shared" si="82"/>
        <v>0</v>
      </c>
      <c r="Q44" s="35">
        <f t="shared" si="83"/>
        <v>-0.18908038705856764</v>
      </c>
      <c r="R44" s="35">
        <f t="shared" si="84"/>
        <v>0</v>
      </c>
      <c r="S44" s="35">
        <f t="shared" si="85"/>
        <v>3.6945244596739411</v>
      </c>
      <c r="T44" s="35">
        <f t="shared" si="85"/>
        <v>0</v>
      </c>
      <c r="U44" s="35">
        <f t="shared" si="86"/>
        <v>3.6945244596739411</v>
      </c>
      <c r="V44" s="35">
        <f>(O44+P44)*(1-(1+M44)^(-EpsQ5))</f>
        <v>-0.1329076262846639</v>
      </c>
      <c r="W44" s="35">
        <f>P44*(1-(1+M44)^(-EpsQ5))</f>
        <v>0</v>
      </c>
      <c r="X44" s="35">
        <f t="shared" si="87"/>
        <v>0</v>
      </c>
      <c r="Y44" s="35">
        <f t="shared" si="88"/>
        <v>73.890489193478828</v>
      </c>
      <c r="Z44" s="35">
        <f t="shared" si="89"/>
        <v>0</v>
      </c>
      <c r="AA44" s="35">
        <f t="shared" si="90"/>
        <v>73.890489193478828</v>
      </c>
      <c r="AB44" s="35">
        <f t="shared" si="91"/>
        <v>0</v>
      </c>
      <c r="AC44" s="35">
        <f t="shared" si="92"/>
        <v>1.8785771541987748</v>
      </c>
      <c r="AD44" s="35">
        <f t="shared" si="93"/>
        <v>37.571543083975499</v>
      </c>
      <c r="AE44" s="35">
        <f t="shared" si="94"/>
        <v>53.539448894665085</v>
      </c>
      <c r="AF44" s="35">
        <f t="shared" si="95"/>
        <v>53.539448894665085</v>
      </c>
      <c r="AG44" s="35">
        <f t="shared" si="96"/>
        <v>150.28617233590199</v>
      </c>
      <c r="AH44" s="35">
        <f t="shared" si="97"/>
        <v>7.0785846790391478</v>
      </c>
      <c r="AI44" s="35">
        <f t="shared" si="98"/>
        <v>13.095855794375316</v>
      </c>
      <c r="AJ44" s="35">
        <f t="shared" si="99"/>
        <v>11492.8704</v>
      </c>
      <c r="AK44" s="35">
        <f t="shared" si="100"/>
        <v>11492.8704</v>
      </c>
      <c r="AL44" s="35">
        <f t="shared" si="101"/>
        <v>23696.639999999999</v>
      </c>
      <c r="AM44" s="35">
        <f t="shared" si="102"/>
        <v>6424.7338673598106</v>
      </c>
      <c r="AN44" s="35">
        <f t="shared" si="103"/>
        <v>6424.7338673598106</v>
      </c>
      <c r="AO44" s="35">
        <f t="shared" si="104"/>
        <v>18034.34068030824</v>
      </c>
      <c r="AP44" s="35">
        <f t="shared" si="105"/>
        <v>0.22542925850385298</v>
      </c>
      <c r="AQ44" s="35">
        <f t="shared" si="106"/>
        <v>0.23696639999999999</v>
      </c>
      <c r="AR44" s="35">
        <f t="shared" si="107"/>
        <v>0.23696639999999999</v>
      </c>
      <c r="AS44" s="35">
        <f t="shared" si="108"/>
        <v>3.8836048467325086</v>
      </c>
      <c r="AT44" s="35">
        <f t="shared" si="109"/>
        <v>4.0165124730171726</v>
      </c>
      <c r="AU44" s="35">
        <f t="shared" si="110"/>
        <v>4.0165124730171726</v>
      </c>
      <c r="AV44" s="35">
        <f t="shared" si="111"/>
        <v>0</v>
      </c>
    </row>
    <row r="45" spans="1:48" x14ac:dyDescent="0.45">
      <c r="A45" s="34" t="str">
        <f>Inputs!$A$88</f>
        <v>Urea</v>
      </c>
      <c r="B45" s="35">
        <f>Inputs!$B$88</f>
        <v>2800</v>
      </c>
      <c r="C45" s="35">
        <f>Inputs!$C$88</f>
        <v>2.1999999999999999E-2</v>
      </c>
      <c r="D45" s="35">
        <f>Inputs!$D$88</f>
        <v>1600</v>
      </c>
      <c r="E45" s="35">
        <f>Inputs!$E$88</f>
        <v>380</v>
      </c>
      <c r="F45" s="35">
        <f>Inputs!$J$88</f>
        <v>0.11219999999999999</v>
      </c>
      <c r="G45" s="35">
        <f>Inputs!$K$88</f>
        <v>0</v>
      </c>
      <c r="H45" s="35">
        <f>Inputs!$Q$88</f>
        <v>1.008786865491756E-3</v>
      </c>
      <c r="I45" s="35">
        <f t="shared" si="76"/>
        <v>3190.534213650481</v>
      </c>
      <c r="J45" s="35">
        <f t="shared" si="77"/>
        <v>2.2439999999999998</v>
      </c>
      <c r="K45" s="35">
        <f t="shared" si="78"/>
        <v>0</v>
      </c>
      <c r="L45" s="35">
        <f t="shared" si="79"/>
        <v>0</v>
      </c>
      <c r="M45" s="35">
        <f t="shared" si="80"/>
        <v>5.9052631578947364E-3</v>
      </c>
      <c r="N45" s="35">
        <f>I45*(1+M45)^EpsQ6</f>
        <v>3183.0288425590215</v>
      </c>
      <c r="O45" s="35">
        <f t="shared" si="81"/>
        <v>0.35713583613512218</v>
      </c>
      <c r="P45" s="35">
        <f t="shared" si="82"/>
        <v>0</v>
      </c>
      <c r="Q45" s="35">
        <f t="shared" si="83"/>
        <v>-1.738780972676162E-2</v>
      </c>
      <c r="R45" s="35">
        <f t="shared" si="84"/>
        <v>0</v>
      </c>
      <c r="S45" s="35">
        <f t="shared" si="85"/>
        <v>0.33974802640836055</v>
      </c>
      <c r="T45" s="35">
        <f t="shared" si="85"/>
        <v>0</v>
      </c>
      <c r="U45" s="35">
        <f t="shared" si="86"/>
        <v>0.33974802640836055</v>
      </c>
      <c r="V45" s="35">
        <f>(O45+P45)*(1-(1+M45)^(-EpsQ6))</f>
        <v>-8.4210263646177896E-4</v>
      </c>
      <c r="W45" s="35">
        <f>P45*(1-(1+M45)^(-EpsQ6))</f>
        <v>0</v>
      </c>
      <c r="X45" s="35">
        <f t="shared" si="87"/>
        <v>0</v>
      </c>
      <c r="Y45" s="35">
        <f t="shared" si="88"/>
        <v>6.794960528167211</v>
      </c>
      <c r="Z45" s="35">
        <f t="shared" si="89"/>
        <v>0</v>
      </c>
      <c r="AA45" s="35">
        <f t="shared" si="90"/>
        <v>6.794960528167211</v>
      </c>
      <c r="AB45" s="35">
        <f t="shared" si="91"/>
        <v>0</v>
      </c>
      <c r="AC45" s="35">
        <f t="shared" si="92"/>
        <v>0.10673733830674854</v>
      </c>
      <c r="AD45" s="35">
        <f t="shared" si="93"/>
        <v>2.1347467661349708</v>
      </c>
      <c r="AE45" s="35">
        <f t="shared" si="94"/>
        <v>3.0420141417423339</v>
      </c>
      <c r="AF45" s="35">
        <f t="shared" si="95"/>
        <v>3.0420141417423339</v>
      </c>
      <c r="AG45" s="35">
        <f t="shared" si="96"/>
        <v>8.5389870645398833</v>
      </c>
      <c r="AH45" s="35">
        <f t="shared" si="97"/>
        <v>5.5330392872218717</v>
      </c>
      <c r="AI45" s="35">
        <f t="shared" si="98"/>
        <v>9.9211028745267562</v>
      </c>
      <c r="AJ45" s="35">
        <f t="shared" si="99"/>
        <v>8706.7199999999993</v>
      </c>
      <c r="AK45" s="35">
        <f t="shared" si="100"/>
        <v>8706.7199999999993</v>
      </c>
      <c r="AL45" s="35">
        <f t="shared" si="101"/>
        <v>17952</v>
      </c>
      <c r="AM45" s="35">
        <f t="shared" si="102"/>
        <v>4867.222626787734</v>
      </c>
      <c r="AN45" s="35">
        <f t="shared" si="103"/>
        <v>4867.222626787734</v>
      </c>
      <c r="AO45" s="35">
        <f t="shared" si="104"/>
        <v>13662.379303263813</v>
      </c>
      <c r="AP45" s="35">
        <f t="shared" si="105"/>
        <v>0.17077974129079768</v>
      </c>
      <c r="AQ45" s="35">
        <f t="shared" si="106"/>
        <v>0.17951999999999999</v>
      </c>
      <c r="AR45" s="35">
        <f t="shared" si="107"/>
        <v>0.17951999999999999</v>
      </c>
      <c r="AS45" s="35">
        <f t="shared" si="108"/>
        <v>0.35713583613512218</v>
      </c>
      <c r="AT45" s="35">
        <f t="shared" si="109"/>
        <v>0.3579779387715839</v>
      </c>
      <c r="AU45" s="35">
        <f t="shared" si="110"/>
        <v>0.3579779387715839</v>
      </c>
      <c r="AV45" s="35">
        <f t="shared" si="111"/>
        <v>0</v>
      </c>
    </row>
    <row r="46" spans="1:48" x14ac:dyDescent="0.45">
      <c r="A46" s="34" t="str">
        <f>Inputs!$A$89</f>
        <v>Ammonium nitrate</v>
      </c>
      <c r="B46" s="35">
        <f>Inputs!$B$89</f>
        <v>600</v>
      </c>
      <c r="C46" s="35">
        <f>Inputs!$C$89</f>
        <v>2.1999999999999999E-2</v>
      </c>
      <c r="D46" s="35">
        <f>Inputs!$D$89</f>
        <v>80</v>
      </c>
      <c r="E46" s="35">
        <f>Inputs!$E$89</f>
        <v>320</v>
      </c>
      <c r="F46" s="35">
        <f>Inputs!$J$89</f>
        <v>0.11219999999999999</v>
      </c>
      <c r="G46" s="35">
        <f>Inputs!$K$89</f>
        <v>0.99441250000000003</v>
      </c>
      <c r="H46" s="35">
        <f>Inputs!$Q$89</f>
        <v>7.8858436436826454E-3</v>
      </c>
      <c r="I46" s="35">
        <f t="shared" si="76"/>
        <v>683.68590292510305</v>
      </c>
      <c r="J46" s="35">
        <f t="shared" si="77"/>
        <v>2.2439999999999998</v>
      </c>
      <c r="K46" s="35">
        <f t="shared" si="78"/>
        <v>0</v>
      </c>
      <c r="L46" s="35">
        <f t="shared" si="79"/>
        <v>0</v>
      </c>
      <c r="M46" s="35">
        <f t="shared" si="80"/>
        <v>7.0124999999999996E-3</v>
      </c>
      <c r="N46" s="35">
        <f>I46*(1+M46)^EpsQ7</f>
        <v>681.77752517049896</v>
      </c>
      <c r="O46" s="35">
        <f t="shared" si="81"/>
        <v>7.6495438324129972E-2</v>
      </c>
      <c r="P46" s="35">
        <f t="shared" si="82"/>
        <v>0.67796809324860885</v>
      </c>
      <c r="Q46" s="35">
        <f t="shared" si="83"/>
        <v>-3.7243199700686511E-3</v>
      </c>
      <c r="R46" s="35">
        <f t="shared" si="84"/>
        <v>0</v>
      </c>
      <c r="S46" s="35">
        <f t="shared" si="85"/>
        <v>7.2771118354061318E-2</v>
      </c>
      <c r="T46" s="35">
        <f t="shared" si="85"/>
        <v>0.67796809324860885</v>
      </c>
      <c r="U46" s="35">
        <f t="shared" si="86"/>
        <v>0.75073921160267021</v>
      </c>
      <c r="V46" s="35">
        <f>(O46+P46)*(1-(1+M46)^(-EpsQ7))</f>
        <v>-2.1118346779668228E-3</v>
      </c>
      <c r="W46" s="35">
        <f>P46*(1-(1+M46)^(-EpsQ7))</f>
        <v>-1.8977146939002435E-3</v>
      </c>
      <c r="X46" s="35">
        <f t="shared" si="87"/>
        <v>1</v>
      </c>
      <c r="Y46" s="35">
        <f t="shared" si="88"/>
        <v>1.4554223670812263</v>
      </c>
      <c r="Z46" s="35">
        <f t="shared" si="89"/>
        <v>0</v>
      </c>
      <c r="AA46" s="35">
        <f t="shared" si="90"/>
        <v>1.4554223670812263</v>
      </c>
      <c r="AB46" s="35">
        <f t="shared" si="91"/>
        <v>0</v>
      </c>
      <c r="AC46" s="35">
        <f t="shared" si="92"/>
        <v>1.1011498383067488</v>
      </c>
      <c r="AD46" s="35">
        <f t="shared" si="93"/>
        <v>2.1347467661349708</v>
      </c>
      <c r="AE46" s="35">
        <f t="shared" si="94"/>
        <v>51.271020391742347</v>
      </c>
      <c r="AF46" s="35">
        <f t="shared" si="95"/>
        <v>51.271020391742347</v>
      </c>
      <c r="AG46" s="35">
        <f t="shared" si="96"/>
        <v>107.98023706453992</v>
      </c>
      <c r="AH46" s="35">
        <f t="shared" si="97"/>
        <v>4.6607239194197714</v>
      </c>
      <c r="AI46" s="35">
        <f t="shared" si="98"/>
        <v>4.892520701754564</v>
      </c>
      <c r="AJ46" s="35">
        <f t="shared" si="99"/>
        <v>4293.6564999999991</v>
      </c>
      <c r="AK46" s="35">
        <f t="shared" si="100"/>
        <v>4293.6564999999991</v>
      </c>
      <c r="AL46" s="35">
        <f t="shared" si="101"/>
        <v>8852.9</v>
      </c>
      <c r="AM46" s="35">
        <f t="shared" si="102"/>
        <v>4101.6816313393874</v>
      </c>
      <c r="AN46" s="35">
        <f t="shared" si="103"/>
        <v>4101.6816313393874</v>
      </c>
      <c r="AO46" s="35">
        <f t="shared" si="104"/>
        <v>8638.4189651631932</v>
      </c>
      <c r="AP46" s="35">
        <f t="shared" si="105"/>
        <v>8.8091987064539898E-2</v>
      </c>
      <c r="AQ46" s="35">
        <f t="shared" si="106"/>
        <v>8.852900000000001E-2</v>
      </c>
      <c r="AR46" s="35">
        <f t="shared" si="107"/>
        <v>8.9759999999999979E-3</v>
      </c>
      <c r="AS46" s="35">
        <f t="shared" si="108"/>
        <v>7.6495438324129972E-2</v>
      </c>
      <c r="AT46" s="35">
        <f t="shared" si="109"/>
        <v>0.75657536625070554</v>
      </c>
      <c r="AU46" s="35">
        <f t="shared" si="110"/>
        <v>7.6709558308196563E-2</v>
      </c>
      <c r="AV46" s="35">
        <f t="shared" si="111"/>
        <v>0.67986580794250906</v>
      </c>
    </row>
    <row r="47" spans="1:48" x14ac:dyDescent="0.45">
      <c r="A47" s="34" t="str">
        <f>Inputs!$A$90</f>
        <v>Aluminium</v>
      </c>
      <c r="B47" s="35">
        <f>Inputs!$B$90</f>
        <v>300</v>
      </c>
      <c r="C47" s="35">
        <f>Inputs!$C$90</f>
        <v>5.5E-2</v>
      </c>
      <c r="D47" s="35">
        <f>Inputs!$D$90</f>
        <v>167</v>
      </c>
      <c r="E47" s="35">
        <f>Inputs!$E$90</f>
        <v>2400</v>
      </c>
      <c r="F47" s="35">
        <f>Inputs!$J$90</f>
        <v>0.12342</v>
      </c>
      <c r="G47" s="35">
        <f>Inputs!$K$90</f>
        <v>2.3974930400000001</v>
      </c>
      <c r="H47" s="35">
        <f>Inputs!$Q$90</f>
        <v>1.9988245320635362E-3</v>
      </c>
      <c r="I47" s="35">
        <f t="shared" si="76"/>
        <v>413.65284202856708</v>
      </c>
      <c r="J47" s="35">
        <f t="shared" si="77"/>
        <v>2.4683999999999999</v>
      </c>
      <c r="K47" s="35">
        <f t="shared" si="78"/>
        <v>0</v>
      </c>
      <c r="L47" s="35">
        <f t="shared" si="79"/>
        <v>0</v>
      </c>
      <c r="M47" s="35">
        <f t="shared" si="80"/>
        <v>1.0284999999999999E-3</v>
      </c>
      <c r="N47" s="35">
        <f>I47*(1+M47)^EpsQ8</f>
        <v>413.44028500168491</v>
      </c>
      <c r="O47" s="35">
        <f t="shared" si="81"/>
        <v>5.1026799974907951E-2</v>
      </c>
      <c r="P47" s="35">
        <f t="shared" si="82"/>
        <v>0.99122020574715597</v>
      </c>
      <c r="Q47" s="35">
        <f t="shared" si="83"/>
        <v>-2.4843328480582266E-3</v>
      </c>
      <c r="R47" s="35">
        <f t="shared" si="84"/>
        <v>0</v>
      </c>
      <c r="S47" s="35">
        <f t="shared" si="85"/>
        <v>4.8542467126849724E-2</v>
      </c>
      <c r="T47" s="35">
        <f t="shared" si="85"/>
        <v>0.99122020574715597</v>
      </c>
      <c r="U47" s="35">
        <f t="shared" si="86"/>
        <v>1.0397626728740057</v>
      </c>
      <c r="V47" s="35">
        <f>(O47+P47)*(1-(1+M47)^(-EpsQ8))</f>
        <v>-5.3583778081091587E-4</v>
      </c>
      <c r="W47" s="35">
        <f>P47*(1-(1+M47)^(-EpsQ8))</f>
        <v>-5.0960399255311735E-4</v>
      </c>
      <c r="X47" s="35">
        <f t="shared" si="87"/>
        <v>1</v>
      </c>
      <c r="Y47" s="35">
        <f t="shared" si="88"/>
        <v>0.97084934253699451</v>
      </c>
      <c r="Z47" s="35">
        <f t="shared" si="89"/>
        <v>0</v>
      </c>
      <c r="AA47" s="35">
        <f t="shared" si="90"/>
        <v>0.97084934253699451</v>
      </c>
      <c r="AB47" s="35">
        <f t="shared" si="91"/>
        <v>0</v>
      </c>
      <c r="AC47" s="35">
        <f t="shared" si="92"/>
        <v>2.5149041121374234</v>
      </c>
      <c r="AD47" s="35">
        <f t="shared" si="93"/>
        <v>2.3482214427484687</v>
      </c>
      <c r="AE47" s="35">
        <f t="shared" si="94"/>
        <v>119.62462799591657</v>
      </c>
      <c r="AF47" s="35">
        <f t="shared" si="95"/>
        <v>119.62462799591657</v>
      </c>
      <c r="AG47" s="35">
        <f t="shared" si="96"/>
        <v>249.14218977099387</v>
      </c>
      <c r="AH47" s="35">
        <f t="shared" si="97"/>
        <v>27.531419762464441</v>
      </c>
      <c r="AI47" s="35">
        <f t="shared" si="98"/>
        <v>28.153398803171779</v>
      </c>
      <c r="AJ47" s="35">
        <f t="shared" si="99"/>
        <v>20418.135167479999</v>
      </c>
      <c r="AK47" s="35">
        <f t="shared" si="100"/>
        <v>20418.135167479999</v>
      </c>
      <c r="AL47" s="35">
        <f t="shared" si="101"/>
        <v>42099.247768000001</v>
      </c>
      <c r="AM47" s="35">
        <f t="shared" si="102"/>
        <v>19977.312875318068</v>
      </c>
      <c r="AN47" s="35">
        <f t="shared" si="103"/>
        <v>19977.312875318068</v>
      </c>
      <c r="AO47" s="35">
        <f t="shared" si="104"/>
        <v>41606.745691755976</v>
      </c>
      <c r="AP47" s="35">
        <f t="shared" si="105"/>
        <v>0.41998898672694968</v>
      </c>
      <c r="AQ47" s="35">
        <f t="shared" si="106"/>
        <v>0.42099247767999998</v>
      </c>
      <c r="AR47" s="35">
        <f t="shared" si="107"/>
        <v>2.061114E-2</v>
      </c>
      <c r="AS47" s="35">
        <f t="shared" si="108"/>
        <v>5.1026799974907951E-2</v>
      </c>
      <c r="AT47" s="35">
        <f t="shared" si="109"/>
        <v>1.0427828435028748</v>
      </c>
      <c r="AU47" s="35">
        <f t="shared" si="110"/>
        <v>5.105303376316575E-2</v>
      </c>
      <c r="AV47" s="35">
        <f t="shared" si="111"/>
        <v>0.99172980973970914</v>
      </c>
    </row>
    <row r="48" spans="1:48" x14ac:dyDescent="0.45">
      <c r="A48" s="36" t="s">
        <v>520</v>
      </c>
      <c r="I48" s="37">
        <f>SUM(I40:I47)</f>
        <v>79893.955657864804</v>
      </c>
      <c r="N48" s="37">
        <f t="shared" ref="N48:W48" si="112">SUM(N40:N47)</f>
        <v>79438.025673813812</v>
      </c>
      <c r="O48" s="37">
        <f t="shared" si="112"/>
        <v>27.339928863629947</v>
      </c>
      <c r="P48" s="37">
        <f t="shared" si="112"/>
        <v>34.637025014821951</v>
      </c>
      <c r="Q48" s="37">
        <f t="shared" si="112"/>
        <v>-1.3310943146129284</v>
      </c>
      <c r="R48" s="37">
        <f t="shared" si="112"/>
        <v>0</v>
      </c>
      <c r="S48" s="37">
        <f t="shared" si="112"/>
        <v>26.008834549017021</v>
      </c>
      <c r="T48" s="37">
        <f t="shared" si="112"/>
        <v>34.637025014821951</v>
      </c>
      <c r="U48" s="37">
        <f t="shared" si="112"/>
        <v>60.645859563838968</v>
      </c>
      <c r="V48" s="37">
        <f t="shared" si="112"/>
        <v>-0.44665601236573776</v>
      </c>
      <c r="W48" s="37">
        <f t="shared" si="112"/>
        <v>-0.18446040207858988</v>
      </c>
      <c r="Y48" s="37">
        <f>SUM(Y40:Y47)</f>
        <v>520.17669098034037</v>
      </c>
      <c r="Z48" s="37">
        <f>SUM(Z40:Z47)</f>
        <v>0</v>
      </c>
      <c r="AA48" s="37">
        <f>SUM(AA40:AA47)</f>
        <v>520.17669098034037</v>
      </c>
      <c r="AB48" s="37">
        <f>SUM(AB40:AB47)</f>
        <v>0</v>
      </c>
      <c r="AH48" s="37">
        <f t="shared" ref="AH48:AV48" si="113">SUM(AH40:AH47)</f>
        <v>92.428684000535881</v>
      </c>
      <c r="AI48" s="37">
        <f t="shared" si="113"/>
        <v>120.0155796747419</v>
      </c>
      <c r="AJ48" s="37">
        <f t="shared" si="113"/>
        <v>96335.510660679996</v>
      </c>
      <c r="AK48" s="37">
        <f t="shared" si="113"/>
        <v>96335.510660679996</v>
      </c>
      <c r="AL48" s="37">
        <f t="shared" si="113"/>
        <v>198629.91888799999</v>
      </c>
      <c r="AM48" s="37">
        <f t="shared" si="113"/>
        <v>74058.919143994877</v>
      </c>
      <c r="AN48" s="37">
        <f t="shared" si="113"/>
        <v>74058.919143994877</v>
      </c>
      <c r="AO48" s="37">
        <f t="shared" si="113"/>
        <v>173741.73204109439</v>
      </c>
      <c r="AP48" s="37">
        <f t="shared" si="113"/>
        <v>1.9355885999436795</v>
      </c>
      <c r="AQ48" s="37">
        <f t="shared" si="113"/>
        <v>1.9862991888799999</v>
      </c>
      <c r="AR48" s="37">
        <f t="shared" si="113"/>
        <v>1.0415669865999999</v>
      </c>
      <c r="AS48" s="37">
        <f t="shared" si="113"/>
        <v>27.339928863629947</v>
      </c>
      <c r="AT48" s="37">
        <f t="shared" si="113"/>
        <v>62.423609890817644</v>
      </c>
      <c r="AU48" s="37">
        <f t="shared" si="113"/>
        <v>27.602124473917094</v>
      </c>
      <c r="AV48" s="37">
        <f t="shared" si="113"/>
        <v>34.821485416900551</v>
      </c>
    </row>
    <row r="52" spans="1:48" x14ac:dyDescent="0.45">
      <c r="A52" s="93" t="s">
        <v>523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</row>
    <row r="53" spans="1:48" ht="30" customHeight="1" x14ac:dyDescent="0.45">
      <c r="A53" s="4" t="s">
        <v>214</v>
      </c>
      <c r="B53" s="4" t="s">
        <v>458</v>
      </c>
      <c r="C53" s="4" t="s">
        <v>459</v>
      </c>
      <c r="D53" s="4" t="s">
        <v>460</v>
      </c>
      <c r="E53" s="4" t="s">
        <v>461</v>
      </c>
      <c r="F53" s="4" t="s">
        <v>462</v>
      </c>
      <c r="G53" s="4" t="s">
        <v>463</v>
      </c>
      <c r="H53" s="4" t="s">
        <v>464</v>
      </c>
      <c r="I53" s="4" t="s">
        <v>465</v>
      </c>
      <c r="J53" s="4" t="s">
        <v>466</v>
      </c>
      <c r="K53" s="4" t="s">
        <v>467</v>
      </c>
      <c r="L53" s="4" t="s">
        <v>468</v>
      </c>
      <c r="M53" s="4" t="s">
        <v>469</v>
      </c>
      <c r="N53" s="4" t="s">
        <v>470</v>
      </c>
      <c r="O53" s="4" t="s">
        <v>215</v>
      </c>
      <c r="P53" s="4" t="s">
        <v>471</v>
      </c>
      <c r="Q53" s="4" t="s">
        <v>472</v>
      </c>
      <c r="R53" s="4" t="s">
        <v>31</v>
      </c>
    </row>
    <row r="54" spans="1:48" ht="25.5" x14ac:dyDescent="0.45">
      <c r="A54" s="32" t="s">
        <v>233</v>
      </c>
      <c r="B54" s="7">
        <f>INDEX(BT_Tau,MATCH($A$54,BT_Code,0))</f>
        <v>20</v>
      </c>
      <c r="C54" s="7">
        <f>B54*INDEX(BT_Flag,MATCH($A$54,BT_Code,0))</f>
        <v>20</v>
      </c>
      <c r="D54" s="7">
        <f>INDEX(BT_Theta,MATCH($A$54,BT_Code,0))*B54</f>
        <v>0</v>
      </c>
      <c r="E54" s="7">
        <f>INDEX(BT_Phi,MATCH($A$54,BT_Code,0))*SigmaEff</f>
        <v>0</v>
      </c>
      <c r="F54" s="7">
        <v>1</v>
      </c>
      <c r="G54" s="7">
        <f>INDEX(BT_Flag,MATCH($A$54,BT_Code,0))</f>
        <v>1</v>
      </c>
      <c r="H54" s="33">
        <f>IF(Mode="PROTOTYPE",1,EXP(Bf*(F54*B54+E54)))</f>
        <v>0.95131317563947027</v>
      </c>
      <c r="I54" s="7">
        <f>CBFsel</f>
        <v>0.48499999999999999</v>
      </c>
      <c r="J54" s="7">
        <f>PEU</f>
        <v>100</v>
      </c>
      <c r="K54" s="7">
        <f>Ssel</f>
        <v>1</v>
      </c>
      <c r="L54" s="7">
        <f>CBFyr</f>
        <v>0.48499999999999999</v>
      </c>
      <c r="M54" s="7">
        <v>1</v>
      </c>
      <c r="N54" s="7">
        <f>Yr</f>
        <v>2030</v>
      </c>
      <c r="O54" s="7" t="str">
        <f>INDEX(BT_Scen,MATCH($A$54,BT_Code,0))</f>
        <v>EG3</v>
      </c>
      <c r="P54" s="7">
        <f>Bf</f>
        <v>-2.4955979362141917E-3</v>
      </c>
      <c r="Q54" s="7" t="str">
        <f>BetaSet</f>
        <v>IPCC_CENTRAL</v>
      </c>
      <c r="R54" s="7" t="str">
        <f>Mode</f>
        <v>REBUILD</v>
      </c>
    </row>
    <row r="55" spans="1:48" ht="54" customHeight="1" x14ac:dyDescent="0.45">
      <c r="A55" s="4" t="s">
        <v>244</v>
      </c>
      <c r="B55" s="4" t="s">
        <v>473</v>
      </c>
      <c r="C55" s="4" t="s">
        <v>474</v>
      </c>
      <c r="D55" s="4" t="s">
        <v>475</v>
      </c>
      <c r="E55" s="4" t="s">
        <v>476</v>
      </c>
      <c r="F55" s="4" t="s">
        <v>477</v>
      </c>
      <c r="G55" s="4" t="s">
        <v>478</v>
      </c>
      <c r="H55" s="4" t="s">
        <v>479</v>
      </c>
      <c r="I55" s="4" t="s">
        <v>480</v>
      </c>
      <c r="J55" s="4" t="s">
        <v>481</v>
      </c>
      <c r="K55" s="4" t="s">
        <v>482</v>
      </c>
      <c r="L55" s="4" t="s">
        <v>483</v>
      </c>
      <c r="M55" s="4" t="s">
        <v>484</v>
      </c>
      <c r="N55" s="4" t="s">
        <v>485</v>
      </c>
      <c r="O55" s="4" t="s">
        <v>486</v>
      </c>
      <c r="P55" s="4" t="s">
        <v>487</v>
      </c>
      <c r="Q55" s="4" t="s">
        <v>488</v>
      </c>
      <c r="R55" s="4" t="s">
        <v>489</v>
      </c>
      <c r="S55" s="4" t="s">
        <v>490</v>
      </c>
      <c r="T55" s="4" t="s">
        <v>491</v>
      </c>
      <c r="U55" s="4" t="s">
        <v>492</v>
      </c>
      <c r="V55" s="4" t="s">
        <v>493</v>
      </c>
      <c r="W55" s="4" t="s">
        <v>494</v>
      </c>
      <c r="X55" s="4" t="s">
        <v>495</v>
      </c>
      <c r="Y55" s="4" t="s">
        <v>496</v>
      </c>
      <c r="Z55" s="4" t="s">
        <v>497</v>
      </c>
      <c r="AA55" s="4" t="s">
        <v>498</v>
      </c>
      <c r="AB55" s="4" t="s">
        <v>499</v>
      </c>
      <c r="AC55" s="4" t="s">
        <v>500</v>
      </c>
      <c r="AD55" s="4" t="s">
        <v>501</v>
      </c>
      <c r="AE55" s="4" t="s">
        <v>502</v>
      </c>
      <c r="AF55" s="4" t="s">
        <v>503</v>
      </c>
      <c r="AG55" s="4" t="s">
        <v>504</v>
      </c>
      <c r="AH55" s="4" t="s">
        <v>505</v>
      </c>
      <c r="AI55" s="4" t="s">
        <v>506</v>
      </c>
      <c r="AJ55" s="4" t="s">
        <v>507</v>
      </c>
      <c r="AK55" s="4" t="s">
        <v>508</v>
      </c>
      <c r="AL55" s="4" t="s">
        <v>509</v>
      </c>
      <c r="AM55" s="4" t="s">
        <v>510</v>
      </c>
      <c r="AN55" s="4" t="s">
        <v>511</v>
      </c>
      <c r="AO55" s="4" t="s">
        <v>512</v>
      </c>
      <c r="AP55" s="4" t="s">
        <v>513</v>
      </c>
      <c r="AQ55" s="4" t="s">
        <v>514</v>
      </c>
      <c r="AR55" s="4" t="s">
        <v>515</v>
      </c>
      <c r="AS55" s="4" t="s">
        <v>516</v>
      </c>
      <c r="AT55" s="4" t="s">
        <v>517</v>
      </c>
      <c r="AU55" s="4" t="s">
        <v>518</v>
      </c>
      <c r="AV55" s="4" t="s">
        <v>519</v>
      </c>
    </row>
    <row r="56" spans="1:48" x14ac:dyDescent="0.45">
      <c r="A56" s="34" t="str">
        <f>Inputs!$A$83</f>
        <v>DRI-EAF steel</v>
      </c>
      <c r="B56" s="35">
        <f>Inputs!$B$83</f>
        <v>5100</v>
      </c>
      <c r="C56" s="35">
        <f>Inputs!$C$83</f>
        <v>4.3999999999999997E-2</v>
      </c>
      <c r="D56" s="35">
        <f>Inputs!$D$83</f>
        <v>580</v>
      </c>
      <c r="E56" s="35">
        <f>Inputs!$E$83</f>
        <v>750</v>
      </c>
      <c r="F56" s="35">
        <f>Inputs!$J$83</f>
        <v>0.57099076999999998</v>
      </c>
      <c r="G56" s="35">
        <f>Inputs!$K$83</f>
        <v>3.7901020000000001E-2</v>
      </c>
      <c r="H56" s="35">
        <f>Inputs!$Q$83</f>
        <v>3.4469507031574592E-3</v>
      </c>
      <c r="I56" s="35">
        <f t="shared" ref="I56:I63" si="114">B56*(1+C56)^($N$54-BaseYr)</f>
        <v>6603.4845807876563</v>
      </c>
      <c r="J56" s="35">
        <f t="shared" ref="J56:J63" si="115">$F$54*$B$54*F56</f>
        <v>11.419815399999999</v>
      </c>
      <c r="K56" s="35">
        <f t="shared" ref="K56:K63" si="116">$G$54*$C$54*G56</f>
        <v>0.75802040000000004</v>
      </c>
      <c r="L56" s="35">
        <f t="shared" ref="L56:L63" si="117">MIN($D$54,$B$54)*$F$54*F56+MIN($D$54,$C$54)*$G$54*G56</f>
        <v>0</v>
      </c>
      <c r="M56" s="35">
        <f t="shared" ref="M56:M63" si="118">IF(E56&gt;0,(J56+K56-L56)/E56,0)</f>
        <v>1.6237114399999999E-2</v>
      </c>
      <c r="N56" s="35">
        <f>I56*(1+M56)^EpsQ1</f>
        <v>6561.0771921497799</v>
      </c>
      <c r="O56" s="35">
        <f t="shared" ref="O56:O63" si="119">N56*F56/1000</f>
        <v>3.7463145179750406</v>
      </c>
      <c r="P56" s="35">
        <f t="shared" ref="P56:P63" si="120">N56*G56/1000</f>
        <v>0.24867151788121264</v>
      </c>
      <c r="Q56" s="35">
        <f t="shared" ref="Q56:Q63" si="121">O56*($H$54-1)</f>
        <v>-0.1823961569359534</v>
      </c>
      <c r="R56" s="35">
        <f t="shared" ref="R56:R63" si="122">-P56*(1-EXP(-H56*($G$54*$C$54+$E$54)))</f>
        <v>-1.6565600901962803E-2</v>
      </c>
      <c r="S56" s="35">
        <f t="shared" ref="S56:T63" si="123">O56+Q56</f>
        <v>3.5639183610390872</v>
      </c>
      <c r="T56" s="35">
        <f t="shared" si="123"/>
        <v>0.23210591697924984</v>
      </c>
      <c r="U56" s="35">
        <f t="shared" ref="U56:U63" si="124">S56+T56</f>
        <v>3.7960242780183369</v>
      </c>
      <c r="V56" s="35">
        <f>(O56+P56)*(1-(1+M56)^(-EpsQ1))</f>
        <v>-2.5821510776942572E-2</v>
      </c>
      <c r="W56" s="35">
        <f>P56*(1-(1+M56)^(-EpsQ1))</f>
        <v>-1.6072832849119479E-3</v>
      </c>
      <c r="X56" s="35">
        <f t="shared" ref="X56:X63" si="125">IF(G56&gt;0,1,0)</f>
        <v>1</v>
      </c>
      <c r="Y56" s="35">
        <f t="shared" ref="Y56:Y63" si="126">S56*$F$54*$B$54</f>
        <v>71.278367220781746</v>
      </c>
      <c r="Z56" s="35">
        <f t="shared" ref="Z56:Z63" si="127">(P56*X56+R56)*$G$54*$C$54</f>
        <v>4.6421183395849965</v>
      </c>
      <c r="AA56" s="35">
        <f t="shared" ref="AA56:AA63" si="128">Y56+Z56</f>
        <v>75.920485560366743</v>
      </c>
      <c r="AB56" s="35">
        <f t="shared" ref="AB56:AB63" si="129">L56*N56/1000</f>
        <v>0</v>
      </c>
      <c r="AC56" s="35">
        <f t="shared" ref="AC56:AC63" si="130">IF(N56&gt;0,U56*1000/N56,0)</f>
        <v>0.57856723322204118</v>
      </c>
      <c r="AD56" s="35">
        <f t="shared" ref="AD56:AD63" si="131">IF(N56&gt;0,AA56*1000/N56-L56,0)</f>
        <v>11.571344664440824</v>
      </c>
      <c r="AE56" s="35">
        <f t="shared" ref="AE56:AE63" si="132">MAX(0,$I$54*$J$54*AC56-$K$54*MAX(0,AD56))</f>
        <v>16.489166146828175</v>
      </c>
      <c r="AF56" s="35">
        <f t="shared" ref="AF56:AF63" si="133">MAX(0,$L$54*$J$54*AC56-MAX(0,AD56))</f>
        <v>16.489166146828175</v>
      </c>
      <c r="AG56" s="35">
        <f t="shared" ref="AG56:AG63" si="134">MAX(0,$M$54*$J$54*AC56-MAX(0,AD56))</f>
        <v>46.285378657763296</v>
      </c>
      <c r="AH56" s="35">
        <f t="shared" ref="AH56:AH63" si="135">IF(B56&gt;0,D56*N56/B56*AE56/1000,0)</f>
        <v>12.303584571694728</v>
      </c>
      <c r="AI56" s="35">
        <f t="shared" ref="AI56:AI63" si="136">D56*(1+C56)^($N$54-BaseYr)*$I$54*$J$54*(F56+G56)/1000</f>
        <v>22.177512997410155</v>
      </c>
      <c r="AJ56" s="35">
        <f t="shared" ref="AJ56:AJ63" si="137">D56*$I$54*$J$54*(F56+G56)</f>
        <v>17128.126052699998</v>
      </c>
      <c r="AK56" s="35">
        <f t="shared" ref="AK56:AK63" si="138">D56*$L$54*$J$54*(F56+G56)</f>
        <v>17128.126052699998</v>
      </c>
      <c r="AL56" s="35">
        <f t="shared" ref="AL56:AL63" si="139">D56*$M$54*$J$54*(F56+G56)</f>
        <v>35315.723819999999</v>
      </c>
      <c r="AM56" s="35">
        <f t="shared" ref="AM56:AM63" si="140">D56*AE56</f>
        <v>9563.7163651603423</v>
      </c>
      <c r="AN56" s="35">
        <f t="shared" ref="AN56:AN63" si="141">D56*AF56</f>
        <v>9563.7163651603423</v>
      </c>
      <c r="AO56" s="35">
        <f t="shared" ref="AO56:AO63" si="142">D56*AG56</f>
        <v>26845.51962150271</v>
      </c>
      <c r="AP56" s="35">
        <f t="shared" ref="AP56:AP63" si="143">IF(N56&gt;0,D56*U56/N56,0)</f>
        <v>0.33556899526878392</v>
      </c>
      <c r="AQ56" s="35">
        <f t="shared" ref="AQ56:AQ63" si="144">IF(N56&gt;0,D56*(O56+P56)/N56,0)</f>
        <v>0.35315723819999995</v>
      </c>
      <c r="AR56" s="35">
        <f t="shared" ref="AR56:AR63" si="145">IF(N56&gt;0,D56*AS56/N56,0)</f>
        <v>0.35315723819999995</v>
      </c>
      <c r="AS56" s="35">
        <f t="shared" ref="AS56:AS63" si="146">O56*IF($F$54&gt;0,1,0)+P56*X56*IF($G$54&gt;0,1,0)</f>
        <v>3.994986035856253</v>
      </c>
      <c r="AT56" s="35">
        <f t="shared" ref="AT56:AT63" si="147">I56*(F56+G56)/1000</f>
        <v>4.0208075466331952</v>
      </c>
      <c r="AU56" s="35">
        <f t="shared" ref="AU56:AU63" si="148">I56*F56/1000</f>
        <v>3.7705287454670713</v>
      </c>
      <c r="AV56" s="35">
        <f t="shared" ref="AV56:AV63" si="149">I56*G56/1000</f>
        <v>0.25027880116612461</v>
      </c>
    </row>
    <row r="57" spans="1:48" x14ac:dyDescent="0.45">
      <c r="A57" s="34" t="str">
        <f>Inputs!$A$84</f>
        <v>Scrap-EAF steel</v>
      </c>
      <c r="B57" s="35">
        <f>Inputs!$B$84</f>
        <v>4800</v>
      </c>
      <c r="C57" s="35">
        <f>Inputs!$C$84</f>
        <v>4.3999999999999997E-2</v>
      </c>
      <c r="D57" s="35">
        <f>Inputs!$D$84</f>
        <v>300</v>
      </c>
      <c r="E57" s="35">
        <f>Inputs!$E$84</f>
        <v>680</v>
      </c>
      <c r="F57" s="35">
        <f>Inputs!$J$84</f>
        <v>4.4880000000000003E-2</v>
      </c>
      <c r="G57" s="35">
        <f>Inputs!$K$84</f>
        <v>4.3981149999999997E-2</v>
      </c>
      <c r="H57" s="35">
        <f>Inputs!$Q$84</f>
        <v>1.6366491404021942E-3</v>
      </c>
      <c r="I57" s="35">
        <f t="shared" si="114"/>
        <v>6215.0443113295587</v>
      </c>
      <c r="J57" s="35">
        <f t="shared" si="115"/>
        <v>0.89760000000000006</v>
      </c>
      <c r="K57" s="35">
        <f t="shared" si="116"/>
        <v>0.87962299999999993</v>
      </c>
      <c r="L57" s="35">
        <f t="shared" si="117"/>
        <v>0</v>
      </c>
      <c r="M57" s="35">
        <f t="shared" si="118"/>
        <v>2.6135632352941177E-3</v>
      </c>
      <c r="N57" s="35">
        <f>I57*(1+M57)^EpsQ2</f>
        <v>6208.5588088949444</v>
      </c>
      <c r="O57" s="35">
        <f t="shared" si="119"/>
        <v>0.27864011934320515</v>
      </c>
      <c r="P57" s="35">
        <f t="shared" si="120"/>
        <v>0.27305955625782985</v>
      </c>
      <c r="Q57" s="35">
        <f t="shared" si="121"/>
        <v>-1.3566102550259673E-2</v>
      </c>
      <c r="R57" s="35">
        <f t="shared" si="122"/>
        <v>-8.7933523144143686E-3</v>
      </c>
      <c r="S57" s="35">
        <f t="shared" si="123"/>
        <v>0.26507401679294545</v>
      </c>
      <c r="T57" s="35">
        <f t="shared" si="123"/>
        <v>0.26426620394341549</v>
      </c>
      <c r="U57" s="35">
        <f t="shared" si="124"/>
        <v>0.52934022073636089</v>
      </c>
      <c r="V57" s="35">
        <f>(O57+P57)*(1-(1+M57)^(-EpsQ2))</f>
        <v>-5.7630920466762074E-4</v>
      </c>
      <c r="W57" s="35">
        <f>P57*(1-(1+M57)^(-EpsQ2))</f>
        <v>-2.8523985540213379E-4</v>
      </c>
      <c r="X57" s="35">
        <f t="shared" si="125"/>
        <v>1</v>
      </c>
      <c r="Y57" s="35">
        <f t="shared" si="126"/>
        <v>5.3014803358589093</v>
      </c>
      <c r="Z57" s="35">
        <f t="shared" si="127"/>
        <v>5.2853240788683102</v>
      </c>
      <c r="AA57" s="35">
        <f t="shared" si="128"/>
        <v>10.586804414727219</v>
      </c>
      <c r="AB57" s="35">
        <f t="shared" si="129"/>
        <v>0</v>
      </c>
      <c r="AC57" s="35">
        <f t="shared" si="130"/>
        <v>8.5259757864897728E-2</v>
      </c>
      <c r="AD57" s="35">
        <f t="shared" si="131"/>
        <v>1.7051951572979551</v>
      </c>
      <c r="AE57" s="35">
        <f t="shared" si="132"/>
        <v>2.4299030991495849</v>
      </c>
      <c r="AF57" s="35">
        <f t="shared" si="133"/>
        <v>2.4299030991495849</v>
      </c>
      <c r="AG57" s="35">
        <f t="shared" si="134"/>
        <v>6.8207806291918187</v>
      </c>
      <c r="AH57" s="35">
        <f t="shared" si="135"/>
        <v>0.94288726818664259</v>
      </c>
      <c r="AI57" s="35">
        <f t="shared" si="136"/>
        <v>1.6740865789422863</v>
      </c>
      <c r="AJ57" s="35">
        <f t="shared" si="137"/>
        <v>1292.9297325</v>
      </c>
      <c r="AK57" s="35">
        <f t="shared" si="138"/>
        <v>1292.9297325</v>
      </c>
      <c r="AL57" s="35">
        <f t="shared" si="139"/>
        <v>2665.8344999999999</v>
      </c>
      <c r="AM57" s="35">
        <f t="shared" si="140"/>
        <v>728.97092974487543</v>
      </c>
      <c r="AN57" s="35">
        <f t="shared" si="141"/>
        <v>728.97092974487543</v>
      </c>
      <c r="AO57" s="35">
        <f t="shared" si="142"/>
        <v>2046.2341887575456</v>
      </c>
      <c r="AP57" s="35">
        <f t="shared" si="143"/>
        <v>2.5577927359469323E-2</v>
      </c>
      <c r="AQ57" s="35">
        <f t="shared" si="144"/>
        <v>2.6658345000000003E-2</v>
      </c>
      <c r="AR57" s="35">
        <f t="shared" si="145"/>
        <v>2.6658345000000003E-2</v>
      </c>
      <c r="AS57" s="35">
        <f t="shared" si="146"/>
        <v>0.55169967560103506</v>
      </c>
      <c r="AT57" s="35">
        <f t="shared" si="147"/>
        <v>0.55227598480570261</v>
      </c>
      <c r="AU57" s="35">
        <f t="shared" si="148"/>
        <v>0.27893118869247063</v>
      </c>
      <c r="AV57" s="35">
        <f t="shared" si="149"/>
        <v>0.27334479611323198</v>
      </c>
    </row>
    <row r="58" spans="1:48" x14ac:dyDescent="0.45">
      <c r="A58" s="34" t="str">
        <f>Inputs!$A$85</f>
        <v>BF-BOF steel</v>
      </c>
      <c r="B58" s="35">
        <f>Inputs!$B$85</f>
        <v>0</v>
      </c>
      <c r="C58" s="35">
        <f>Inputs!$C$85</f>
        <v>0</v>
      </c>
      <c r="D58" s="35">
        <f>Inputs!$D$85</f>
        <v>0</v>
      </c>
      <c r="E58" s="35">
        <f>Inputs!$E$85</f>
        <v>620</v>
      </c>
      <c r="F58" s="35">
        <f>Inputs!$J$85</f>
        <v>1.4249802699999998</v>
      </c>
      <c r="G58" s="35">
        <f>Inputs!$K$85</f>
        <v>5.276542E-2</v>
      </c>
      <c r="H58" s="35">
        <f>Inputs!$Q$85</f>
        <v>2.6960722989211347E-3</v>
      </c>
      <c r="I58" s="35">
        <f t="shared" si="114"/>
        <v>0</v>
      </c>
      <c r="J58" s="35">
        <f t="shared" si="115"/>
        <v>28.499605399999997</v>
      </c>
      <c r="K58" s="35">
        <f t="shared" si="116"/>
        <v>1.0553083999999999</v>
      </c>
      <c r="L58" s="35">
        <f t="shared" si="117"/>
        <v>0</v>
      </c>
      <c r="M58" s="35">
        <f t="shared" si="118"/>
        <v>4.7669215806451608E-2</v>
      </c>
      <c r="N58" s="35">
        <f>I58*(1+M58)^EpsQ3</f>
        <v>0</v>
      </c>
      <c r="O58" s="35">
        <f t="shared" si="119"/>
        <v>0</v>
      </c>
      <c r="P58" s="35">
        <f t="shared" si="120"/>
        <v>0</v>
      </c>
      <c r="Q58" s="35">
        <f t="shared" si="121"/>
        <v>0</v>
      </c>
      <c r="R58" s="35">
        <f t="shared" si="122"/>
        <v>0</v>
      </c>
      <c r="S58" s="35">
        <f t="shared" si="123"/>
        <v>0</v>
      </c>
      <c r="T58" s="35">
        <f t="shared" si="123"/>
        <v>0</v>
      </c>
      <c r="U58" s="35">
        <f t="shared" si="124"/>
        <v>0</v>
      </c>
      <c r="V58" s="35">
        <f>(O58+P58)*(1-(1+M58)^(-EpsQ3))</f>
        <v>0</v>
      </c>
      <c r="W58" s="35">
        <f>P58*(1-(1+M58)^(-EpsQ3))</f>
        <v>0</v>
      </c>
      <c r="X58" s="35">
        <f t="shared" si="125"/>
        <v>1</v>
      </c>
      <c r="Y58" s="35">
        <f t="shared" si="126"/>
        <v>0</v>
      </c>
      <c r="Z58" s="35">
        <f t="shared" si="127"/>
        <v>0</v>
      </c>
      <c r="AA58" s="35">
        <f t="shared" si="128"/>
        <v>0</v>
      </c>
      <c r="AB58" s="35">
        <f t="shared" si="129"/>
        <v>0</v>
      </c>
      <c r="AC58" s="35">
        <f t="shared" si="130"/>
        <v>0</v>
      </c>
      <c r="AD58" s="35">
        <f t="shared" si="131"/>
        <v>0</v>
      </c>
      <c r="AE58" s="35">
        <f t="shared" si="132"/>
        <v>0</v>
      </c>
      <c r="AF58" s="35">
        <f t="shared" si="133"/>
        <v>0</v>
      </c>
      <c r="AG58" s="35">
        <f t="shared" si="134"/>
        <v>0</v>
      </c>
      <c r="AH58" s="35">
        <f t="shared" si="135"/>
        <v>0</v>
      </c>
      <c r="AI58" s="35">
        <f t="shared" si="136"/>
        <v>0</v>
      </c>
      <c r="AJ58" s="35">
        <f t="shared" si="137"/>
        <v>0</v>
      </c>
      <c r="AK58" s="35">
        <f t="shared" si="138"/>
        <v>0</v>
      </c>
      <c r="AL58" s="35">
        <f t="shared" si="139"/>
        <v>0</v>
      </c>
      <c r="AM58" s="35">
        <f t="shared" si="140"/>
        <v>0</v>
      </c>
      <c r="AN58" s="35">
        <f t="shared" si="141"/>
        <v>0</v>
      </c>
      <c r="AO58" s="35">
        <f t="shared" si="142"/>
        <v>0</v>
      </c>
      <c r="AP58" s="35">
        <f t="shared" si="143"/>
        <v>0</v>
      </c>
      <c r="AQ58" s="35">
        <f t="shared" si="144"/>
        <v>0</v>
      </c>
      <c r="AR58" s="35">
        <f t="shared" si="145"/>
        <v>0</v>
      </c>
      <c r="AS58" s="35">
        <f t="shared" si="146"/>
        <v>0</v>
      </c>
      <c r="AT58" s="35">
        <f t="shared" si="147"/>
        <v>0</v>
      </c>
      <c r="AU58" s="35">
        <f t="shared" si="148"/>
        <v>0</v>
      </c>
      <c r="AV58" s="35">
        <f t="shared" si="149"/>
        <v>0</v>
      </c>
    </row>
    <row r="59" spans="1:48" x14ac:dyDescent="0.45">
      <c r="A59" s="34" t="str">
        <f>Inputs!$A$86</f>
        <v>Clinker</v>
      </c>
      <c r="B59" s="35">
        <f>Inputs!$B$86</f>
        <v>50000</v>
      </c>
      <c r="C59" s="35">
        <f>Inputs!$C$86</f>
        <v>3.3000000000000002E-2</v>
      </c>
      <c r="D59" s="35">
        <f>Inputs!$D$86</f>
        <v>800</v>
      </c>
      <c r="E59" s="35">
        <f>Inputs!$E$86</f>
        <v>110</v>
      </c>
      <c r="F59" s="35">
        <f>Inputs!$J$86</f>
        <v>0.31356850000000003</v>
      </c>
      <c r="G59" s="35">
        <f>Inputs!$K$86</f>
        <v>0.53702616000000003</v>
      </c>
      <c r="H59" s="35">
        <f>Inputs!$Q$86</f>
        <v>3.3464675036139224E-3</v>
      </c>
      <c r="I59" s="35">
        <f t="shared" si="114"/>
        <v>60753.588245941261</v>
      </c>
      <c r="J59" s="35">
        <f t="shared" si="115"/>
        <v>6.271370000000001</v>
      </c>
      <c r="K59" s="35">
        <f t="shared" si="116"/>
        <v>10.7405232</v>
      </c>
      <c r="L59" s="35">
        <f t="shared" si="117"/>
        <v>0</v>
      </c>
      <c r="M59" s="35">
        <f t="shared" si="118"/>
        <v>0.15465357454545456</v>
      </c>
      <c r="N59" s="35">
        <f>I59*(1+M59)^EpsQ4</f>
        <v>59886.200915955837</v>
      </c>
      <c r="O59" s="35">
        <f t="shared" si="119"/>
        <v>18.7784261919149</v>
      </c>
      <c r="P59" s="35">
        <f t="shared" si="120"/>
        <v>32.160456514884245</v>
      </c>
      <c r="Q59" s="35">
        <f t="shared" si="121"/>
        <v>-0.91426193777293197</v>
      </c>
      <c r="R59" s="35">
        <f t="shared" si="122"/>
        <v>-2.0820269455545297</v>
      </c>
      <c r="S59" s="35">
        <f t="shared" si="123"/>
        <v>17.864164254141969</v>
      </c>
      <c r="T59" s="35">
        <f t="shared" si="123"/>
        <v>30.078429569329714</v>
      </c>
      <c r="U59" s="35">
        <f t="shared" si="124"/>
        <v>47.942593823471682</v>
      </c>
      <c r="V59" s="35">
        <f>(O59+P59)*(1-(1+M59)^(-EpsQ4))</f>
        <v>-0.73779503103726363</v>
      </c>
      <c r="W59" s="35">
        <f>P59*(1-(1+M59)^(-EpsQ4))</f>
        <v>-0.46580968705472758</v>
      </c>
      <c r="X59" s="35">
        <f t="shared" si="125"/>
        <v>1</v>
      </c>
      <c r="Y59" s="35">
        <f t="shared" si="126"/>
        <v>357.28328508283937</v>
      </c>
      <c r="Z59" s="35">
        <f t="shared" si="127"/>
        <v>601.56859138659433</v>
      </c>
      <c r="AA59" s="35">
        <f t="shared" si="128"/>
        <v>958.85187646943371</v>
      </c>
      <c r="AB59" s="35">
        <f t="shared" si="129"/>
        <v>0</v>
      </c>
      <c r="AC59" s="35">
        <f t="shared" si="130"/>
        <v>0.80056161670288972</v>
      </c>
      <c r="AD59" s="35">
        <f t="shared" si="131"/>
        <v>16.011232334057794</v>
      </c>
      <c r="AE59" s="35">
        <f t="shared" si="132"/>
        <v>22.816006076032359</v>
      </c>
      <c r="AF59" s="35">
        <f t="shared" si="133"/>
        <v>22.816006076032359</v>
      </c>
      <c r="AG59" s="35">
        <f t="shared" si="134"/>
        <v>64.044929336231178</v>
      </c>
      <c r="AH59" s="35">
        <f t="shared" si="135"/>
        <v>21.861822783503086</v>
      </c>
      <c r="AI59" s="35">
        <f t="shared" si="136"/>
        <v>40.10110192456105</v>
      </c>
      <c r="AJ59" s="35">
        <f t="shared" si="137"/>
        <v>33003.072808000004</v>
      </c>
      <c r="AK59" s="35">
        <f t="shared" si="138"/>
        <v>33003.072808000004</v>
      </c>
      <c r="AL59" s="35">
        <f t="shared" si="139"/>
        <v>68047.572800000009</v>
      </c>
      <c r="AM59" s="35">
        <f t="shared" si="140"/>
        <v>18252.804860825887</v>
      </c>
      <c r="AN59" s="35">
        <f t="shared" si="141"/>
        <v>18252.804860825887</v>
      </c>
      <c r="AO59" s="35">
        <f t="shared" si="142"/>
        <v>51235.943468984944</v>
      </c>
      <c r="AP59" s="35">
        <f t="shared" si="143"/>
        <v>0.64044929336231182</v>
      </c>
      <c r="AQ59" s="35">
        <f t="shared" si="144"/>
        <v>0.68047572800000011</v>
      </c>
      <c r="AR59" s="35">
        <f t="shared" si="145"/>
        <v>0.68047572800000011</v>
      </c>
      <c r="AS59" s="35">
        <f t="shared" si="146"/>
        <v>50.938882706799149</v>
      </c>
      <c r="AT59" s="35">
        <f t="shared" si="147"/>
        <v>51.676677737836407</v>
      </c>
      <c r="AU59" s="35">
        <f t="shared" si="148"/>
        <v>19.050411535897435</v>
      </c>
      <c r="AV59" s="35">
        <f t="shared" si="149"/>
        <v>32.626266201938975</v>
      </c>
    </row>
    <row r="60" spans="1:48" x14ac:dyDescent="0.45">
      <c r="A60" s="34" t="str">
        <f>Inputs!$A$87</f>
        <v>Ammonia</v>
      </c>
      <c r="B60" s="35">
        <f>Inputs!$B$87</f>
        <v>1785</v>
      </c>
      <c r="C60" s="35">
        <f>Inputs!$C$87</f>
        <v>2.1999999999999999E-2</v>
      </c>
      <c r="D60" s="35">
        <f>Inputs!$D$87</f>
        <v>120</v>
      </c>
      <c r="E60" s="35">
        <f>Inputs!$E$87</f>
        <v>450</v>
      </c>
      <c r="F60" s="35">
        <f>Inputs!$J$87</f>
        <v>1.97472</v>
      </c>
      <c r="G60" s="35">
        <f>Inputs!$K$87</f>
        <v>0</v>
      </c>
      <c r="H60" s="35">
        <f>Inputs!$Q$87</f>
        <v>2.8931765504132002E-3</v>
      </c>
      <c r="I60" s="35">
        <f t="shared" si="114"/>
        <v>2033.9655612021818</v>
      </c>
      <c r="J60" s="35">
        <f t="shared" si="115"/>
        <v>39.494399999999999</v>
      </c>
      <c r="K60" s="35">
        <f t="shared" si="116"/>
        <v>0</v>
      </c>
      <c r="L60" s="35">
        <f t="shared" si="117"/>
        <v>0</v>
      </c>
      <c r="M60" s="35">
        <f t="shared" si="118"/>
        <v>8.7765333333333334E-2</v>
      </c>
      <c r="N60" s="35">
        <f>I60*(1+M60)^EpsQ5</f>
        <v>1966.6610186418877</v>
      </c>
      <c r="O60" s="35">
        <f t="shared" si="119"/>
        <v>3.8836048467325086</v>
      </c>
      <c r="P60" s="35">
        <f t="shared" si="120"/>
        <v>0</v>
      </c>
      <c r="Q60" s="35">
        <f t="shared" si="121"/>
        <v>-0.18908038705856764</v>
      </c>
      <c r="R60" s="35">
        <f t="shared" si="122"/>
        <v>0</v>
      </c>
      <c r="S60" s="35">
        <f t="shared" si="123"/>
        <v>3.6945244596739411</v>
      </c>
      <c r="T60" s="35">
        <f t="shared" si="123"/>
        <v>0</v>
      </c>
      <c r="U60" s="35">
        <f t="shared" si="124"/>
        <v>3.6945244596739411</v>
      </c>
      <c r="V60" s="35">
        <f>(O60+P60)*(1-(1+M60)^(-EpsQ5))</f>
        <v>-0.1329076262846639</v>
      </c>
      <c r="W60" s="35">
        <f>P60*(1-(1+M60)^(-EpsQ5))</f>
        <v>0</v>
      </c>
      <c r="X60" s="35">
        <f t="shared" si="125"/>
        <v>0</v>
      </c>
      <c r="Y60" s="35">
        <f t="shared" si="126"/>
        <v>73.890489193478828</v>
      </c>
      <c r="Z60" s="35">
        <f t="shared" si="127"/>
        <v>0</v>
      </c>
      <c r="AA60" s="35">
        <f t="shared" si="128"/>
        <v>73.890489193478828</v>
      </c>
      <c r="AB60" s="35">
        <f t="shared" si="129"/>
        <v>0</v>
      </c>
      <c r="AC60" s="35">
        <f t="shared" si="130"/>
        <v>1.8785771541987748</v>
      </c>
      <c r="AD60" s="35">
        <f t="shared" si="131"/>
        <v>37.571543083975499</v>
      </c>
      <c r="AE60" s="35">
        <f t="shared" si="132"/>
        <v>53.539448894665085</v>
      </c>
      <c r="AF60" s="35">
        <f t="shared" si="133"/>
        <v>53.539448894665085</v>
      </c>
      <c r="AG60" s="35">
        <f t="shared" si="134"/>
        <v>150.28617233590199</v>
      </c>
      <c r="AH60" s="35">
        <f t="shared" si="135"/>
        <v>7.0785846790391478</v>
      </c>
      <c r="AI60" s="35">
        <f t="shared" si="136"/>
        <v>13.095855794375316</v>
      </c>
      <c r="AJ60" s="35">
        <f t="shared" si="137"/>
        <v>11492.8704</v>
      </c>
      <c r="AK60" s="35">
        <f t="shared" si="138"/>
        <v>11492.8704</v>
      </c>
      <c r="AL60" s="35">
        <f t="shared" si="139"/>
        <v>23696.639999999999</v>
      </c>
      <c r="AM60" s="35">
        <f t="shared" si="140"/>
        <v>6424.7338673598106</v>
      </c>
      <c r="AN60" s="35">
        <f t="shared" si="141"/>
        <v>6424.7338673598106</v>
      </c>
      <c r="AO60" s="35">
        <f t="shared" si="142"/>
        <v>18034.34068030824</v>
      </c>
      <c r="AP60" s="35">
        <f t="shared" si="143"/>
        <v>0.22542925850385298</v>
      </c>
      <c r="AQ60" s="35">
        <f t="shared" si="144"/>
        <v>0.23696639999999999</v>
      </c>
      <c r="AR60" s="35">
        <f t="shared" si="145"/>
        <v>0.23696639999999999</v>
      </c>
      <c r="AS60" s="35">
        <f t="shared" si="146"/>
        <v>3.8836048467325086</v>
      </c>
      <c r="AT60" s="35">
        <f t="shared" si="147"/>
        <v>4.0165124730171726</v>
      </c>
      <c r="AU60" s="35">
        <f t="shared" si="148"/>
        <v>4.0165124730171726</v>
      </c>
      <c r="AV60" s="35">
        <f t="shared" si="149"/>
        <v>0</v>
      </c>
    </row>
    <row r="61" spans="1:48" x14ac:dyDescent="0.45">
      <c r="A61" s="34" t="str">
        <f>Inputs!$A$88</f>
        <v>Urea</v>
      </c>
      <c r="B61" s="35">
        <f>Inputs!$B$88</f>
        <v>2800</v>
      </c>
      <c r="C61" s="35">
        <f>Inputs!$C$88</f>
        <v>2.1999999999999999E-2</v>
      </c>
      <c r="D61" s="35">
        <f>Inputs!$D$88</f>
        <v>1600</v>
      </c>
      <c r="E61" s="35">
        <f>Inputs!$E$88</f>
        <v>380</v>
      </c>
      <c r="F61" s="35">
        <f>Inputs!$J$88</f>
        <v>0.11219999999999999</v>
      </c>
      <c r="G61" s="35">
        <f>Inputs!$K$88</f>
        <v>0</v>
      </c>
      <c r="H61" s="35">
        <f>Inputs!$Q$88</f>
        <v>1.008786865491756E-3</v>
      </c>
      <c r="I61" s="35">
        <f t="shared" si="114"/>
        <v>3190.534213650481</v>
      </c>
      <c r="J61" s="35">
        <f t="shared" si="115"/>
        <v>2.2439999999999998</v>
      </c>
      <c r="K61" s="35">
        <f t="shared" si="116"/>
        <v>0</v>
      </c>
      <c r="L61" s="35">
        <f t="shared" si="117"/>
        <v>0</v>
      </c>
      <c r="M61" s="35">
        <f t="shared" si="118"/>
        <v>5.9052631578947364E-3</v>
      </c>
      <c r="N61" s="35">
        <f>I61*(1+M61)^EpsQ6</f>
        <v>3183.0288425590215</v>
      </c>
      <c r="O61" s="35">
        <f t="shared" si="119"/>
        <v>0.35713583613512218</v>
      </c>
      <c r="P61" s="35">
        <f t="shared" si="120"/>
        <v>0</v>
      </c>
      <c r="Q61" s="35">
        <f t="shared" si="121"/>
        <v>-1.738780972676162E-2</v>
      </c>
      <c r="R61" s="35">
        <f t="shared" si="122"/>
        <v>0</v>
      </c>
      <c r="S61" s="35">
        <f t="shared" si="123"/>
        <v>0.33974802640836055</v>
      </c>
      <c r="T61" s="35">
        <f t="shared" si="123"/>
        <v>0</v>
      </c>
      <c r="U61" s="35">
        <f t="shared" si="124"/>
        <v>0.33974802640836055</v>
      </c>
      <c r="V61" s="35">
        <f>(O61+P61)*(1-(1+M61)^(-EpsQ6))</f>
        <v>-8.4210263646177896E-4</v>
      </c>
      <c r="W61" s="35">
        <f>P61*(1-(1+M61)^(-EpsQ6))</f>
        <v>0</v>
      </c>
      <c r="X61" s="35">
        <f t="shared" si="125"/>
        <v>0</v>
      </c>
      <c r="Y61" s="35">
        <f t="shared" si="126"/>
        <v>6.794960528167211</v>
      </c>
      <c r="Z61" s="35">
        <f t="shared" si="127"/>
        <v>0</v>
      </c>
      <c r="AA61" s="35">
        <f t="shared" si="128"/>
        <v>6.794960528167211</v>
      </c>
      <c r="AB61" s="35">
        <f t="shared" si="129"/>
        <v>0</v>
      </c>
      <c r="AC61" s="35">
        <f t="shared" si="130"/>
        <v>0.10673733830674854</v>
      </c>
      <c r="AD61" s="35">
        <f t="shared" si="131"/>
        <v>2.1347467661349708</v>
      </c>
      <c r="AE61" s="35">
        <f t="shared" si="132"/>
        <v>3.0420141417423339</v>
      </c>
      <c r="AF61" s="35">
        <f t="shared" si="133"/>
        <v>3.0420141417423339</v>
      </c>
      <c r="AG61" s="35">
        <f t="shared" si="134"/>
        <v>8.5389870645398833</v>
      </c>
      <c r="AH61" s="35">
        <f t="shared" si="135"/>
        <v>5.5330392872218717</v>
      </c>
      <c r="AI61" s="35">
        <f t="shared" si="136"/>
        <v>9.9211028745267562</v>
      </c>
      <c r="AJ61" s="35">
        <f t="shared" si="137"/>
        <v>8706.7199999999993</v>
      </c>
      <c r="AK61" s="35">
        <f t="shared" si="138"/>
        <v>8706.7199999999993</v>
      </c>
      <c r="AL61" s="35">
        <f t="shared" si="139"/>
        <v>17952</v>
      </c>
      <c r="AM61" s="35">
        <f t="shared" si="140"/>
        <v>4867.222626787734</v>
      </c>
      <c r="AN61" s="35">
        <f t="shared" si="141"/>
        <v>4867.222626787734</v>
      </c>
      <c r="AO61" s="35">
        <f t="shared" si="142"/>
        <v>13662.379303263813</v>
      </c>
      <c r="AP61" s="35">
        <f t="shared" si="143"/>
        <v>0.17077974129079768</v>
      </c>
      <c r="AQ61" s="35">
        <f t="shared" si="144"/>
        <v>0.17951999999999999</v>
      </c>
      <c r="AR61" s="35">
        <f t="shared" si="145"/>
        <v>0.17951999999999999</v>
      </c>
      <c r="AS61" s="35">
        <f t="shared" si="146"/>
        <v>0.35713583613512218</v>
      </c>
      <c r="AT61" s="35">
        <f t="shared" si="147"/>
        <v>0.3579779387715839</v>
      </c>
      <c r="AU61" s="35">
        <f t="shared" si="148"/>
        <v>0.3579779387715839</v>
      </c>
      <c r="AV61" s="35">
        <f t="shared" si="149"/>
        <v>0</v>
      </c>
    </row>
    <row r="62" spans="1:48" x14ac:dyDescent="0.45">
      <c r="A62" s="34" t="str">
        <f>Inputs!$A$89</f>
        <v>Ammonium nitrate</v>
      </c>
      <c r="B62" s="35">
        <f>Inputs!$B$89</f>
        <v>600</v>
      </c>
      <c r="C62" s="35">
        <f>Inputs!$C$89</f>
        <v>2.1999999999999999E-2</v>
      </c>
      <c r="D62" s="35">
        <f>Inputs!$D$89</f>
        <v>80</v>
      </c>
      <c r="E62" s="35">
        <f>Inputs!$E$89</f>
        <v>320</v>
      </c>
      <c r="F62" s="35">
        <f>Inputs!$J$89</f>
        <v>0.11219999999999999</v>
      </c>
      <c r="G62" s="35">
        <f>Inputs!$K$89</f>
        <v>0.99441250000000003</v>
      </c>
      <c r="H62" s="35">
        <f>Inputs!$Q$89</f>
        <v>7.8858436436826454E-3</v>
      </c>
      <c r="I62" s="35">
        <f t="shared" si="114"/>
        <v>683.68590292510305</v>
      </c>
      <c r="J62" s="35">
        <f t="shared" si="115"/>
        <v>2.2439999999999998</v>
      </c>
      <c r="K62" s="35">
        <f t="shared" si="116"/>
        <v>19.888249999999999</v>
      </c>
      <c r="L62" s="35">
        <f t="shared" si="117"/>
        <v>0</v>
      </c>
      <c r="M62" s="35">
        <f t="shared" si="118"/>
        <v>6.916328125E-2</v>
      </c>
      <c r="N62" s="35">
        <f>I62*(1+M62)^EpsQ7</f>
        <v>665.63938566715558</v>
      </c>
      <c r="O62" s="35">
        <f t="shared" si="119"/>
        <v>7.4684739071854855E-2</v>
      </c>
      <c r="P62" s="35">
        <f t="shared" si="120"/>
        <v>0.66192012559974034</v>
      </c>
      <c r="Q62" s="35">
        <f t="shared" si="121"/>
        <v>-3.6361627736033898E-3</v>
      </c>
      <c r="R62" s="35">
        <f t="shared" si="122"/>
        <v>-9.6579730131253927E-2</v>
      </c>
      <c r="S62" s="35">
        <f t="shared" si="123"/>
        <v>7.1048576298251467E-2</v>
      </c>
      <c r="T62" s="35">
        <f t="shared" si="123"/>
        <v>0.56534039546848636</v>
      </c>
      <c r="U62" s="35">
        <f t="shared" si="124"/>
        <v>0.63638897176673781</v>
      </c>
      <c r="V62" s="35">
        <f>(O62+P62)*(1-(1+M62)^(-EpsQ7))</f>
        <v>-1.99705015791104E-2</v>
      </c>
      <c r="W62" s="35">
        <f>P62*(1-(1+M62)^(-EpsQ7))</f>
        <v>-1.7945682342768693E-2</v>
      </c>
      <c r="X62" s="35">
        <f t="shared" si="125"/>
        <v>1</v>
      </c>
      <c r="Y62" s="35">
        <f t="shared" si="126"/>
        <v>1.4209715259650293</v>
      </c>
      <c r="Z62" s="35">
        <f t="shared" si="127"/>
        <v>11.306807909369727</v>
      </c>
      <c r="AA62" s="35">
        <f t="shared" si="128"/>
        <v>12.727779435334757</v>
      </c>
      <c r="AB62" s="35">
        <f t="shared" si="129"/>
        <v>0</v>
      </c>
      <c r="AC62" s="35">
        <f t="shared" si="130"/>
        <v>0.95605666592114169</v>
      </c>
      <c r="AD62" s="35">
        <f t="shared" si="131"/>
        <v>19.121133318422835</v>
      </c>
      <c r="AE62" s="35">
        <f t="shared" si="132"/>
        <v>27.247614978752537</v>
      </c>
      <c r="AF62" s="35">
        <f t="shared" si="133"/>
        <v>27.247614978752537</v>
      </c>
      <c r="AG62" s="35">
        <f t="shared" si="134"/>
        <v>76.484533273691341</v>
      </c>
      <c r="AH62" s="35">
        <f t="shared" si="135"/>
        <v>2.4182780927136038</v>
      </c>
      <c r="AI62" s="35">
        <f t="shared" si="136"/>
        <v>4.892520701754564</v>
      </c>
      <c r="AJ62" s="35">
        <f t="shared" si="137"/>
        <v>4293.6564999999991</v>
      </c>
      <c r="AK62" s="35">
        <f t="shared" si="138"/>
        <v>4293.6564999999991</v>
      </c>
      <c r="AL62" s="35">
        <f t="shared" si="139"/>
        <v>8852.9</v>
      </c>
      <c r="AM62" s="35">
        <f t="shared" si="140"/>
        <v>2179.8091983002032</v>
      </c>
      <c r="AN62" s="35">
        <f t="shared" si="141"/>
        <v>2179.8091983002032</v>
      </c>
      <c r="AO62" s="35">
        <f t="shared" si="142"/>
        <v>6118.7626618953072</v>
      </c>
      <c r="AP62" s="35">
        <f t="shared" si="143"/>
        <v>7.6484533273691341E-2</v>
      </c>
      <c r="AQ62" s="35">
        <f t="shared" si="144"/>
        <v>8.852900000000001E-2</v>
      </c>
      <c r="AR62" s="35">
        <f t="shared" si="145"/>
        <v>8.852900000000001E-2</v>
      </c>
      <c r="AS62" s="35">
        <f t="shared" si="146"/>
        <v>0.73660486467159525</v>
      </c>
      <c r="AT62" s="35">
        <f t="shared" si="147"/>
        <v>0.75657536625070554</v>
      </c>
      <c r="AU62" s="35">
        <f t="shared" si="148"/>
        <v>7.6709558308196563E-2</v>
      </c>
      <c r="AV62" s="35">
        <f t="shared" si="149"/>
        <v>0.67986580794250906</v>
      </c>
    </row>
    <row r="63" spans="1:48" x14ac:dyDescent="0.45">
      <c r="A63" s="34" t="str">
        <f>Inputs!$A$90</f>
        <v>Aluminium</v>
      </c>
      <c r="B63" s="35">
        <f>Inputs!$B$90</f>
        <v>300</v>
      </c>
      <c r="C63" s="35">
        <f>Inputs!$C$90</f>
        <v>5.5E-2</v>
      </c>
      <c r="D63" s="35">
        <f>Inputs!$D$90</f>
        <v>167</v>
      </c>
      <c r="E63" s="35">
        <f>Inputs!$E$90</f>
        <v>2400</v>
      </c>
      <c r="F63" s="35">
        <f>Inputs!$J$90</f>
        <v>0.12342</v>
      </c>
      <c r="G63" s="35">
        <f>Inputs!$K$90</f>
        <v>2.3974930400000001</v>
      </c>
      <c r="H63" s="35">
        <f>Inputs!$Q$90</f>
        <v>1.9988245320635362E-3</v>
      </c>
      <c r="I63" s="35">
        <f t="shared" si="114"/>
        <v>413.65284202856708</v>
      </c>
      <c r="J63" s="35">
        <f t="shared" si="115"/>
        <v>2.4683999999999999</v>
      </c>
      <c r="K63" s="35">
        <f t="shared" si="116"/>
        <v>47.949860800000003</v>
      </c>
      <c r="L63" s="35">
        <f t="shared" si="117"/>
        <v>0</v>
      </c>
      <c r="M63" s="35">
        <f t="shared" si="118"/>
        <v>2.100760866666667E-2</v>
      </c>
      <c r="N63" s="35">
        <f>I63*(1+M63)^EpsQ8</f>
        <v>409.37519411418629</v>
      </c>
      <c r="O63" s="35">
        <f t="shared" si="119"/>
        <v>5.0525086457572872E-2</v>
      </c>
      <c r="P63" s="35">
        <f t="shared" si="120"/>
        <v>0.98147417863741071</v>
      </c>
      <c r="Q63" s="35">
        <f t="shared" si="121"/>
        <v>-2.4599060101604298E-3</v>
      </c>
      <c r="R63" s="35">
        <f t="shared" si="122"/>
        <v>-3.8461983650502372E-2</v>
      </c>
      <c r="S63" s="35">
        <f t="shared" si="123"/>
        <v>4.8065180447412439E-2</v>
      </c>
      <c r="T63" s="35">
        <f t="shared" si="123"/>
        <v>0.94301219498690836</v>
      </c>
      <c r="U63" s="35">
        <f t="shared" si="124"/>
        <v>0.99107737543432084</v>
      </c>
      <c r="V63" s="35">
        <f>(O63+P63)*(1-(1+M63)^(-EpsQ8))</f>
        <v>-1.0783578407891388E-2</v>
      </c>
      <c r="W63" s="35">
        <f>P63*(1-(1+M63)^(-EpsQ8))</f>
        <v>-1.0255631102298508E-2</v>
      </c>
      <c r="X63" s="35">
        <f t="shared" si="125"/>
        <v>1</v>
      </c>
      <c r="Y63" s="35">
        <f t="shared" si="126"/>
        <v>0.96130360894824873</v>
      </c>
      <c r="Z63" s="35">
        <f t="shared" si="127"/>
        <v>18.860243899738165</v>
      </c>
      <c r="AA63" s="35">
        <f t="shared" si="128"/>
        <v>19.821547508686415</v>
      </c>
      <c r="AB63" s="35">
        <f t="shared" si="129"/>
        <v>0</v>
      </c>
      <c r="AC63" s="35">
        <f t="shared" si="130"/>
        <v>2.4209512195257279</v>
      </c>
      <c r="AD63" s="35">
        <f t="shared" si="131"/>
        <v>48.419024390514551</v>
      </c>
      <c r="AE63" s="35">
        <f t="shared" si="132"/>
        <v>68.997109756483255</v>
      </c>
      <c r="AF63" s="35">
        <f t="shared" si="133"/>
        <v>68.997109756483255</v>
      </c>
      <c r="AG63" s="35">
        <f t="shared" si="134"/>
        <v>193.67609756205823</v>
      </c>
      <c r="AH63" s="35">
        <f t="shared" si="135"/>
        <v>15.723442561265506</v>
      </c>
      <c r="AI63" s="35">
        <f t="shared" si="136"/>
        <v>28.153398803171779</v>
      </c>
      <c r="AJ63" s="35">
        <f t="shared" si="137"/>
        <v>20418.135167479999</v>
      </c>
      <c r="AK63" s="35">
        <f t="shared" si="138"/>
        <v>20418.135167479999</v>
      </c>
      <c r="AL63" s="35">
        <f t="shared" si="139"/>
        <v>42099.247768000001</v>
      </c>
      <c r="AM63" s="35">
        <f t="shared" si="140"/>
        <v>11522.517329332704</v>
      </c>
      <c r="AN63" s="35">
        <f t="shared" si="141"/>
        <v>11522.517329332704</v>
      </c>
      <c r="AO63" s="35">
        <f t="shared" si="142"/>
        <v>32343.908292863725</v>
      </c>
      <c r="AP63" s="35">
        <f t="shared" si="143"/>
        <v>0.40429885366079654</v>
      </c>
      <c r="AQ63" s="35">
        <f t="shared" si="144"/>
        <v>0.42099247768000009</v>
      </c>
      <c r="AR63" s="35">
        <f t="shared" si="145"/>
        <v>0.42099247768000009</v>
      </c>
      <c r="AS63" s="35">
        <f t="shared" si="146"/>
        <v>1.0319992650949836</v>
      </c>
      <c r="AT63" s="35">
        <f t="shared" si="147"/>
        <v>1.0427828435028748</v>
      </c>
      <c r="AU63" s="35">
        <f t="shared" si="148"/>
        <v>5.105303376316575E-2</v>
      </c>
      <c r="AV63" s="35">
        <f t="shared" si="149"/>
        <v>0.99172980973970914</v>
      </c>
    </row>
    <row r="64" spans="1:48" x14ac:dyDescent="0.45">
      <c r="A64" s="36" t="s">
        <v>520</v>
      </c>
      <c r="I64" s="37">
        <f>SUM(I56:I63)</f>
        <v>79893.955657864804</v>
      </c>
      <c r="N64" s="37">
        <f t="shared" ref="N64:W64" si="150">SUM(N56:N63)</f>
        <v>78880.541357982802</v>
      </c>
      <c r="O64" s="37">
        <f t="shared" si="150"/>
        <v>27.169331337630204</v>
      </c>
      <c r="P64" s="37">
        <f t="shared" si="150"/>
        <v>34.325581893260441</v>
      </c>
      <c r="Q64" s="37">
        <f t="shared" si="150"/>
        <v>-1.3227884628282383</v>
      </c>
      <c r="R64" s="37">
        <f t="shared" si="150"/>
        <v>-2.242427612552663</v>
      </c>
      <c r="S64" s="37">
        <f t="shared" si="150"/>
        <v>25.846542874801969</v>
      </c>
      <c r="T64" s="37">
        <f t="shared" si="150"/>
        <v>32.083154280707774</v>
      </c>
      <c r="U64" s="37">
        <f t="shared" si="150"/>
        <v>57.929697155509736</v>
      </c>
      <c r="V64" s="37">
        <f t="shared" si="150"/>
        <v>-0.92869665992700123</v>
      </c>
      <c r="W64" s="37">
        <f t="shared" si="150"/>
        <v>-0.49590352364010887</v>
      </c>
      <c r="Y64" s="37">
        <f>SUM(Y56:Y63)</f>
        <v>516.93085749603927</v>
      </c>
      <c r="Z64" s="37">
        <f>SUM(Z56:Z63)</f>
        <v>641.66308561415553</v>
      </c>
      <c r="AA64" s="37">
        <f>SUM(AA56:AA63)</f>
        <v>1158.5939431101945</v>
      </c>
      <c r="AB64" s="37">
        <f>SUM(AB56:AB63)</f>
        <v>0</v>
      </c>
      <c r="AH64" s="37">
        <f t="shared" ref="AH64:AV64" si="151">SUM(AH56:AH63)</f>
        <v>65.86163924362458</v>
      </c>
      <c r="AI64" s="37">
        <f t="shared" si="151"/>
        <v>120.0155796747419</v>
      </c>
      <c r="AJ64" s="37">
        <f t="shared" si="151"/>
        <v>96335.510660679996</v>
      </c>
      <c r="AK64" s="37">
        <f t="shared" si="151"/>
        <v>96335.510660679996</v>
      </c>
      <c r="AL64" s="37">
        <f t="shared" si="151"/>
        <v>198629.91888799999</v>
      </c>
      <c r="AM64" s="37">
        <f t="shared" si="151"/>
        <v>53539.775177511554</v>
      </c>
      <c r="AN64" s="37">
        <f t="shared" si="151"/>
        <v>53539.775177511554</v>
      </c>
      <c r="AO64" s="37">
        <f t="shared" si="151"/>
        <v>150287.0882175763</v>
      </c>
      <c r="AP64" s="37">
        <f t="shared" si="151"/>
        <v>1.8785886027197038</v>
      </c>
      <c r="AQ64" s="37">
        <f t="shared" si="151"/>
        <v>1.9862991888800001</v>
      </c>
      <c r="AR64" s="37">
        <f t="shared" si="151"/>
        <v>1.9862991888800001</v>
      </c>
      <c r="AS64" s="37">
        <f t="shared" si="151"/>
        <v>61.494913230890646</v>
      </c>
      <c r="AT64" s="37">
        <f t="shared" si="151"/>
        <v>62.423609890817644</v>
      </c>
      <c r="AU64" s="37">
        <f t="shared" si="151"/>
        <v>27.602124473917094</v>
      </c>
      <c r="AV64" s="37">
        <f t="shared" si="151"/>
        <v>34.821485416900551</v>
      </c>
    </row>
    <row r="68" spans="1:48" x14ac:dyDescent="0.45">
      <c r="A68" s="93" t="s">
        <v>524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ht="30" customHeight="1" x14ac:dyDescent="0.45">
      <c r="A69" s="4" t="s">
        <v>214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4" t="s">
        <v>463</v>
      </c>
      <c r="H69" s="4" t="s">
        <v>464</v>
      </c>
      <c r="I69" s="4" t="s">
        <v>465</v>
      </c>
      <c r="J69" s="4" t="s">
        <v>466</v>
      </c>
      <c r="K69" s="4" t="s">
        <v>467</v>
      </c>
      <c r="L69" s="4" t="s">
        <v>468</v>
      </c>
      <c r="M69" s="4" t="s">
        <v>469</v>
      </c>
      <c r="N69" s="4" t="s">
        <v>470</v>
      </c>
      <c r="O69" s="4" t="s">
        <v>215</v>
      </c>
      <c r="P69" s="4" t="s">
        <v>471</v>
      </c>
      <c r="Q69" s="4" t="s">
        <v>472</v>
      </c>
      <c r="R69" s="4" t="s">
        <v>31</v>
      </c>
    </row>
    <row r="70" spans="1:48" ht="25.5" x14ac:dyDescent="0.45">
      <c r="A70" s="32" t="s">
        <v>237</v>
      </c>
      <c r="B70" s="7">
        <f>INDEX(BT_Tau,MATCH($A$70,BT_Code,0))</f>
        <v>20</v>
      </c>
      <c r="C70" s="7">
        <f>B70*INDEX(BT_Flag,MATCH($A$70,BT_Code,0))</f>
        <v>20</v>
      </c>
      <c r="D70" s="7">
        <f>INDEX(BT_Theta,MATCH($A$70,BT_Code,0))*B70</f>
        <v>20</v>
      </c>
      <c r="E70" s="7">
        <f>INDEX(BT_Phi,MATCH($A$70,BT_Code,0))*SigmaEff</f>
        <v>0</v>
      </c>
      <c r="F70" s="7">
        <v>1</v>
      </c>
      <c r="G70" s="7">
        <f>INDEX(BT_Flag,MATCH($A$70,BT_Code,0))</f>
        <v>1</v>
      </c>
      <c r="H70" s="33">
        <f>IF(Mode="PROTOTYPE",1,EXP(Bf*(F70*B70+E70)))</f>
        <v>0.95131317563947027</v>
      </c>
      <c r="I70" s="7">
        <f>CBFsel</f>
        <v>0.48499999999999999</v>
      </c>
      <c r="J70" s="7">
        <f>PEU</f>
        <v>100</v>
      </c>
      <c r="K70" s="7">
        <f>Ssel</f>
        <v>1</v>
      </c>
      <c r="L70" s="7">
        <f>CBFyr</f>
        <v>0.48499999999999999</v>
      </c>
      <c r="M70" s="7">
        <v>1</v>
      </c>
      <c r="N70" s="7">
        <f>Yr</f>
        <v>2030</v>
      </c>
      <c r="O70" s="7" t="str">
        <f>INDEX(BT_Scen,MATCH($A$70,BT_Code,0))</f>
        <v>EG3</v>
      </c>
      <c r="P70" s="7">
        <f>Bf</f>
        <v>-2.4955979362141917E-3</v>
      </c>
      <c r="Q70" s="7" t="str">
        <f>BetaSet</f>
        <v>IPCC_CENTRAL</v>
      </c>
      <c r="R70" s="7" t="str">
        <f>Mode</f>
        <v>REBUILD</v>
      </c>
    </row>
    <row r="71" spans="1:48" ht="54" customHeight="1" x14ac:dyDescent="0.45">
      <c r="A71" s="4" t="s">
        <v>244</v>
      </c>
      <c r="B71" s="4" t="s">
        <v>473</v>
      </c>
      <c r="C71" s="4" t="s">
        <v>474</v>
      </c>
      <c r="D71" s="4" t="s">
        <v>475</v>
      </c>
      <c r="E71" s="4" t="s">
        <v>476</v>
      </c>
      <c r="F71" s="4" t="s">
        <v>477</v>
      </c>
      <c r="G71" s="4" t="s">
        <v>478</v>
      </c>
      <c r="H71" s="4" t="s">
        <v>479</v>
      </c>
      <c r="I71" s="4" t="s">
        <v>480</v>
      </c>
      <c r="J71" s="4" t="s">
        <v>481</v>
      </c>
      <c r="K71" s="4" t="s">
        <v>482</v>
      </c>
      <c r="L71" s="4" t="s">
        <v>483</v>
      </c>
      <c r="M71" s="4" t="s">
        <v>484</v>
      </c>
      <c r="N71" s="4" t="s">
        <v>485</v>
      </c>
      <c r="O71" s="4" t="s">
        <v>486</v>
      </c>
      <c r="P71" s="4" t="s">
        <v>487</v>
      </c>
      <c r="Q71" s="4" t="s">
        <v>488</v>
      </c>
      <c r="R71" s="4" t="s">
        <v>489</v>
      </c>
      <c r="S71" s="4" t="s">
        <v>490</v>
      </c>
      <c r="T71" s="4" t="s">
        <v>491</v>
      </c>
      <c r="U71" s="4" t="s">
        <v>492</v>
      </c>
      <c r="V71" s="4" t="s">
        <v>493</v>
      </c>
      <c r="W71" s="4" t="s">
        <v>494</v>
      </c>
      <c r="X71" s="4" t="s">
        <v>495</v>
      </c>
      <c r="Y71" s="4" t="s">
        <v>496</v>
      </c>
      <c r="Z71" s="4" t="s">
        <v>497</v>
      </c>
      <c r="AA71" s="4" t="s">
        <v>498</v>
      </c>
      <c r="AB71" s="4" t="s">
        <v>499</v>
      </c>
      <c r="AC71" s="4" t="s">
        <v>500</v>
      </c>
      <c r="AD71" s="4" t="s">
        <v>501</v>
      </c>
      <c r="AE71" s="4" t="s">
        <v>502</v>
      </c>
      <c r="AF71" s="4" t="s">
        <v>503</v>
      </c>
      <c r="AG71" s="4" t="s">
        <v>504</v>
      </c>
      <c r="AH71" s="4" t="s">
        <v>505</v>
      </c>
      <c r="AI71" s="4" t="s">
        <v>506</v>
      </c>
      <c r="AJ71" s="4" t="s">
        <v>507</v>
      </c>
      <c r="AK71" s="4" t="s">
        <v>508</v>
      </c>
      <c r="AL71" s="4" t="s">
        <v>509</v>
      </c>
      <c r="AM71" s="4" t="s">
        <v>510</v>
      </c>
      <c r="AN71" s="4" t="s">
        <v>511</v>
      </c>
      <c r="AO71" s="4" t="s">
        <v>512</v>
      </c>
      <c r="AP71" s="4" t="s">
        <v>513</v>
      </c>
      <c r="AQ71" s="4" t="s">
        <v>514</v>
      </c>
      <c r="AR71" s="4" t="s">
        <v>515</v>
      </c>
      <c r="AS71" s="4" t="s">
        <v>516</v>
      </c>
      <c r="AT71" s="4" t="s">
        <v>517</v>
      </c>
      <c r="AU71" s="4" t="s">
        <v>518</v>
      </c>
      <c r="AV71" s="4" t="s">
        <v>519</v>
      </c>
    </row>
    <row r="72" spans="1:48" x14ac:dyDescent="0.45">
      <c r="A72" s="34" t="str">
        <f>Inputs!$A$83</f>
        <v>DRI-EAF steel</v>
      </c>
      <c r="B72" s="35">
        <f>Inputs!$B$83</f>
        <v>5100</v>
      </c>
      <c r="C72" s="35">
        <f>Inputs!$C$83</f>
        <v>4.3999999999999997E-2</v>
      </c>
      <c r="D72" s="35">
        <f>Inputs!$D$83</f>
        <v>580</v>
      </c>
      <c r="E72" s="35">
        <f>Inputs!$E$83</f>
        <v>750</v>
      </c>
      <c r="F72" s="35">
        <f>Inputs!$J$83</f>
        <v>0.57099076999999998</v>
      </c>
      <c r="G72" s="35">
        <f>Inputs!$K$83</f>
        <v>3.7901020000000001E-2</v>
      </c>
      <c r="H72" s="35">
        <f>Inputs!$Q$83</f>
        <v>3.4469507031574592E-3</v>
      </c>
      <c r="I72" s="35">
        <f t="shared" ref="I72:I79" si="152">B72*(1+C72)^($N$70-BaseYr)</f>
        <v>6603.4845807876563</v>
      </c>
      <c r="J72" s="35">
        <f t="shared" ref="J72:J79" si="153">$F$70*$B$70*F72</f>
        <v>11.419815399999999</v>
      </c>
      <c r="K72" s="35">
        <f t="shared" ref="K72:K79" si="154">$G$70*$C$70*G72</f>
        <v>0.75802040000000004</v>
      </c>
      <c r="L72" s="35">
        <f t="shared" ref="L72:L79" si="155">MIN($D$70,$B$70)*$F$70*F72+MIN($D$70,$C$70)*$G$70*G72</f>
        <v>12.177835799999999</v>
      </c>
      <c r="M72" s="35">
        <f t="shared" ref="M72:M79" si="156">IF(E72&gt;0,(J72+K72-L72)/E72,0)</f>
        <v>0</v>
      </c>
      <c r="N72" s="35">
        <f>I72*(1+M72)^EpsQ1</f>
        <v>6603.4845807876563</v>
      </c>
      <c r="O72" s="35">
        <f t="shared" ref="O72:O79" si="157">N72*F72/1000</f>
        <v>3.7705287454670713</v>
      </c>
      <c r="P72" s="35">
        <f t="shared" ref="P72:P79" si="158">N72*G72/1000</f>
        <v>0.25027880116612461</v>
      </c>
      <c r="Q72" s="35">
        <f t="shared" ref="Q72:Q79" si="159">O72*($H$70-1)</f>
        <v>-0.18357507077688381</v>
      </c>
      <c r="R72" s="35">
        <f t="shared" ref="R72:R79" si="160">-P72*(1-EXP(-H72*($G$70*$C$70+$E$70)))</f>
        <v>-1.6672672325586665E-2</v>
      </c>
      <c r="S72" s="35">
        <f t="shared" ref="S72:T79" si="161">O72+Q72</f>
        <v>3.5869536746901876</v>
      </c>
      <c r="T72" s="35">
        <f t="shared" si="161"/>
        <v>0.23360612884053794</v>
      </c>
      <c r="U72" s="35">
        <f t="shared" ref="U72:U79" si="162">S72+T72</f>
        <v>3.8205598035307253</v>
      </c>
      <c r="V72" s="35">
        <f>(O72+P72)*(1-(1+M72)^(-EpsQ1))</f>
        <v>0</v>
      </c>
      <c r="W72" s="35">
        <f>P72*(1-(1+M72)^(-EpsQ1))</f>
        <v>0</v>
      </c>
      <c r="X72" s="35">
        <f t="shared" ref="X72:X79" si="163">IF(G72&gt;0,1,0)</f>
        <v>1</v>
      </c>
      <c r="Y72" s="35">
        <f t="shared" ref="Y72:Y79" si="164">S72*$F$70*$B$70</f>
        <v>71.739073493803744</v>
      </c>
      <c r="Z72" s="35">
        <f t="shared" ref="Z72:Z79" si="165">(P72*X72+R72)*$G$70*$C$70</f>
        <v>4.672122576810759</v>
      </c>
      <c r="AA72" s="35">
        <f t="shared" ref="AA72:AA79" si="166">Y72+Z72</f>
        <v>76.411196070614508</v>
      </c>
      <c r="AB72" s="35">
        <f t="shared" ref="AB72:AB79" si="167">L72*N72/1000</f>
        <v>80.416150932663911</v>
      </c>
      <c r="AC72" s="35">
        <f t="shared" ref="AC72:AC79" si="168">IF(N72&gt;0,U72*1000/N72,0)</f>
        <v>0.57856723322204129</v>
      </c>
      <c r="AD72" s="35">
        <f t="shared" ref="AD72:AD79" si="169">IF(N72&gt;0,AA72*1000/N72-L72,0)</f>
        <v>-0.60649113555917467</v>
      </c>
      <c r="AE72" s="35">
        <f t="shared" ref="AE72:AE79" si="170">MAX(0,$I$70*$J$70*AC72-$K$70*MAX(0,AD72))</f>
        <v>28.060510811269001</v>
      </c>
      <c r="AF72" s="35">
        <f t="shared" ref="AF72:AF79" si="171">MAX(0,$L$70*$J$70*AC72-MAX(0,AD72))</f>
        <v>28.060510811269001</v>
      </c>
      <c r="AG72" s="35">
        <f t="shared" ref="AG72:AG79" si="172">MAX(0,$M$70*$J$70*AC72-MAX(0,AD72))</f>
        <v>57.856723322204132</v>
      </c>
      <c r="AH72" s="35">
        <f t="shared" ref="AH72:AH79" si="173">IF(B72&gt;0,D72*N72/B72*AE72/1000,0)</f>
        <v>21.073009269278295</v>
      </c>
      <c r="AI72" s="35">
        <f t="shared" ref="AI72:AI79" si="174">D72*(1+C72)^($N$70-BaseYr)*$I$70*$J$70*(F72+G72)/1000</f>
        <v>22.177512997410155</v>
      </c>
      <c r="AJ72" s="35">
        <f t="shared" ref="AJ72:AJ79" si="175">D72*$I$70*$J$70*(F72+G72)</f>
        <v>17128.126052699998</v>
      </c>
      <c r="AK72" s="35">
        <f t="shared" ref="AK72:AK79" si="176">D72*$L$70*$J$70*(F72+G72)</f>
        <v>17128.126052699998</v>
      </c>
      <c r="AL72" s="35">
        <f t="shared" ref="AL72:AL79" si="177">D72*$M$70*$J$70*(F72+G72)</f>
        <v>35315.723819999999</v>
      </c>
      <c r="AM72" s="35">
        <f t="shared" ref="AM72:AM79" si="178">D72*AE72</f>
        <v>16275.09627053602</v>
      </c>
      <c r="AN72" s="35">
        <f t="shared" ref="AN72:AN79" si="179">D72*AF72</f>
        <v>16275.09627053602</v>
      </c>
      <c r="AO72" s="35">
        <f t="shared" ref="AO72:AO79" si="180">D72*AG72</f>
        <v>33556.899526878398</v>
      </c>
      <c r="AP72" s="35">
        <f t="shared" ref="AP72:AP79" si="181">IF(N72&gt;0,D72*U72/N72,0)</f>
        <v>0.33556899526878392</v>
      </c>
      <c r="AQ72" s="35">
        <f t="shared" ref="AQ72:AQ79" si="182">IF(N72&gt;0,D72*(O72+P72)/N72,0)</f>
        <v>0.35315723820000006</v>
      </c>
      <c r="AR72" s="35">
        <f t="shared" ref="AR72:AR79" si="183">IF(N72&gt;0,D72*AS72/N72,0)</f>
        <v>0.35315723820000006</v>
      </c>
      <c r="AS72" s="35">
        <f t="shared" ref="AS72:AS79" si="184">O72*IF($F$70&gt;0,1,0)+P72*X72*IF($G$70&gt;0,1,0)</f>
        <v>4.0208075466331961</v>
      </c>
      <c r="AT72" s="35">
        <f t="shared" ref="AT72:AT79" si="185">I72*(F72+G72)/1000</f>
        <v>4.0208075466331952</v>
      </c>
      <c r="AU72" s="35">
        <f t="shared" ref="AU72:AU79" si="186">I72*F72/1000</f>
        <v>3.7705287454670713</v>
      </c>
      <c r="AV72" s="35">
        <f t="shared" ref="AV72:AV79" si="187">I72*G72/1000</f>
        <v>0.25027880116612461</v>
      </c>
    </row>
    <row r="73" spans="1:48" x14ac:dyDescent="0.45">
      <c r="A73" s="34" t="str">
        <f>Inputs!$A$84</f>
        <v>Scrap-EAF steel</v>
      </c>
      <c r="B73" s="35">
        <f>Inputs!$B$84</f>
        <v>4800</v>
      </c>
      <c r="C73" s="35">
        <f>Inputs!$C$84</f>
        <v>4.3999999999999997E-2</v>
      </c>
      <c r="D73" s="35">
        <f>Inputs!$D$84</f>
        <v>300</v>
      </c>
      <c r="E73" s="35">
        <f>Inputs!$E$84</f>
        <v>680</v>
      </c>
      <c r="F73" s="35">
        <f>Inputs!$J$84</f>
        <v>4.4880000000000003E-2</v>
      </c>
      <c r="G73" s="35">
        <f>Inputs!$K$84</f>
        <v>4.3981149999999997E-2</v>
      </c>
      <c r="H73" s="35">
        <f>Inputs!$Q$84</f>
        <v>1.6366491404021942E-3</v>
      </c>
      <c r="I73" s="35">
        <f t="shared" si="152"/>
        <v>6215.0443113295587</v>
      </c>
      <c r="J73" s="35">
        <f t="shared" si="153"/>
        <v>0.89760000000000006</v>
      </c>
      <c r="K73" s="35">
        <f t="shared" si="154"/>
        <v>0.87962299999999993</v>
      </c>
      <c r="L73" s="35">
        <f t="shared" si="155"/>
        <v>1.777223</v>
      </c>
      <c r="M73" s="35">
        <f t="shared" si="156"/>
        <v>0</v>
      </c>
      <c r="N73" s="35">
        <f>I73*(1+M73)^EpsQ2</f>
        <v>6215.0443113295587</v>
      </c>
      <c r="O73" s="35">
        <f t="shared" si="157"/>
        <v>0.27893118869247063</v>
      </c>
      <c r="P73" s="35">
        <f t="shared" si="158"/>
        <v>0.27334479611323198</v>
      </c>
      <c r="Q73" s="35">
        <f t="shared" si="159"/>
        <v>-1.3580273792544095E-2</v>
      </c>
      <c r="R73" s="35">
        <f t="shared" si="160"/>
        <v>-8.8025379095901524E-3</v>
      </c>
      <c r="S73" s="35">
        <f t="shared" si="161"/>
        <v>0.26535091489992652</v>
      </c>
      <c r="T73" s="35">
        <f t="shared" si="161"/>
        <v>0.26454225820364186</v>
      </c>
      <c r="U73" s="35">
        <f t="shared" si="162"/>
        <v>0.52989317310356832</v>
      </c>
      <c r="V73" s="35">
        <f>(O73+P73)*(1-(1+M73)^(-EpsQ2))</f>
        <v>0</v>
      </c>
      <c r="W73" s="35">
        <f>P73*(1-(1+M73)^(-EpsQ2))</f>
        <v>0</v>
      </c>
      <c r="X73" s="35">
        <f t="shared" si="163"/>
        <v>1</v>
      </c>
      <c r="Y73" s="35">
        <f t="shared" si="164"/>
        <v>5.3070182979985301</v>
      </c>
      <c r="Z73" s="35">
        <f t="shared" si="165"/>
        <v>5.2908451640728371</v>
      </c>
      <c r="AA73" s="35">
        <f t="shared" si="166"/>
        <v>10.597863462071366</v>
      </c>
      <c r="AB73" s="35">
        <f t="shared" si="167"/>
        <v>11.045519696114052</v>
      </c>
      <c r="AC73" s="35">
        <f t="shared" si="168"/>
        <v>8.5259757864897742E-2</v>
      </c>
      <c r="AD73" s="35">
        <f t="shared" si="169"/>
        <v>-7.2027842702045319E-2</v>
      </c>
      <c r="AE73" s="35">
        <f t="shared" si="170"/>
        <v>4.1350982564475407</v>
      </c>
      <c r="AF73" s="35">
        <f t="shared" si="171"/>
        <v>4.1350982564475407</v>
      </c>
      <c r="AG73" s="35">
        <f t="shared" si="172"/>
        <v>8.5259757864897736</v>
      </c>
      <c r="AH73" s="35">
        <f t="shared" si="173"/>
        <v>1.6062386809701916</v>
      </c>
      <c r="AI73" s="35">
        <f t="shared" si="174"/>
        <v>1.6740865789422863</v>
      </c>
      <c r="AJ73" s="35">
        <f t="shared" si="175"/>
        <v>1292.9297325</v>
      </c>
      <c r="AK73" s="35">
        <f t="shared" si="176"/>
        <v>1292.9297325</v>
      </c>
      <c r="AL73" s="35">
        <f t="shared" si="177"/>
        <v>2665.8344999999999</v>
      </c>
      <c r="AM73" s="35">
        <f t="shared" si="178"/>
        <v>1240.5294769342622</v>
      </c>
      <c r="AN73" s="35">
        <f t="shared" si="179"/>
        <v>1240.5294769342622</v>
      </c>
      <c r="AO73" s="35">
        <f t="shared" si="180"/>
        <v>2557.7927359469322</v>
      </c>
      <c r="AP73" s="35">
        <f t="shared" si="181"/>
        <v>2.5577927359469323E-2</v>
      </c>
      <c r="AQ73" s="35">
        <f t="shared" si="182"/>
        <v>2.6658345E-2</v>
      </c>
      <c r="AR73" s="35">
        <f t="shared" si="183"/>
        <v>2.6658345E-2</v>
      </c>
      <c r="AS73" s="35">
        <f t="shared" si="184"/>
        <v>0.55227598480570261</v>
      </c>
      <c r="AT73" s="35">
        <f t="shared" si="185"/>
        <v>0.55227598480570261</v>
      </c>
      <c r="AU73" s="35">
        <f t="shared" si="186"/>
        <v>0.27893118869247063</v>
      </c>
      <c r="AV73" s="35">
        <f t="shared" si="187"/>
        <v>0.27334479611323198</v>
      </c>
    </row>
    <row r="74" spans="1:48" x14ac:dyDescent="0.45">
      <c r="A74" s="34" t="str">
        <f>Inputs!$A$85</f>
        <v>BF-BOF steel</v>
      </c>
      <c r="B74" s="35">
        <f>Inputs!$B$85</f>
        <v>0</v>
      </c>
      <c r="C74" s="35">
        <f>Inputs!$C$85</f>
        <v>0</v>
      </c>
      <c r="D74" s="35">
        <f>Inputs!$D$85</f>
        <v>0</v>
      </c>
      <c r="E74" s="35">
        <f>Inputs!$E$85</f>
        <v>620</v>
      </c>
      <c r="F74" s="35">
        <f>Inputs!$J$85</f>
        <v>1.4249802699999998</v>
      </c>
      <c r="G74" s="35">
        <f>Inputs!$K$85</f>
        <v>5.276542E-2</v>
      </c>
      <c r="H74" s="35">
        <f>Inputs!$Q$85</f>
        <v>2.6960722989211347E-3</v>
      </c>
      <c r="I74" s="35">
        <f t="shared" si="152"/>
        <v>0</v>
      </c>
      <c r="J74" s="35">
        <f t="shared" si="153"/>
        <v>28.499605399999997</v>
      </c>
      <c r="K74" s="35">
        <f t="shared" si="154"/>
        <v>1.0553083999999999</v>
      </c>
      <c r="L74" s="35">
        <f t="shared" si="155"/>
        <v>29.554913799999998</v>
      </c>
      <c r="M74" s="35">
        <f t="shared" si="156"/>
        <v>0</v>
      </c>
      <c r="N74" s="35">
        <f>I74*(1+M74)^EpsQ3</f>
        <v>0</v>
      </c>
      <c r="O74" s="35">
        <f t="shared" si="157"/>
        <v>0</v>
      </c>
      <c r="P74" s="35">
        <f t="shared" si="158"/>
        <v>0</v>
      </c>
      <c r="Q74" s="35">
        <f t="shared" si="159"/>
        <v>0</v>
      </c>
      <c r="R74" s="35">
        <f t="shared" si="160"/>
        <v>0</v>
      </c>
      <c r="S74" s="35">
        <f t="shared" si="161"/>
        <v>0</v>
      </c>
      <c r="T74" s="35">
        <f t="shared" si="161"/>
        <v>0</v>
      </c>
      <c r="U74" s="35">
        <f t="shared" si="162"/>
        <v>0</v>
      </c>
      <c r="V74" s="35">
        <f>(O74+P74)*(1-(1+M74)^(-EpsQ3))</f>
        <v>0</v>
      </c>
      <c r="W74" s="35">
        <f>P74*(1-(1+M74)^(-EpsQ3))</f>
        <v>0</v>
      </c>
      <c r="X74" s="35">
        <f t="shared" si="163"/>
        <v>1</v>
      </c>
      <c r="Y74" s="35">
        <f t="shared" si="164"/>
        <v>0</v>
      </c>
      <c r="Z74" s="35">
        <f t="shared" si="165"/>
        <v>0</v>
      </c>
      <c r="AA74" s="35">
        <f t="shared" si="166"/>
        <v>0</v>
      </c>
      <c r="AB74" s="35">
        <f t="shared" si="167"/>
        <v>0</v>
      </c>
      <c r="AC74" s="35">
        <f t="shared" si="168"/>
        <v>0</v>
      </c>
      <c r="AD74" s="35">
        <f t="shared" si="169"/>
        <v>0</v>
      </c>
      <c r="AE74" s="35">
        <f t="shared" si="170"/>
        <v>0</v>
      </c>
      <c r="AF74" s="35">
        <f t="shared" si="171"/>
        <v>0</v>
      </c>
      <c r="AG74" s="35">
        <f t="shared" si="172"/>
        <v>0</v>
      </c>
      <c r="AH74" s="35">
        <f t="shared" si="173"/>
        <v>0</v>
      </c>
      <c r="AI74" s="35">
        <f t="shared" si="174"/>
        <v>0</v>
      </c>
      <c r="AJ74" s="35">
        <f t="shared" si="175"/>
        <v>0</v>
      </c>
      <c r="AK74" s="35">
        <f t="shared" si="176"/>
        <v>0</v>
      </c>
      <c r="AL74" s="35">
        <f t="shared" si="177"/>
        <v>0</v>
      </c>
      <c r="AM74" s="35">
        <f t="shared" si="178"/>
        <v>0</v>
      </c>
      <c r="AN74" s="35">
        <f t="shared" si="179"/>
        <v>0</v>
      </c>
      <c r="AO74" s="35">
        <f t="shared" si="180"/>
        <v>0</v>
      </c>
      <c r="AP74" s="35">
        <f t="shared" si="181"/>
        <v>0</v>
      </c>
      <c r="AQ74" s="35">
        <f t="shared" si="182"/>
        <v>0</v>
      </c>
      <c r="AR74" s="35">
        <f t="shared" si="183"/>
        <v>0</v>
      </c>
      <c r="AS74" s="35">
        <f t="shared" si="184"/>
        <v>0</v>
      </c>
      <c r="AT74" s="35">
        <f t="shared" si="185"/>
        <v>0</v>
      </c>
      <c r="AU74" s="35">
        <f t="shared" si="186"/>
        <v>0</v>
      </c>
      <c r="AV74" s="35">
        <f t="shared" si="187"/>
        <v>0</v>
      </c>
    </row>
    <row r="75" spans="1:48" x14ac:dyDescent="0.45">
      <c r="A75" s="34" t="str">
        <f>Inputs!$A$86</f>
        <v>Clinker</v>
      </c>
      <c r="B75" s="35">
        <f>Inputs!$B$86</f>
        <v>50000</v>
      </c>
      <c r="C75" s="35">
        <f>Inputs!$C$86</f>
        <v>3.3000000000000002E-2</v>
      </c>
      <c r="D75" s="35">
        <f>Inputs!$D$86</f>
        <v>800</v>
      </c>
      <c r="E75" s="35">
        <f>Inputs!$E$86</f>
        <v>110</v>
      </c>
      <c r="F75" s="35">
        <f>Inputs!$J$86</f>
        <v>0.31356850000000003</v>
      </c>
      <c r="G75" s="35">
        <f>Inputs!$K$86</f>
        <v>0.53702616000000003</v>
      </c>
      <c r="H75" s="35">
        <f>Inputs!$Q$86</f>
        <v>3.3464675036139224E-3</v>
      </c>
      <c r="I75" s="35">
        <f t="shared" si="152"/>
        <v>60753.588245941261</v>
      </c>
      <c r="J75" s="35">
        <f t="shared" si="153"/>
        <v>6.271370000000001</v>
      </c>
      <c r="K75" s="35">
        <f t="shared" si="154"/>
        <v>10.7405232</v>
      </c>
      <c r="L75" s="35">
        <f t="shared" si="155"/>
        <v>17.011893200000003</v>
      </c>
      <c r="M75" s="35">
        <f t="shared" si="156"/>
        <v>0</v>
      </c>
      <c r="N75" s="35">
        <f>I75*(1+M75)^EpsQ4</f>
        <v>60753.588245941261</v>
      </c>
      <c r="O75" s="35">
        <f t="shared" si="157"/>
        <v>19.050411535897435</v>
      </c>
      <c r="P75" s="35">
        <f t="shared" si="158"/>
        <v>32.626266201938975</v>
      </c>
      <c r="Q75" s="35">
        <f t="shared" si="159"/>
        <v>-0.92750404044404788</v>
      </c>
      <c r="R75" s="35">
        <f t="shared" si="160"/>
        <v>-2.1121828707199399</v>
      </c>
      <c r="S75" s="35">
        <f t="shared" si="161"/>
        <v>18.122907495453386</v>
      </c>
      <c r="T75" s="35">
        <f t="shared" si="161"/>
        <v>30.514083331219034</v>
      </c>
      <c r="U75" s="35">
        <f t="shared" si="162"/>
        <v>48.636990826672417</v>
      </c>
      <c r="V75" s="35">
        <f>(O75+P75)*(1-(1+M75)^(-EpsQ4))</f>
        <v>0</v>
      </c>
      <c r="W75" s="35">
        <f>P75*(1-(1+M75)^(-EpsQ4))</f>
        <v>0</v>
      </c>
      <c r="X75" s="35">
        <f t="shared" si="163"/>
        <v>1</v>
      </c>
      <c r="Y75" s="35">
        <f t="shared" si="164"/>
        <v>362.45814990906774</v>
      </c>
      <c r="Z75" s="35">
        <f t="shared" si="165"/>
        <v>610.2816666243807</v>
      </c>
      <c r="AA75" s="35">
        <f t="shared" si="166"/>
        <v>972.73981653344845</v>
      </c>
      <c r="AB75" s="35">
        <f t="shared" si="167"/>
        <v>1033.5335547567283</v>
      </c>
      <c r="AC75" s="35">
        <f t="shared" si="168"/>
        <v>0.80056161670288972</v>
      </c>
      <c r="AD75" s="35">
        <f t="shared" si="169"/>
        <v>-1.0006608659422049</v>
      </c>
      <c r="AE75" s="35">
        <f t="shared" si="170"/>
        <v>38.827238410090153</v>
      </c>
      <c r="AF75" s="35">
        <f t="shared" si="171"/>
        <v>38.827238410090153</v>
      </c>
      <c r="AG75" s="35">
        <f t="shared" si="172"/>
        <v>80.056161670288972</v>
      </c>
      <c r="AH75" s="35">
        <f t="shared" si="173"/>
        <v>37.742304881497795</v>
      </c>
      <c r="AI75" s="35">
        <f t="shared" si="174"/>
        <v>40.10110192456105</v>
      </c>
      <c r="AJ75" s="35">
        <f t="shared" si="175"/>
        <v>33003.072808000004</v>
      </c>
      <c r="AK75" s="35">
        <f t="shared" si="176"/>
        <v>33003.072808000004</v>
      </c>
      <c r="AL75" s="35">
        <f t="shared" si="177"/>
        <v>68047.572800000009</v>
      </c>
      <c r="AM75" s="35">
        <f t="shared" si="178"/>
        <v>31061.790728072123</v>
      </c>
      <c r="AN75" s="35">
        <f t="shared" si="179"/>
        <v>31061.790728072123</v>
      </c>
      <c r="AO75" s="35">
        <f t="shared" si="180"/>
        <v>64044.92933623118</v>
      </c>
      <c r="AP75" s="35">
        <f t="shared" si="181"/>
        <v>0.64044929336231182</v>
      </c>
      <c r="AQ75" s="35">
        <f t="shared" si="182"/>
        <v>0.68047572800000022</v>
      </c>
      <c r="AR75" s="35">
        <f t="shared" si="183"/>
        <v>0.68047572800000022</v>
      </c>
      <c r="AS75" s="35">
        <f t="shared" si="184"/>
        <v>51.676677737836414</v>
      </c>
      <c r="AT75" s="35">
        <f t="shared" si="185"/>
        <v>51.676677737836407</v>
      </c>
      <c r="AU75" s="35">
        <f t="shared" si="186"/>
        <v>19.050411535897435</v>
      </c>
      <c r="AV75" s="35">
        <f t="shared" si="187"/>
        <v>32.626266201938975</v>
      </c>
    </row>
    <row r="76" spans="1:48" x14ac:dyDescent="0.45">
      <c r="A76" s="34" t="str">
        <f>Inputs!$A$87</f>
        <v>Ammonia</v>
      </c>
      <c r="B76" s="35">
        <f>Inputs!$B$87</f>
        <v>1785</v>
      </c>
      <c r="C76" s="35">
        <f>Inputs!$C$87</f>
        <v>2.1999999999999999E-2</v>
      </c>
      <c r="D76" s="35">
        <f>Inputs!$D$87</f>
        <v>120</v>
      </c>
      <c r="E76" s="35">
        <f>Inputs!$E$87</f>
        <v>450</v>
      </c>
      <c r="F76" s="35">
        <f>Inputs!$J$87</f>
        <v>1.97472</v>
      </c>
      <c r="G76" s="35">
        <f>Inputs!$K$87</f>
        <v>0</v>
      </c>
      <c r="H76" s="35">
        <f>Inputs!$Q$87</f>
        <v>2.8931765504132002E-3</v>
      </c>
      <c r="I76" s="35">
        <f t="shared" si="152"/>
        <v>2033.9655612021818</v>
      </c>
      <c r="J76" s="35">
        <f t="shared" si="153"/>
        <v>39.494399999999999</v>
      </c>
      <c r="K76" s="35">
        <f t="shared" si="154"/>
        <v>0</v>
      </c>
      <c r="L76" s="35">
        <f t="shared" si="155"/>
        <v>39.494399999999999</v>
      </c>
      <c r="M76" s="35">
        <f t="shared" si="156"/>
        <v>0</v>
      </c>
      <c r="N76" s="35">
        <f>I76*(1+M76)^EpsQ5</f>
        <v>2033.9655612021818</v>
      </c>
      <c r="O76" s="35">
        <f t="shared" si="157"/>
        <v>4.0165124730171726</v>
      </c>
      <c r="P76" s="35">
        <f t="shared" si="158"/>
        <v>0</v>
      </c>
      <c r="Q76" s="35">
        <f t="shared" si="159"/>
        <v>-0.19555123731566401</v>
      </c>
      <c r="R76" s="35">
        <f t="shared" si="160"/>
        <v>0</v>
      </c>
      <c r="S76" s="35">
        <f t="shared" si="161"/>
        <v>3.8209612357015086</v>
      </c>
      <c r="T76" s="35">
        <f t="shared" si="161"/>
        <v>0</v>
      </c>
      <c r="U76" s="35">
        <f t="shared" si="162"/>
        <v>3.8209612357015086</v>
      </c>
      <c r="V76" s="35">
        <f>(O76+P76)*(1-(1+M76)^(-EpsQ5))</f>
        <v>0</v>
      </c>
      <c r="W76" s="35">
        <f>P76*(1-(1+M76)^(-EpsQ5))</f>
        <v>0</v>
      </c>
      <c r="X76" s="35">
        <f t="shared" si="163"/>
        <v>0</v>
      </c>
      <c r="Y76" s="35">
        <f t="shared" si="164"/>
        <v>76.419224714030179</v>
      </c>
      <c r="Z76" s="35">
        <f t="shared" si="165"/>
        <v>0</v>
      </c>
      <c r="AA76" s="35">
        <f t="shared" si="166"/>
        <v>76.419224714030179</v>
      </c>
      <c r="AB76" s="35">
        <f t="shared" si="167"/>
        <v>80.330249460343452</v>
      </c>
      <c r="AC76" s="35">
        <f t="shared" si="168"/>
        <v>1.8785771541987748</v>
      </c>
      <c r="AD76" s="35">
        <f t="shared" si="169"/>
        <v>-1.9228569160245002</v>
      </c>
      <c r="AE76" s="35">
        <f t="shared" si="170"/>
        <v>91.110991978640584</v>
      </c>
      <c r="AF76" s="35">
        <f t="shared" si="171"/>
        <v>91.110991978640584</v>
      </c>
      <c r="AG76" s="35">
        <f t="shared" si="172"/>
        <v>187.85771541987748</v>
      </c>
      <c r="AH76" s="35">
        <f t="shared" si="173"/>
        <v>12.458260163463745</v>
      </c>
      <c r="AI76" s="35">
        <f t="shared" si="174"/>
        <v>13.095855794375316</v>
      </c>
      <c r="AJ76" s="35">
        <f t="shared" si="175"/>
        <v>11492.8704</v>
      </c>
      <c r="AK76" s="35">
        <f t="shared" si="176"/>
        <v>11492.8704</v>
      </c>
      <c r="AL76" s="35">
        <f t="shared" si="177"/>
        <v>23696.639999999999</v>
      </c>
      <c r="AM76" s="35">
        <f t="shared" si="178"/>
        <v>10933.31903743687</v>
      </c>
      <c r="AN76" s="35">
        <f t="shared" si="179"/>
        <v>10933.31903743687</v>
      </c>
      <c r="AO76" s="35">
        <f t="shared" si="180"/>
        <v>22542.925850385298</v>
      </c>
      <c r="AP76" s="35">
        <f t="shared" si="181"/>
        <v>0.22542925850385298</v>
      </c>
      <c r="AQ76" s="35">
        <f t="shared" si="182"/>
        <v>0.23696640000000002</v>
      </c>
      <c r="AR76" s="35">
        <f t="shared" si="183"/>
        <v>0.23696640000000002</v>
      </c>
      <c r="AS76" s="35">
        <f t="shared" si="184"/>
        <v>4.0165124730171726</v>
      </c>
      <c r="AT76" s="35">
        <f t="shared" si="185"/>
        <v>4.0165124730171726</v>
      </c>
      <c r="AU76" s="35">
        <f t="shared" si="186"/>
        <v>4.0165124730171726</v>
      </c>
      <c r="AV76" s="35">
        <f t="shared" si="187"/>
        <v>0</v>
      </c>
    </row>
    <row r="77" spans="1:48" x14ac:dyDescent="0.45">
      <c r="A77" s="34" t="str">
        <f>Inputs!$A$88</f>
        <v>Urea</v>
      </c>
      <c r="B77" s="35">
        <f>Inputs!$B$88</f>
        <v>2800</v>
      </c>
      <c r="C77" s="35">
        <f>Inputs!$C$88</f>
        <v>2.1999999999999999E-2</v>
      </c>
      <c r="D77" s="35">
        <f>Inputs!$D$88</f>
        <v>1600</v>
      </c>
      <c r="E77" s="35">
        <f>Inputs!$E$88</f>
        <v>380</v>
      </c>
      <c r="F77" s="35">
        <f>Inputs!$J$88</f>
        <v>0.11219999999999999</v>
      </c>
      <c r="G77" s="35">
        <f>Inputs!$K$88</f>
        <v>0</v>
      </c>
      <c r="H77" s="35">
        <f>Inputs!$Q$88</f>
        <v>1.008786865491756E-3</v>
      </c>
      <c r="I77" s="35">
        <f t="shared" si="152"/>
        <v>3190.534213650481</v>
      </c>
      <c r="J77" s="35">
        <f t="shared" si="153"/>
        <v>2.2439999999999998</v>
      </c>
      <c r="K77" s="35">
        <f t="shared" si="154"/>
        <v>0</v>
      </c>
      <c r="L77" s="35">
        <f t="shared" si="155"/>
        <v>2.2439999999999998</v>
      </c>
      <c r="M77" s="35">
        <f t="shared" si="156"/>
        <v>0</v>
      </c>
      <c r="N77" s="35">
        <f>I77*(1+M77)^EpsQ6</f>
        <v>3190.534213650481</v>
      </c>
      <c r="O77" s="35">
        <f t="shared" si="157"/>
        <v>0.3579779387715839</v>
      </c>
      <c r="P77" s="35">
        <f t="shared" si="158"/>
        <v>0</v>
      </c>
      <c r="Q77" s="35">
        <f t="shared" si="159"/>
        <v>-1.7428809029916573E-2</v>
      </c>
      <c r="R77" s="35">
        <f t="shared" si="160"/>
        <v>0</v>
      </c>
      <c r="S77" s="35">
        <f t="shared" si="161"/>
        <v>0.34054912974166734</v>
      </c>
      <c r="T77" s="35">
        <f t="shared" si="161"/>
        <v>0</v>
      </c>
      <c r="U77" s="35">
        <f t="shared" si="162"/>
        <v>0.34054912974166734</v>
      </c>
      <c r="V77" s="35">
        <f>(O77+P77)*(1-(1+M77)^(-EpsQ6))</f>
        <v>0</v>
      </c>
      <c r="W77" s="35">
        <f>P77*(1-(1+M77)^(-EpsQ6))</f>
        <v>0</v>
      </c>
      <c r="X77" s="35">
        <f t="shared" si="163"/>
        <v>0</v>
      </c>
      <c r="Y77" s="35">
        <f t="shared" si="164"/>
        <v>6.8109825948333471</v>
      </c>
      <c r="Z77" s="35">
        <f t="shared" si="165"/>
        <v>0</v>
      </c>
      <c r="AA77" s="35">
        <f t="shared" si="166"/>
        <v>6.8109825948333471</v>
      </c>
      <c r="AB77" s="35">
        <f t="shared" si="167"/>
        <v>7.1595587754316785</v>
      </c>
      <c r="AC77" s="35">
        <f t="shared" si="168"/>
        <v>0.10673733830674854</v>
      </c>
      <c r="AD77" s="35">
        <f t="shared" si="169"/>
        <v>-0.1092532338650285</v>
      </c>
      <c r="AE77" s="35">
        <f t="shared" si="170"/>
        <v>5.1767609078773047</v>
      </c>
      <c r="AF77" s="35">
        <f t="shared" si="171"/>
        <v>5.1767609078773047</v>
      </c>
      <c r="AG77" s="35">
        <f t="shared" si="172"/>
        <v>10.673733830674854</v>
      </c>
      <c r="AH77" s="35">
        <f t="shared" si="173"/>
        <v>9.4380758814119243</v>
      </c>
      <c r="AI77" s="35">
        <f t="shared" si="174"/>
        <v>9.9211028745267562</v>
      </c>
      <c r="AJ77" s="35">
        <f t="shared" si="175"/>
        <v>8706.7199999999993</v>
      </c>
      <c r="AK77" s="35">
        <f t="shared" si="176"/>
        <v>8706.7199999999993</v>
      </c>
      <c r="AL77" s="35">
        <f t="shared" si="177"/>
        <v>17952</v>
      </c>
      <c r="AM77" s="35">
        <f t="shared" si="178"/>
        <v>8282.8174526036873</v>
      </c>
      <c r="AN77" s="35">
        <f t="shared" si="179"/>
        <v>8282.8174526036873</v>
      </c>
      <c r="AO77" s="35">
        <f t="shared" si="180"/>
        <v>17077.974129079765</v>
      </c>
      <c r="AP77" s="35">
        <f t="shared" si="181"/>
        <v>0.17077974129079768</v>
      </c>
      <c r="AQ77" s="35">
        <f t="shared" si="182"/>
        <v>0.17951999999999996</v>
      </c>
      <c r="AR77" s="35">
        <f t="shared" si="183"/>
        <v>0.17951999999999996</v>
      </c>
      <c r="AS77" s="35">
        <f t="shared" si="184"/>
        <v>0.3579779387715839</v>
      </c>
      <c r="AT77" s="35">
        <f t="shared" si="185"/>
        <v>0.3579779387715839</v>
      </c>
      <c r="AU77" s="35">
        <f t="shared" si="186"/>
        <v>0.3579779387715839</v>
      </c>
      <c r="AV77" s="35">
        <f t="shared" si="187"/>
        <v>0</v>
      </c>
    </row>
    <row r="78" spans="1:48" x14ac:dyDescent="0.45">
      <c r="A78" s="34" t="str">
        <f>Inputs!$A$89</f>
        <v>Ammonium nitrate</v>
      </c>
      <c r="B78" s="35">
        <f>Inputs!$B$89</f>
        <v>600</v>
      </c>
      <c r="C78" s="35">
        <f>Inputs!$C$89</f>
        <v>2.1999999999999999E-2</v>
      </c>
      <c r="D78" s="35">
        <f>Inputs!$D$89</f>
        <v>80</v>
      </c>
      <c r="E78" s="35">
        <f>Inputs!$E$89</f>
        <v>320</v>
      </c>
      <c r="F78" s="35">
        <f>Inputs!$J$89</f>
        <v>0.11219999999999999</v>
      </c>
      <c r="G78" s="35">
        <f>Inputs!$K$89</f>
        <v>0.99441250000000003</v>
      </c>
      <c r="H78" s="35">
        <f>Inputs!$Q$89</f>
        <v>7.8858436436826454E-3</v>
      </c>
      <c r="I78" s="35">
        <f t="shared" si="152"/>
        <v>683.68590292510305</v>
      </c>
      <c r="J78" s="35">
        <f t="shared" si="153"/>
        <v>2.2439999999999998</v>
      </c>
      <c r="K78" s="35">
        <f t="shared" si="154"/>
        <v>19.888249999999999</v>
      </c>
      <c r="L78" s="35">
        <f t="shared" si="155"/>
        <v>22.132249999999999</v>
      </c>
      <c r="M78" s="35">
        <f t="shared" si="156"/>
        <v>0</v>
      </c>
      <c r="N78" s="35">
        <f>I78*(1+M78)^EpsQ7</f>
        <v>683.68590292510305</v>
      </c>
      <c r="O78" s="35">
        <f t="shared" si="157"/>
        <v>7.6709558308196563E-2</v>
      </c>
      <c r="P78" s="35">
        <f t="shared" si="158"/>
        <v>0.67986580794250906</v>
      </c>
      <c r="Q78" s="35">
        <f t="shared" si="159"/>
        <v>-3.7347447921249805E-3</v>
      </c>
      <c r="R78" s="35">
        <f t="shared" si="160"/>
        <v>-9.9198156570721119E-2</v>
      </c>
      <c r="S78" s="35">
        <f t="shared" si="161"/>
        <v>7.2974813516071588E-2</v>
      </c>
      <c r="T78" s="35">
        <f t="shared" si="161"/>
        <v>0.58066765137178789</v>
      </c>
      <c r="U78" s="35">
        <f t="shared" si="162"/>
        <v>0.65364246488785949</v>
      </c>
      <c r="V78" s="35">
        <f>(O78+P78)*(1-(1+M78)^(-EpsQ7))</f>
        <v>0</v>
      </c>
      <c r="W78" s="35">
        <f>P78*(1-(1+M78)^(-EpsQ7))</f>
        <v>0</v>
      </c>
      <c r="X78" s="35">
        <f t="shared" si="163"/>
        <v>1</v>
      </c>
      <c r="Y78" s="35">
        <f t="shared" si="164"/>
        <v>1.4594962703214318</v>
      </c>
      <c r="Z78" s="35">
        <f t="shared" si="165"/>
        <v>11.613353027435757</v>
      </c>
      <c r="AA78" s="35">
        <f t="shared" si="166"/>
        <v>13.072849297757189</v>
      </c>
      <c r="AB78" s="35">
        <f t="shared" si="167"/>
        <v>15.131507325014113</v>
      </c>
      <c r="AC78" s="35">
        <f t="shared" si="168"/>
        <v>0.9560566659211418</v>
      </c>
      <c r="AD78" s="35">
        <f t="shared" si="169"/>
        <v>-3.0111166815771604</v>
      </c>
      <c r="AE78" s="35">
        <f t="shared" si="170"/>
        <v>46.368748297175379</v>
      </c>
      <c r="AF78" s="35">
        <f t="shared" si="171"/>
        <v>46.368748297175379</v>
      </c>
      <c r="AG78" s="35">
        <f t="shared" si="172"/>
        <v>95.605666592114176</v>
      </c>
      <c r="AH78" s="35">
        <f t="shared" si="173"/>
        <v>4.226887939608158</v>
      </c>
      <c r="AI78" s="35">
        <f t="shared" si="174"/>
        <v>4.892520701754564</v>
      </c>
      <c r="AJ78" s="35">
        <f t="shared" si="175"/>
        <v>4293.6564999999991</v>
      </c>
      <c r="AK78" s="35">
        <f t="shared" si="176"/>
        <v>4293.6564999999991</v>
      </c>
      <c r="AL78" s="35">
        <f t="shared" si="177"/>
        <v>8852.9</v>
      </c>
      <c r="AM78" s="35">
        <f t="shared" si="178"/>
        <v>3709.4998637740305</v>
      </c>
      <c r="AN78" s="35">
        <f t="shared" si="179"/>
        <v>3709.4998637740305</v>
      </c>
      <c r="AO78" s="35">
        <f t="shared" si="180"/>
        <v>7648.4533273691341</v>
      </c>
      <c r="AP78" s="35">
        <f t="shared" si="181"/>
        <v>7.6484533273691355E-2</v>
      </c>
      <c r="AQ78" s="35">
        <f t="shared" si="182"/>
        <v>8.8528999999999997E-2</v>
      </c>
      <c r="AR78" s="35">
        <f t="shared" si="183"/>
        <v>8.8528999999999997E-2</v>
      </c>
      <c r="AS78" s="35">
        <f t="shared" si="184"/>
        <v>0.75657536625070565</v>
      </c>
      <c r="AT78" s="35">
        <f t="shared" si="185"/>
        <v>0.75657536625070554</v>
      </c>
      <c r="AU78" s="35">
        <f t="shared" si="186"/>
        <v>7.6709558308196563E-2</v>
      </c>
      <c r="AV78" s="35">
        <f t="shared" si="187"/>
        <v>0.67986580794250906</v>
      </c>
    </row>
    <row r="79" spans="1:48" x14ac:dyDescent="0.45">
      <c r="A79" s="34" t="str">
        <f>Inputs!$A$90</f>
        <v>Aluminium</v>
      </c>
      <c r="B79" s="35">
        <f>Inputs!$B$90</f>
        <v>300</v>
      </c>
      <c r="C79" s="35">
        <f>Inputs!$C$90</f>
        <v>5.5E-2</v>
      </c>
      <c r="D79" s="35">
        <f>Inputs!$D$90</f>
        <v>167</v>
      </c>
      <c r="E79" s="35">
        <f>Inputs!$E$90</f>
        <v>2400</v>
      </c>
      <c r="F79" s="35">
        <f>Inputs!$J$90</f>
        <v>0.12342</v>
      </c>
      <c r="G79" s="35">
        <f>Inputs!$K$90</f>
        <v>2.3974930400000001</v>
      </c>
      <c r="H79" s="35">
        <f>Inputs!$Q$90</f>
        <v>1.9988245320635362E-3</v>
      </c>
      <c r="I79" s="35">
        <f t="shared" si="152"/>
        <v>413.65284202856708</v>
      </c>
      <c r="J79" s="35">
        <f t="shared" si="153"/>
        <v>2.4683999999999999</v>
      </c>
      <c r="K79" s="35">
        <f t="shared" si="154"/>
        <v>47.949860800000003</v>
      </c>
      <c r="L79" s="35">
        <f t="shared" si="155"/>
        <v>50.418260800000006</v>
      </c>
      <c r="M79" s="35">
        <f t="shared" si="156"/>
        <v>0</v>
      </c>
      <c r="N79" s="35">
        <f>I79*(1+M79)^EpsQ8</f>
        <v>413.65284202856708</v>
      </c>
      <c r="O79" s="35">
        <f t="shared" si="157"/>
        <v>5.105303376316575E-2</v>
      </c>
      <c r="P79" s="35">
        <f t="shared" si="158"/>
        <v>0.99172980973970914</v>
      </c>
      <c r="Q79" s="35">
        <f t="shared" si="159"/>
        <v>-2.4856100878994452E-3</v>
      </c>
      <c r="R79" s="35">
        <f t="shared" si="160"/>
        <v>-3.8863881045632841E-2</v>
      </c>
      <c r="S79" s="35">
        <f t="shared" si="161"/>
        <v>4.8567423675266307E-2</v>
      </c>
      <c r="T79" s="35">
        <f t="shared" si="161"/>
        <v>0.95286592869407627</v>
      </c>
      <c r="U79" s="35">
        <f t="shared" si="162"/>
        <v>1.0014333523693426</v>
      </c>
      <c r="V79" s="35">
        <f>(O79+P79)*(1-(1+M79)^(-EpsQ8))</f>
        <v>0</v>
      </c>
      <c r="W79" s="35">
        <f>P79*(1-(1+M79)^(-EpsQ8))</f>
        <v>0</v>
      </c>
      <c r="X79" s="35">
        <f t="shared" si="163"/>
        <v>1</v>
      </c>
      <c r="Y79" s="35">
        <f t="shared" si="164"/>
        <v>0.97134847350532616</v>
      </c>
      <c r="Z79" s="35">
        <f t="shared" si="165"/>
        <v>19.057318573881524</v>
      </c>
      <c r="AA79" s="35">
        <f t="shared" si="166"/>
        <v>20.02866704738685</v>
      </c>
      <c r="AB79" s="35">
        <f t="shared" si="167"/>
        <v>20.855656870057498</v>
      </c>
      <c r="AC79" s="35">
        <f t="shared" si="168"/>
        <v>2.4209512195257274</v>
      </c>
      <c r="AD79" s="35">
        <f t="shared" si="169"/>
        <v>-1.9992364094854551</v>
      </c>
      <c r="AE79" s="35">
        <f t="shared" si="170"/>
        <v>117.41613414699778</v>
      </c>
      <c r="AF79" s="35">
        <f t="shared" si="171"/>
        <v>117.41613414699778</v>
      </c>
      <c r="AG79" s="35">
        <f t="shared" si="172"/>
        <v>242.09512195257275</v>
      </c>
      <c r="AH79" s="35">
        <f t="shared" si="173"/>
        <v>27.03703145838497</v>
      </c>
      <c r="AI79" s="35">
        <f t="shared" si="174"/>
        <v>28.153398803171779</v>
      </c>
      <c r="AJ79" s="35">
        <f t="shared" si="175"/>
        <v>20418.135167479999</v>
      </c>
      <c r="AK79" s="35">
        <f t="shared" si="176"/>
        <v>20418.135167479999</v>
      </c>
      <c r="AL79" s="35">
        <f t="shared" si="177"/>
        <v>42099.247768000001</v>
      </c>
      <c r="AM79" s="35">
        <f t="shared" si="178"/>
        <v>19608.494402548629</v>
      </c>
      <c r="AN79" s="35">
        <f t="shared" si="179"/>
        <v>19608.494402548629</v>
      </c>
      <c r="AO79" s="35">
        <f t="shared" si="180"/>
        <v>40429.885366079652</v>
      </c>
      <c r="AP79" s="35">
        <f t="shared" si="181"/>
        <v>0.40429885366079649</v>
      </c>
      <c r="AQ79" s="35">
        <f t="shared" si="182"/>
        <v>0.42099247768000003</v>
      </c>
      <c r="AR79" s="35">
        <f t="shared" si="183"/>
        <v>0.42099247768000003</v>
      </c>
      <c r="AS79" s="35">
        <f t="shared" si="184"/>
        <v>1.042782843502875</v>
      </c>
      <c r="AT79" s="35">
        <f t="shared" si="185"/>
        <v>1.0427828435028748</v>
      </c>
      <c r="AU79" s="35">
        <f t="shared" si="186"/>
        <v>5.105303376316575E-2</v>
      </c>
      <c r="AV79" s="35">
        <f t="shared" si="187"/>
        <v>0.99172980973970914</v>
      </c>
    </row>
    <row r="80" spans="1:48" x14ac:dyDescent="0.45">
      <c r="A80" s="36" t="s">
        <v>520</v>
      </c>
      <c r="I80" s="37">
        <f>SUM(I72:I79)</f>
        <v>79893.955657864804</v>
      </c>
      <c r="N80" s="37">
        <f t="shared" ref="N80:W80" si="188">SUM(N72:N79)</f>
        <v>79893.955657864804</v>
      </c>
      <c r="O80" s="37">
        <f t="shared" si="188"/>
        <v>27.602124473917094</v>
      </c>
      <c r="P80" s="37">
        <f t="shared" si="188"/>
        <v>34.821485416900551</v>
      </c>
      <c r="Q80" s="37">
        <f t="shared" si="188"/>
        <v>-1.3438597862390809</v>
      </c>
      <c r="R80" s="37">
        <f t="shared" si="188"/>
        <v>-2.2757201185714711</v>
      </c>
      <c r="S80" s="37">
        <f t="shared" si="188"/>
        <v>26.258264687678018</v>
      </c>
      <c r="T80" s="37">
        <f t="shared" si="188"/>
        <v>32.545765298329073</v>
      </c>
      <c r="U80" s="37">
        <f t="shared" si="188"/>
        <v>58.804029986007087</v>
      </c>
      <c r="V80" s="37">
        <f t="shared" si="188"/>
        <v>0</v>
      </c>
      <c r="W80" s="37">
        <f t="shared" si="188"/>
        <v>0</v>
      </c>
      <c r="Y80" s="37">
        <f>SUM(Y72:Y79)</f>
        <v>525.16529375356038</v>
      </c>
      <c r="Z80" s="37">
        <f>SUM(Z72:Z79)</f>
        <v>650.91530596658163</v>
      </c>
      <c r="AA80" s="37">
        <f>SUM(AA72:AA79)</f>
        <v>1176.0805997201417</v>
      </c>
      <c r="AB80" s="37">
        <f>SUM(AB72:AB79)</f>
        <v>1248.4721978163532</v>
      </c>
      <c r="AH80" s="37">
        <f t="shared" ref="AH80:AV80" si="189">SUM(AH72:AH79)</f>
        <v>113.58180827461508</v>
      </c>
      <c r="AI80" s="37">
        <f t="shared" si="189"/>
        <v>120.0155796747419</v>
      </c>
      <c r="AJ80" s="37">
        <f t="shared" si="189"/>
        <v>96335.510660679996</v>
      </c>
      <c r="AK80" s="37">
        <f t="shared" si="189"/>
        <v>96335.510660679996</v>
      </c>
      <c r="AL80" s="37">
        <f t="shared" si="189"/>
        <v>198629.91888799999</v>
      </c>
      <c r="AM80" s="37">
        <f t="shared" si="189"/>
        <v>91111.547231905628</v>
      </c>
      <c r="AN80" s="37">
        <f t="shared" si="189"/>
        <v>91111.547231905628</v>
      </c>
      <c r="AO80" s="37">
        <f t="shared" si="189"/>
        <v>187858.86027197036</v>
      </c>
      <c r="AP80" s="37">
        <f t="shared" si="189"/>
        <v>1.8785886027197038</v>
      </c>
      <c r="AQ80" s="37">
        <f t="shared" si="189"/>
        <v>1.9862991888800003</v>
      </c>
      <c r="AR80" s="37">
        <f t="shared" si="189"/>
        <v>1.9862991888800003</v>
      </c>
      <c r="AS80" s="37">
        <f t="shared" si="189"/>
        <v>62.423609890817652</v>
      </c>
      <c r="AT80" s="37">
        <f t="shared" si="189"/>
        <v>62.423609890817644</v>
      </c>
      <c r="AU80" s="37">
        <f t="shared" si="189"/>
        <v>27.602124473917094</v>
      </c>
      <c r="AV80" s="37">
        <f t="shared" si="189"/>
        <v>34.821485416900551</v>
      </c>
    </row>
    <row r="84" spans="1:48" x14ac:dyDescent="0.45">
      <c r="A84" s="93" t="s">
        <v>525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</row>
    <row r="85" spans="1:48" ht="30" customHeight="1" x14ac:dyDescent="0.45">
      <c r="A85" s="4" t="s">
        <v>214</v>
      </c>
      <c r="B85" s="4" t="s">
        <v>458</v>
      </c>
      <c r="C85" s="4" t="s">
        <v>459</v>
      </c>
      <c r="D85" s="4" t="s">
        <v>460</v>
      </c>
      <c r="E85" s="4" t="s">
        <v>461</v>
      </c>
      <c r="F85" s="4" t="s">
        <v>462</v>
      </c>
      <c r="G85" s="4" t="s">
        <v>463</v>
      </c>
      <c r="H85" s="4" t="s">
        <v>464</v>
      </c>
      <c r="I85" s="4" t="s">
        <v>465</v>
      </c>
      <c r="J85" s="4" t="s">
        <v>466</v>
      </c>
      <c r="K85" s="4" t="s">
        <v>467</v>
      </c>
      <c r="L85" s="4" t="s">
        <v>468</v>
      </c>
      <c r="M85" s="4" t="s">
        <v>469</v>
      </c>
      <c r="N85" s="4" t="s">
        <v>470</v>
      </c>
      <c r="O85" s="4" t="s">
        <v>215</v>
      </c>
      <c r="P85" s="4" t="s">
        <v>471</v>
      </c>
      <c r="Q85" s="4" t="s">
        <v>472</v>
      </c>
      <c r="R85" s="4" t="s">
        <v>31</v>
      </c>
    </row>
    <row r="86" spans="1:48" ht="25.5" x14ac:dyDescent="0.45">
      <c r="A86" s="32" t="s">
        <v>240</v>
      </c>
      <c r="B86" s="7">
        <f>INDEX(BT_Tau,MATCH($A$86,BT_Code,0))</f>
        <v>20</v>
      </c>
      <c r="C86" s="7">
        <f>B86*INDEX(BT_Flag,MATCH($A$86,BT_Code,0))</f>
        <v>20</v>
      </c>
      <c r="D86" s="7">
        <f>INDEX(BT_Theta,MATCH($A$86,BT_Code,0))*B86</f>
        <v>0</v>
      </c>
      <c r="E86" s="7">
        <f>INDEX(BT_Phi,MATCH($A$86,BT_Code,0))*SigmaEff</f>
        <v>20</v>
      </c>
      <c r="F86" s="7">
        <v>1</v>
      </c>
      <c r="G86" s="7">
        <f>INDEX(BT_Flag,MATCH($A$86,BT_Code,0))</f>
        <v>1</v>
      </c>
      <c r="H86" s="33">
        <f>IF(Mode="PROTOTYPE",1,EXP(Bf*(F86*B86+E86)))</f>
        <v>0.9049967581452536</v>
      </c>
      <c r="I86" s="7">
        <f>CBFsel</f>
        <v>0.48499999999999999</v>
      </c>
      <c r="J86" s="7">
        <f>PEU</f>
        <v>100</v>
      </c>
      <c r="K86" s="7">
        <f>Ssel</f>
        <v>1</v>
      </c>
      <c r="L86" s="7">
        <f>CBFyr</f>
        <v>0.48499999999999999</v>
      </c>
      <c r="M86" s="7">
        <v>1</v>
      </c>
      <c r="N86" s="7">
        <f>Yr</f>
        <v>2030</v>
      </c>
      <c r="O86" s="7" t="str">
        <f>INDEX(BT_Scen,MATCH($A$86,BT_Code,0))</f>
        <v>EG3</v>
      </c>
      <c r="P86" s="7">
        <f>Bf</f>
        <v>-2.4955979362141917E-3</v>
      </c>
      <c r="Q86" s="7" t="str">
        <f>BetaSet</f>
        <v>IPCC_CENTRAL</v>
      </c>
      <c r="R86" s="7" t="str">
        <f>Mode</f>
        <v>REBUILD</v>
      </c>
    </row>
    <row r="87" spans="1:48" ht="54" customHeight="1" x14ac:dyDescent="0.45">
      <c r="A87" s="4" t="s">
        <v>244</v>
      </c>
      <c r="B87" s="4" t="s">
        <v>473</v>
      </c>
      <c r="C87" s="4" t="s">
        <v>474</v>
      </c>
      <c r="D87" s="4" t="s">
        <v>475</v>
      </c>
      <c r="E87" s="4" t="s">
        <v>476</v>
      </c>
      <c r="F87" s="4" t="s">
        <v>477</v>
      </c>
      <c r="G87" s="4" t="s">
        <v>478</v>
      </c>
      <c r="H87" s="4" t="s">
        <v>479</v>
      </c>
      <c r="I87" s="4" t="s">
        <v>480</v>
      </c>
      <c r="J87" s="4" t="s">
        <v>481</v>
      </c>
      <c r="K87" s="4" t="s">
        <v>482</v>
      </c>
      <c r="L87" s="4" t="s">
        <v>483</v>
      </c>
      <c r="M87" s="4" t="s">
        <v>484</v>
      </c>
      <c r="N87" s="4" t="s">
        <v>485</v>
      </c>
      <c r="O87" s="4" t="s">
        <v>486</v>
      </c>
      <c r="P87" s="4" t="s">
        <v>487</v>
      </c>
      <c r="Q87" s="4" t="s">
        <v>488</v>
      </c>
      <c r="R87" s="4" t="s">
        <v>489</v>
      </c>
      <c r="S87" s="4" t="s">
        <v>490</v>
      </c>
      <c r="T87" s="4" t="s">
        <v>491</v>
      </c>
      <c r="U87" s="4" t="s">
        <v>492</v>
      </c>
      <c r="V87" s="4" t="s">
        <v>493</v>
      </c>
      <c r="W87" s="4" t="s">
        <v>494</v>
      </c>
      <c r="X87" s="4" t="s">
        <v>495</v>
      </c>
      <c r="Y87" s="4" t="s">
        <v>496</v>
      </c>
      <c r="Z87" s="4" t="s">
        <v>497</v>
      </c>
      <c r="AA87" s="4" t="s">
        <v>498</v>
      </c>
      <c r="AB87" s="4" t="s">
        <v>499</v>
      </c>
      <c r="AC87" s="4" t="s">
        <v>500</v>
      </c>
      <c r="AD87" s="4" t="s">
        <v>501</v>
      </c>
      <c r="AE87" s="4" t="s">
        <v>502</v>
      </c>
      <c r="AF87" s="4" t="s">
        <v>503</v>
      </c>
      <c r="AG87" s="4" t="s">
        <v>504</v>
      </c>
      <c r="AH87" s="4" t="s">
        <v>505</v>
      </c>
      <c r="AI87" s="4" t="s">
        <v>506</v>
      </c>
      <c r="AJ87" s="4" t="s">
        <v>507</v>
      </c>
      <c r="AK87" s="4" t="s">
        <v>508</v>
      </c>
      <c r="AL87" s="4" t="s">
        <v>509</v>
      </c>
      <c r="AM87" s="4" t="s">
        <v>510</v>
      </c>
      <c r="AN87" s="4" t="s">
        <v>511</v>
      </c>
      <c r="AO87" s="4" t="s">
        <v>512</v>
      </c>
      <c r="AP87" s="4" t="s">
        <v>513</v>
      </c>
      <c r="AQ87" s="4" t="s">
        <v>514</v>
      </c>
      <c r="AR87" s="4" t="s">
        <v>515</v>
      </c>
      <c r="AS87" s="4" t="s">
        <v>516</v>
      </c>
      <c r="AT87" s="4" t="s">
        <v>517</v>
      </c>
      <c r="AU87" s="4" t="s">
        <v>518</v>
      </c>
      <c r="AV87" s="4" t="s">
        <v>519</v>
      </c>
    </row>
    <row r="88" spans="1:48" x14ac:dyDescent="0.45">
      <c r="A88" s="34" t="str">
        <f>Inputs!$A$83</f>
        <v>DRI-EAF steel</v>
      </c>
      <c r="B88" s="35">
        <f>Inputs!$B$83</f>
        <v>5100</v>
      </c>
      <c r="C88" s="35">
        <f>Inputs!$C$83</f>
        <v>4.3999999999999997E-2</v>
      </c>
      <c r="D88" s="35">
        <f>Inputs!$D$83</f>
        <v>580</v>
      </c>
      <c r="E88" s="35">
        <f>Inputs!$E$83</f>
        <v>750</v>
      </c>
      <c r="F88" s="35">
        <f>Inputs!$J$83</f>
        <v>0.57099076999999998</v>
      </c>
      <c r="G88" s="35">
        <f>Inputs!$K$83</f>
        <v>3.7901020000000001E-2</v>
      </c>
      <c r="H88" s="35">
        <f>Inputs!$Q$83</f>
        <v>3.4469507031574592E-3</v>
      </c>
      <c r="I88" s="35">
        <f t="shared" ref="I88:I95" si="190">B88*(1+C88)^($N$86-BaseYr)</f>
        <v>6603.4845807876563</v>
      </c>
      <c r="J88" s="35">
        <f t="shared" ref="J88:J95" si="191">$F$86*$B$86*F88</f>
        <v>11.419815399999999</v>
      </c>
      <c r="K88" s="35">
        <f t="shared" ref="K88:K95" si="192">$G$86*$C$86*G88</f>
        <v>0.75802040000000004</v>
      </c>
      <c r="L88" s="35">
        <f t="shared" ref="L88:L95" si="193">MIN($D$86,$B$86)*$F$86*F88+MIN($D$86,$C$86)*$G$86*G88</f>
        <v>0</v>
      </c>
      <c r="M88" s="35">
        <f t="shared" ref="M88:M95" si="194">IF(E88&gt;0,(J88+K88-L88)/E88,0)</f>
        <v>1.6237114399999999E-2</v>
      </c>
      <c r="N88" s="35">
        <f>I88*(1+M88)^EpsQ1</f>
        <v>6561.0771921497799</v>
      </c>
      <c r="O88" s="35">
        <f t="shared" ref="O88:O95" si="195">N88*F88/1000</f>
        <v>3.7463145179750406</v>
      </c>
      <c r="P88" s="35">
        <f t="shared" ref="P88:P95" si="196">N88*G88/1000</f>
        <v>0.24867151788121264</v>
      </c>
      <c r="Q88" s="35">
        <f t="shared" ref="Q88:Q95" si="197">O88*($H$86-1)</f>
        <v>-0.35591202421513046</v>
      </c>
      <c r="R88" s="35">
        <f t="shared" ref="R88:R95" si="198">-P88*(1-EXP(-H88*($G$86*$C$86+$E$86)))</f>
        <v>-3.2027661134767849E-2</v>
      </c>
      <c r="S88" s="35">
        <f t="shared" ref="S88:T95" si="199">O88+Q88</f>
        <v>3.3904024937599102</v>
      </c>
      <c r="T88" s="35">
        <f t="shared" si="199"/>
        <v>0.21664385674644479</v>
      </c>
      <c r="U88" s="35">
        <f t="shared" ref="U88:U95" si="200">S88+T88</f>
        <v>3.607046350506355</v>
      </c>
      <c r="V88" s="35">
        <f>(O88+P88)*(1-(1+M88)^(-EpsQ1))</f>
        <v>-2.5821510776942572E-2</v>
      </c>
      <c r="W88" s="35">
        <f>P88*(1-(1+M88)^(-EpsQ1))</f>
        <v>-1.6072832849119479E-3</v>
      </c>
      <c r="X88" s="35">
        <f t="shared" ref="X88:X95" si="201">IF(G88&gt;0,1,0)</f>
        <v>1</v>
      </c>
      <c r="Y88" s="35">
        <f t="shared" ref="Y88:Y95" si="202">S88*$F$86*$B$86</f>
        <v>67.808049875198208</v>
      </c>
      <c r="Z88" s="35">
        <f t="shared" ref="Z88:Z95" si="203">(P88*X88+R88)*$G$86*$C$86</f>
        <v>4.3328771349288955</v>
      </c>
      <c r="AA88" s="35">
        <f t="shared" ref="AA88:AA95" si="204">Y88+Z88</f>
        <v>72.140927010127101</v>
      </c>
      <c r="AB88" s="35">
        <f t="shared" ref="AB88:AB95" si="205">L88*N88/1000</f>
        <v>0</v>
      </c>
      <c r="AC88" s="35">
        <f t="shared" ref="AC88:AC95" si="206">IF(N88&gt;0,U88*1000/N88,0)</f>
        <v>0.54976435193021755</v>
      </c>
      <c r="AD88" s="35">
        <f t="shared" ref="AD88:AD95" si="207">IF(N88&gt;0,AA88*1000/N88-L88,0)</f>
        <v>10.995287038604349</v>
      </c>
      <c r="AE88" s="35">
        <f t="shared" ref="AE88:AE95" si="208">MAX(0,$I$86*$J$86*AC88-$K$86*MAX(0,AD88))</f>
        <v>15.668284030011201</v>
      </c>
      <c r="AF88" s="35">
        <f t="shared" ref="AF88:AF95" si="209">MAX(0,$L$86*$J$86*AC88-MAX(0,AD88))</f>
        <v>15.668284030011201</v>
      </c>
      <c r="AG88" s="35">
        <f t="shared" ref="AG88:AG95" si="210">MAX(0,$M$86*$J$86*AC88-MAX(0,AD88))</f>
        <v>43.981148154417411</v>
      </c>
      <c r="AH88" s="35">
        <f t="shared" ref="AH88:AH95" si="211">IF(B88&gt;0,D88*N88/B88*AE88/1000,0)</f>
        <v>11.691073759582363</v>
      </c>
      <c r="AI88" s="35">
        <f t="shared" ref="AI88:AI95" si="212">D88*(1+C88)^($N$86-BaseYr)*$I$86*$J$86*(F88+G88)/1000</f>
        <v>22.177512997410155</v>
      </c>
      <c r="AJ88" s="35">
        <f t="shared" ref="AJ88:AJ95" si="213">D88*$I$86*$J$86*(F88+G88)</f>
        <v>17128.126052699998</v>
      </c>
      <c r="AK88" s="35">
        <f t="shared" ref="AK88:AK95" si="214">D88*$L$86*$J$86*(F88+G88)</f>
        <v>17128.126052699998</v>
      </c>
      <c r="AL88" s="35">
        <f t="shared" ref="AL88:AL95" si="215">D88*$M$86*$J$86*(F88+G88)</f>
        <v>35315.723819999999</v>
      </c>
      <c r="AM88" s="35">
        <f t="shared" ref="AM88:AM95" si="216">D88*AE88</f>
        <v>9087.6047374064965</v>
      </c>
      <c r="AN88" s="35">
        <f t="shared" ref="AN88:AN95" si="217">D88*AF88</f>
        <v>9087.6047374064965</v>
      </c>
      <c r="AO88" s="35">
        <f t="shared" ref="AO88:AO95" si="218">D88*AG88</f>
        <v>25509.065929562097</v>
      </c>
      <c r="AP88" s="35">
        <f t="shared" ref="AP88:AP95" si="219">IF(N88&gt;0,D88*U88/N88,0)</f>
        <v>0.31886332411952617</v>
      </c>
      <c r="AQ88" s="35">
        <f t="shared" ref="AQ88:AQ95" si="220">IF(N88&gt;0,D88*(O88+P88)/N88,0)</f>
        <v>0.35315723819999995</v>
      </c>
      <c r="AR88" s="35">
        <f t="shared" ref="AR88:AR95" si="221">IF(N88&gt;0,D88*AS88/N88,0)</f>
        <v>0.35315723819999995</v>
      </c>
      <c r="AS88" s="35">
        <f t="shared" ref="AS88:AS95" si="222">O88*IF($F$86&gt;0,1,0)+P88*X88*IF($G$86&gt;0,1,0)</f>
        <v>3.994986035856253</v>
      </c>
      <c r="AT88" s="35">
        <f t="shared" ref="AT88:AT95" si="223">I88*(F88+G88)/1000</f>
        <v>4.0208075466331952</v>
      </c>
      <c r="AU88" s="35">
        <f t="shared" ref="AU88:AU95" si="224">I88*F88/1000</f>
        <v>3.7705287454670713</v>
      </c>
      <c r="AV88" s="35">
        <f t="shared" ref="AV88:AV95" si="225">I88*G88/1000</f>
        <v>0.25027880116612461</v>
      </c>
    </row>
    <row r="89" spans="1:48" x14ac:dyDescent="0.45">
      <c r="A89" s="34" t="str">
        <f>Inputs!$A$84</f>
        <v>Scrap-EAF steel</v>
      </c>
      <c r="B89" s="35">
        <f>Inputs!$B$84</f>
        <v>4800</v>
      </c>
      <c r="C89" s="35">
        <f>Inputs!$C$84</f>
        <v>4.3999999999999997E-2</v>
      </c>
      <c r="D89" s="35">
        <f>Inputs!$D$84</f>
        <v>300</v>
      </c>
      <c r="E89" s="35">
        <f>Inputs!$E$84</f>
        <v>680</v>
      </c>
      <c r="F89" s="35">
        <f>Inputs!$J$84</f>
        <v>4.4880000000000003E-2</v>
      </c>
      <c r="G89" s="35">
        <f>Inputs!$K$84</f>
        <v>4.3981149999999997E-2</v>
      </c>
      <c r="H89" s="35">
        <f>Inputs!$Q$84</f>
        <v>1.6366491404021942E-3</v>
      </c>
      <c r="I89" s="35">
        <f t="shared" si="190"/>
        <v>6215.0443113295587</v>
      </c>
      <c r="J89" s="35">
        <f t="shared" si="191"/>
        <v>0.89760000000000006</v>
      </c>
      <c r="K89" s="35">
        <f t="shared" si="192"/>
        <v>0.87962299999999993</v>
      </c>
      <c r="L89" s="35">
        <f t="shared" si="193"/>
        <v>0</v>
      </c>
      <c r="M89" s="35">
        <f t="shared" si="194"/>
        <v>2.6135632352941177E-3</v>
      </c>
      <c r="N89" s="35">
        <f>I89*(1+M89)^EpsQ2</f>
        <v>6208.5588088949444</v>
      </c>
      <c r="O89" s="35">
        <f t="shared" si="195"/>
        <v>0.27864011934320515</v>
      </c>
      <c r="P89" s="35">
        <f t="shared" si="196"/>
        <v>0.27305955625782985</v>
      </c>
      <c r="Q89" s="35">
        <f t="shared" si="197"/>
        <v>-2.6471714648397919E-2</v>
      </c>
      <c r="R89" s="35">
        <f t="shared" si="198"/>
        <v>-1.7303531807539869E-2</v>
      </c>
      <c r="S89" s="35">
        <f t="shared" si="199"/>
        <v>0.25216840469480722</v>
      </c>
      <c r="T89" s="35">
        <f t="shared" si="199"/>
        <v>0.25575602445029</v>
      </c>
      <c r="U89" s="35">
        <f t="shared" si="200"/>
        <v>0.50792442914509728</v>
      </c>
      <c r="V89" s="35">
        <f>(O89+P89)*(1-(1+M89)^(-EpsQ2))</f>
        <v>-5.7630920466762074E-4</v>
      </c>
      <c r="W89" s="35">
        <f>P89*(1-(1+M89)^(-EpsQ2))</f>
        <v>-2.8523985540213379E-4</v>
      </c>
      <c r="X89" s="35">
        <f t="shared" si="201"/>
        <v>1</v>
      </c>
      <c r="Y89" s="35">
        <f t="shared" si="202"/>
        <v>5.0433680938961443</v>
      </c>
      <c r="Z89" s="35">
        <f t="shared" si="203"/>
        <v>5.1151204890058004</v>
      </c>
      <c r="AA89" s="35">
        <f t="shared" si="204"/>
        <v>10.158488582901946</v>
      </c>
      <c r="AB89" s="35">
        <f t="shared" si="205"/>
        <v>0</v>
      </c>
      <c r="AC89" s="35">
        <f t="shared" si="206"/>
        <v>8.1810359663082949E-2</v>
      </c>
      <c r="AD89" s="35">
        <f t="shared" si="207"/>
        <v>1.6362071932616591</v>
      </c>
      <c r="AE89" s="35">
        <f t="shared" si="208"/>
        <v>2.3315952503978643</v>
      </c>
      <c r="AF89" s="35">
        <f t="shared" si="209"/>
        <v>2.3315952503978643</v>
      </c>
      <c r="AG89" s="35">
        <f t="shared" si="210"/>
        <v>6.5448287730466363</v>
      </c>
      <c r="AH89" s="35">
        <f t="shared" si="211"/>
        <v>0.90474038941470458</v>
      </c>
      <c r="AI89" s="35">
        <f t="shared" si="212"/>
        <v>1.6740865789422863</v>
      </c>
      <c r="AJ89" s="35">
        <f t="shared" si="213"/>
        <v>1292.9297325</v>
      </c>
      <c r="AK89" s="35">
        <f t="shared" si="214"/>
        <v>1292.9297325</v>
      </c>
      <c r="AL89" s="35">
        <f t="shared" si="215"/>
        <v>2665.8344999999999</v>
      </c>
      <c r="AM89" s="35">
        <f t="shared" si="216"/>
        <v>699.47857511935933</v>
      </c>
      <c r="AN89" s="35">
        <f t="shared" si="217"/>
        <v>699.47857511935933</v>
      </c>
      <c r="AO89" s="35">
        <f t="shared" si="218"/>
        <v>1963.448631913991</v>
      </c>
      <c r="AP89" s="35">
        <f t="shared" si="219"/>
        <v>2.4543107898924884E-2</v>
      </c>
      <c r="AQ89" s="35">
        <f t="shared" si="220"/>
        <v>2.6658345000000003E-2</v>
      </c>
      <c r="AR89" s="35">
        <f t="shared" si="221"/>
        <v>2.6658345000000003E-2</v>
      </c>
      <c r="AS89" s="35">
        <f t="shared" si="222"/>
        <v>0.55169967560103506</v>
      </c>
      <c r="AT89" s="35">
        <f t="shared" si="223"/>
        <v>0.55227598480570261</v>
      </c>
      <c r="AU89" s="35">
        <f t="shared" si="224"/>
        <v>0.27893118869247063</v>
      </c>
      <c r="AV89" s="35">
        <f t="shared" si="225"/>
        <v>0.27334479611323198</v>
      </c>
    </row>
    <row r="90" spans="1:48" x14ac:dyDescent="0.45">
      <c r="A90" s="34" t="str">
        <f>Inputs!$A$85</f>
        <v>BF-BOF steel</v>
      </c>
      <c r="B90" s="35">
        <f>Inputs!$B$85</f>
        <v>0</v>
      </c>
      <c r="C90" s="35">
        <f>Inputs!$C$85</f>
        <v>0</v>
      </c>
      <c r="D90" s="35">
        <f>Inputs!$D$85</f>
        <v>0</v>
      </c>
      <c r="E90" s="35">
        <f>Inputs!$E$85</f>
        <v>620</v>
      </c>
      <c r="F90" s="35">
        <f>Inputs!$J$85</f>
        <v>1.4249802699999998</v>
      </c>
      <c r="G90" s="35">
        <f>Inputs!$K$85</f>
        <v>5.276542E-2</v>
      </c>
      <c r="H90" s="35">
        <f>Inputs!$Q$85</f>
        <v>2.6960722989211347E-3</v>
      </c>
      <c r="I90" s="35">
        <f t="shared" si="190"/>
        <v>0</v>
      </c>
      <c r="J90" s="35">
        <f t="shared" si="191"/>
        <v>28.499605399999997</v>
      </c>
      <c r="K90" s="35">
        <f t="shared" si="192"/>
        <v>1.0553083999999999</v>
      </c>
      <c r="L90" s="35">
        <f t="shared" si="193"/>
        <v>0</v>
      </c>
      <c r="M90" s="35">
        <f t="shared" si="194"/>
        <v>4.7669215806451608E-2</v>
      </c>
      <c r="N90" s="35">
        <f>I90*(1+M90)^EpsQ3</f>
        <v>0</v>
      </c>
      <c r="O90" s="35">
        <f t="shared" si="195"/>
        <v>0</v>
      </c>
      <c r="P90" s="35">
        <f t="shared" si="196"/>
        <v>0</v>
      </c>
      <c r="Q90" s="35">
        <f t="shared" si="197"/>
        <v>0</v>
      </c>
      <c r="R90" s="35">
        <f t="shared" si="198"/>
        <v>0</v>
      </c>
      <c r="S90" s="35">
        <f t="shared" si="199"/>
        <v>0</v>
      </c>
      <c r="T90" s="35">
        <f t="shared" si="199"/>
        <v>0</v>
      </c>
      <c r="U90" s="35">
        <f t="shared" si="200"/>
        <v>0</v>
      </c>
      <c r="V90" s="35">
        <f>(O90+P90)*(1-(1+M90)^(-EpsQ3))</f>
        <v>0</v>
      </c>
      <c r="W90" s="35">
        <f>P90*(1-(1+M90)^(-EpsQ3))</f>
        <v>0</v>
      </c>
      <c r="X90" s="35">
        <f t="shared" si="201"/>
        <v>1</v>
      </c>
      <c r="Y90" s="35">
        <f t="shared" si="202"/>
        <v>0</v>
      </c>
      <c r="Z90" s="35">
        <f t="shared" si="203"/>
        <v>0</v>
      </c>
      <c r="AA90" s="35">
        <f t="shared" si="204"/>
        <v>0</v>
      </c>
      <c r="AB90" s="35">
        <f t="shared" si="205"/>
        <v>0</v>
      </c>
      <c r="AC90" s="35">
        <f t="shared" si="206"/>
        <v>0</v>
      </c>
      <c r="AD90" s="35">
        <f t="shared" si="207"/>
        <v>0</v>
      </c>
      <c r="AE90" s="35">
        <f t="shared" si="208"/>
        <v>0</v>
      </c>
      <c r="AF90" s="35">
        <f t="shared" si="209"/>
        <v>0</v>
      </c>
      <c r="AG90" s="35">
        <f t="shared" si="210"/>
        <v>0</v>
      </c>
      <c r="AH90" s="35">
        <f t="shared" si="211"/>
        <v>0</v>
      </c>
      <c r="AI90" s="35">
        <f t="shared" si="212"/>
        <v>0</v>
      </c>
      <c r="AJ90" s="35">
        <f t="shared" si="213"/>
        <v>0</v>
      </c>
      <c r="AK90" s="35">
        <f t="shared" si="214"/>
        <v>0</v>
      </c>
      <c r="AL90" s="35">
        <f t="shared" si="215"/>
        <v>0</v>
      </c>
      <c r="AM90" s="35">
        <f t="shared" si="216"/>
        <v>0</v>
      </c>
      <c r="AN90" s="35">
        <f t="shared" si="217"/>
        <v>0</v>
      </c>
      <c r="AO90" s="35">
        <f t="shared" si="218"/>
        <v>0</v>
      </c>
      <c r="AP90" s="35">
        <f t="shared" si="219"/>
        <v>0</v>
      </c>
      <c r="AQ90" s="35">
        <f t="shared" si="220"/>
        <v>0</v>
      </c>
      <c r="AR90" s="35">
        <f t="shared" si="221"/>
        <v>0</v>
      </c>
      <c r="AS90" s="35">
        <f t="shared" si="222"/>
        <v>0</v>
      </c>
      <c r="AT90" s="35">
        <f t="shared" si="223"/>
        <v>0</v>
      </c>
      <c r="AU90" s="35">
        <f t="shared" si="224"/>
        <v>0</v>
      </c>
      <c r="AV90" s="35">
        <f t="shared" si="225"/>
        <v>0</v>
      </c>
    </row>
    <row r="91" spans="1:48" x14ac:dyDescent="0.45">
      <c r="A91" s="34" t="str">
        <f>Inputs!$A$86</f>
        <v>Clinker</v>
      </c>
      <c r="B91" s="35">
        <f>Inputs!$B$86</f>
        <v>50000</v>
      </c>
      <c r="C91" s="35">
        <f>Inputs!$C$86</f>
        <v>3.3000000000000002E-2</v>
      </c>
      <c r="D91" s="35">
        <f>Inputs!$D$86</f>
        <v>800</v>
      </c>
      <c r="E91" s="35">
        <f>Inputs!$E$86</f>
        <v>110</v>
      </c>
      <c r="F91" s="35">
        <f>Inputs!$J$86</f>
        <v>0.31356850000000003</v>
      </c>
      <c r="G91" s="35">
        <f>Inputs!$K$86</f>
        <v>0.53702616000000003</v>
      </c>
      <c r="H91" s="35">
        <f>Inputs!$Q$86</f>
        <v>3.3464675036139224E-3</v>
      </c>
      <c r="I91" s="35">
        <f t="shared" si="190"/>
        <v>60753.588245941261</v>
      </c>
      <c r="J91" s="35">
        <f t="shared" si="191"/>
        <v>6.271370000000001</v>
      </c>
      <c r="K91" s="35">
        <f t="shared" si="192"/>
        <v>10.7405232</v>
      </c>
      <c r="L91" s="35">
        <f t="shared" si="193"/>
        <v>0</v>
      </c>
      <c r="M91" s="35">
        <f t="shared" si="194"/>
        <v>0.15465357454545456</v>
      </c>
      <c r="N91" s="35">
        <f>I91*(1+M91)^EpsQ4</f>
        <v>59886.200915955837</v>
      </c>
      <c r="O91" s="35">
        <f t="shared" si="195"/>
        <v>18.7784261919149</v>
      </c>
      <c r="P91" s="35">
        <f t="shared" si="196"/>
        <v>32.160456514884245</v>
      </c>
      <c r="Q91" s="35">
        <f t="shared" si="197"/>
        <v>-1.7840113651619958</v>
      </c>
      <c r="R91" s="35">
        <f t="shared" si="198"/>
        <v>-4.0292661215384085</v>
      </c>
      <c r="S91" s="35">
        <f t="shared" si="199"/>
        <v>16.994414826752905</v>
      </c>
      <c r="T91" s="35">
        <f t="shared" si="199"/>
        <v>28.131190393345836</v>
      </c>
      <c r="U91" s="35">
        <f t="shared" si="200"/>
        <v>45.125605220098741</v>
      </c>
      <c r="V91" s="35">
        <f>(O91+P91)*(1-(1+M91)^(-EpsQ4))</f>
        <v>-0.73779503103726363</v>
      </c>
      <c r="W91" s="35">
        <f>P91*(1-(1+M91)^(-EpsQ4))</f>
        <v>-0.46580968705472758</v>
      </c>
      <c r="X91" s="35">
        <f t="shared" si="201"/>
        <v>1</v>
      </c>
      <c r="Y91" s="35">
        <f t="shared" si="202"/>
        <v>339.88829653505809</v>
      </c>
      <c r="Z91" s="35">
        <f t="shared" si="203"/>
        <v>562.62380786691676</v>
      </c>
      <c r="AA91" s="35">
        <f t="shared" si="204"/>
        <v>902.51210440197485</v>
      </c>
      <c r="AB91" s="35">
        <f t="shared" si="205"/>
        <v>0</v>
      </c>
      <c r="AC91" s="35">
        <f t="shared" si="206"/>
        <v>0.75352259001080923</v>
      </c>
      <c r="AD91" s="35">
        <f t="shared" si="207"/>
        <v>15.070451800216185</v>
      </c>
      <c r="AE91" s="35">
        <f t="shared" si="208"/>
        <v>21.475393815308067</v>
      </c>
      <c r="AF91" s="35">
        <f t="shared" si="209"/>
        <v>21.475393815308067</v>
      </c>
      <c r="AG91" s="35">
        <f t="shared" si="210"/>
        <v>60.281807200864741</v>
      </c>
      <c r="AH91" s="35">
        <f t="shared" si="211"/>
        <v>20.577275980365027</v>
      </c>
      <c r="AI91" s="35">
        <f t="shared" si="212"/>
        <v>40.10110192456105</v>
      </c>
      <c r="AJ91" s="35">
        <f t="shared" si="213"/>
        <v>33003.072808000004</v>
      </c>
      <c r="AK91" s="35">
        <f t="shared" si="214"/>
        <v>33003.072808000004</v>
      </c>
      <c r="AL91" s="35">
        <f t="shared" si="215"/>
        <v>68047.572800000009</v>
      </c>
      <c r="AM91" s="35">
        <f t="shared" si="216"/>
        <v>17180.315052246453</v>
      </c>
      <c r="AN91" s="35">
        <f t="shared" si="217"/>
        <v>17180.315052246453</v>
      </c>
      <c r="AO91" s="35">
        <f t="shared" si="218"/>
        <v>48225.445760691793</v>
      </c>
      <c r="AP91" s="35">
        <f t="shared" si="219"/>
        <v>0.60281807200864745</v>
      </c>
      <c r="AQ91" s="35">
        <f t="shared" si="220"/>
        <v>0.68047572800000011</v>
      </c>
      <c r="AR91" s="35">
        <f t="shared" si="221"/>
        <v>0.68047572800000011</v>
      </c>
      <c r="AS91" s="35">
        <f t="shared" si="222"/>
        <v>50.938882706799149</v>
      </c>
      <c r="AT91" s="35">
        <f t="shared" si="223"/>
        <v>51.676677737836407</v>
      </c>
      <c r="AU91" s="35">
        <f t="shared" si="224"/>
        <v>19.050411535897435</v>
      </c>
      <c r="AV91" s="35">
        <f t="shared" si="225"/>
        <v>32.626266201938975</v>
      </c>
    </row>
    <row r="92" spans="1:48" x14ac:dyDescent="0.45">
      <c r="A92" s="34" t="str">
        <f>Inputs!$A$87</f>
        <v>Ammonia</v>
      </c>
      <c r="B92" s="35">
        <f>Inputs!$B$87</f>
        <v>1785</v>
      </c>
      <c r="C92" s="35">
        <f>Inputs!$C$87</f>
        <v>2.1999999999999999E-2</v>
      </c>
      <c r="D92" s="35">
        <f>Inputs!$D$87</f>
        <v>120</v>
      </c>
      <c r="E92" s="35">
        <f>Inputs!$E$87</f>
        <v>450</v>
      </c>
      <c r="F92" s="35">
        <f>Inputs!$J$87</f>
        <v>1.97472</v>
      </c>
      <c r="G92" s="35">
        <f>Inputs!$K$87</f>
        <v>0</v>
      </c>
      <c r="H92" s="35">
        <f>Inputs!$Q$87</f>
        <v>2.8931765504132002E-3</v>
      </c>
      <c r="I92" s="35">
        <f t="shared" si="190"/>
        <v>2033.9655612021818</v>
      </c>
      <c r="J92" s="35">
        <f t="shared" si="191"/>
        <v>39.494399999999999</v>
      </c>
      <c r="K92" s="35">
        <f t="shared" si="192"/>
        <v>0</v>
      </c>
      <c r="L92" s="35">
        <f t="shared" si="193"/>
        <v>0</v>
      </c>
      <c r="M92" s="35">
        <f t="shared" si="194"/>
        <v>8.7765333333333334E-2</v>
      </c>
      <c r="N92" s="35">
        <f>I92*(1+M92)^EpsQ5</f>
        <v>1966.6610186418877</v>
      </c>
      <c r="O92" s="35">
        <f t="shared" si="195"/>
        <v>3.8836048467325086</v>
      </c>
      <c r="P92" s="35">
        <f t="shared" si="196"/>
        <v>0</v>
      </c>
      <c r="Q92" s="35">
        <f t="shared" si="197"/>
        <v>-0.36895505052239386</v>
      </c>
      <c r="R92" s="35">
        <f t="shared" si="198"/>
        <v>0</v>
      </c>
      <c r="S92" s="35">
        <f t="shared" si="199"/>
        <v>3.5146497962101146</v>
      </c>
      <c r="T92" s="35">
        <f t="shared" si="199"/>
        <v>0</v>
      </c>
      <c r="U92" s="35">
        <f t="shared" si="200"/>
        <v>3.5146497962101146</v>
      </c>
      <c r="V92" s="35">
        <f>(O92+P92)*(1-(1+M92)^(-EpsQ5))</f>
        <v>-0.1329076262846639</v>
      </c>
      <c r="W92" s="35">
        <f>P92*(1-(1+M92)^(-EpsQ5))</f>
        <v>0</v>
      </c>
      <c r="X92" s="35">
        <f t="shared" si="201"/>
        <v>0</v>
      </c>
      <c r="Y92" s="35">
        <f t="shared" si="202"/>
        <v>70.292995924202287</v>
      </c>
      <c r="Z92" s="35">
        <f t="shared" si="203"/>
        <v>0</v>
      </c>
      <c r="AA92" s="35">
        <f t="shared" si="204"/>
        <v>70.292995924202287</v>
      </c>
      <c r="AB92" s="35">
        <f t="shared" si="205"/>
        <v>0</v>
      </c>
      <c r="AC92" s="35">
        <f t="shared" si="206"/>
        <v>1.7871151982445952</v>
      </c>
      <c r="AD92" s="35">
        <f t="shared" si="207"/>
        <v>35.742303964891903</v>
      </c>
      <c r="AE92" s="35">
        <f t="shared" si="208"/>
        <v>50.932783149970959</v>
      </c>
      <c r="AF92" s="35">
        <f t="shared" si="209"/>
        <v>50.932783149970959</v>
      </c>
      <c r="AG92" s="35">
        <f t="shared" si="210"/>
        <v>142.96921585956761</v>
      </c>
      <c r="AH92" s="35">
        <f t="shared" si="211"/>
        <v>6.7339508700496307</v>
      </c>
      <c r="AI92" s="35">
        <f t="shared" si="212"/>
        <v>13.095855794375316</v>
      </c>
      <c r="AJ92" s="35">
        <f t="shared" si="213"/>
        <v>11492.8704</v>
      </c>
      <c r="AK92" s="35">
        <f t="shared" si="214"/>
        <v>11492.8704</v>
      </c>
      <c r="AL92" s="35">
        <f t="shared" si="215"/>
        <v>23696.639999999999</v>
      </c>
      <c r="AM92" s="35">
        <f t="shared" si="216"/>
        <v>6111.9339779965148</v>
      </c>
      <c r="AN92" s="35">
        <f t="shared" si="217"/>
        <v>6111.9339779965148</v>
      </c>
      <c r="AO92" s="35">
        <f t="shared" si="218"/>
        <v>17156.305903148113</v>
      </c>
      <c r="AP92" s="35">
        <f t="shared" si="219"/>
        <v>0.21445382378935141</v>
      </c>
      <c r="AQ92" s="35">
        <f t="shared" si="220"/>
        <v>0.23696639999999999</v>
      </c>
      <c r="AR92" s="35">
        <f t="shared" si="221"/>
        <v>0.23696639999999999</v>
      </c>
      <c r="AS92" s="35">
        <f t="shared" si="222"/>
        <v>3.8836048467325086</v>
      </c>
      <c r="AT92" s="35">
        <f t="shared" si="223"/>
        <v>4.0165124730171726</v>
      </c>
      <c r="AU92" s="35">
        <f t="shared" si="224"/>
        <v>4.0165124730171726</v>
      </c>
      <c r="AV92" s="35">
        <f t="shared" si="225"/>
        <v>0</v>
      </c>
    </row>
    <row r="93" spans="1:48" x14ac:dyDescent="0.45">
      <c r="A93" s="34" t="str">
        <f>Inputs!$A$88</f>
        <v>Urea</v>
      </c>
      <c r="B93" s="35">
        <f>Inputs!$B$88</f>
        <v>2800</v>
      </c>
      <c r="C93" s="35">
        <f>Inputs!$C$88</f>
        <v>2.1999999999999999E-2</v>
      </c>
      <c r="D93" s="35">
        <f>Inputs!$D$88</f>
        <v>1600</v>
      </c>
      <c r="E93" s="35">
        <f>Inputs!$E$88</f>
        <v>380</v>
      </c>
      <c r="F93" s="35">
        <f>Inputs!$J$88</f>
        <v>0.11219999999999999</v>
      </c>
      <c r="G93" s="35">
        <f>Inputs!$K$88</f>
        <v>0</v>
      </c>
      <c r="H93" s="35">
        <f>Inputs!$Q$88</f>
        <v>1.008786865491756E-3</v>
      </c>
      <c r="I93" s="35">
        <f t="shared" si="190"/>
        <v>3190.534213650481</v>
      </c>
      <c r="J93" s="35">
        <f t="shared" si="191"/>
        <v>2.2439999999999998</v>
      </c>
      <c r="K93" s="35">
        <f t="shared" si="192"/>
        <v>0</v>
      </c>
      <c r="L93" s="35">
        <f t="shared" si="193"/>
        <v>0</v>
      </c>
      <c r="M93" s="35">
        <f t="shared" si="194"/>
        <v>5.9052631578947364E-3</v>
      </c>
      <c r="N93" s="35">
        <f>I93*(1+M93)^EpsQ6</f>
        <v>3183.0288425590215</v>
      </c>
      <c r="O93" s="35">
        <f t="shared" si="195"/>
        <v>0.35713583613512218</v>
      </c>
      <c r="P93" s="35">
        <f t="shared" si="196"/>
        <v>0</v>
      </c>
      <c r="Q93" s="35">
        <f t="shared" si="197"/>
        <v>-3.3929062215342094E-2</v>
      </c>
      <c r="R93" s="35">
        <f t="shared" si="198"/>
        <v>0</v>
      </c>
      <c r="S93" s="35">
        <f t="shared" si="199"/>
        <v>0.32320677391978009</v>
      </c>
      <c r="T93" s="35">
        <f t="shared" si="199"/>
        <v>0</v>
      </c>
      <c r="U93" s="35">
        <f t="shared" si="200"/>
        <v>0.32320677391978009</v>
      </c>
      <c r="V93" s="35">
        <f>(O93+P93)*(1-(1+M93)^(-EpsQ6))</f>
        <v>-8.4210263646177896E-4</v>
      </c>
      <c r="W93" s="35">
        <f>P93*(1-(1+M93)^(-EpsQ6))</f>
        <v>0</v>
      </c>
      <c r="X93" s="35">
        <f t="shared" si="201"/>
        <v>0</v>
      </c>
      <c r="Y93" s="35">
        <f t="shared" si="202"/>
        <v>6.464135478395602</v>
      </c>
      <c r="Z93" s="35">
        <f t="shared" si="203"/>
        <v>0</v>
      </c>
      <c r="AA93" s="35">
        <f t="shared" si="204"/>
        <v>6.464135478395602</v>
      </c>
      <c r="AB93" s="35">
        <f t="shared" si="205"/>
        <v>0</v>
      </c>
      <c r="AC93" s="35">
        <f t="shared" si="206"/>
        <v>0.10154063626389744</v>
      </c>
      <c r="AD93" s="35">
        <f t="shared" si="207"/>
        <v>2.0308127252779489</v>
      </c>
      <c r="AE93" s="35">
        <f t="shared" si="208"/>
        <v>2.8939081335210766</v>
      </c>
      <c r="AF93" s="35">
        <f t="shared" si="209"/>
        <v>2.8939081335210766</v>
      </c>
      <c r="AG93" s="35">
        <f t="shared" si="210"/>
        <v>8.1232509011117955</v>
      </c>
      <c r="AH93" s="35">
        <f t="shared" si="211"/>
        <v>5.2636531752649889</v>
      </c>
      <c r="AI93" s="35">
        <f t="shared" si="212"/>
        <v>9.9211028745267562</v>
      </c>
      <c r="AJ93" s="35">
        <f t="shared" si="213"/>
        <v>8706.7199999999993</v>
      </c>
      <c r="AK93" s="35">
        <f t="shared" si="214"/>
        <v>8706.7199999999993</v>
      </c>
      <c r="AL93" s="35">
        <f t="shared" si="215"/>
        <v>17952</v>
      </c>
      <c r="AM93" s="35">
        <f t="shared" si="216"/>
        <v>4630.2530136337227</v>
      </c>
      <c r="AN93" s="35">
        <f t="shared" si="217"/>
        <v>4630.2530136337227</v>
      </c>
      <c r="AO93" s="35">
        <f t="shared" si="218"/>
        <v>12997.201441778872</v>
      </c>
      <c r="AP93" s="35">
        <f t="shared" si="219"/>
        <v>0.16246501802223592</v>
      </c>
      <c r="AQ93" s="35">
        <f t="shared" si="220"/>
        <v>0.17951999999999999</v>
      </c>
      <c r="AR93" s="35">
        <f t="shared" si="221"/>
        <v>0.17951999999999999</v>
      </c>
      <c r="AS93" s="35">
        <f t="shared" si="222"/>
        <v>0.35713583613512218</v>
      </c>
      <c r="AT93" s="35">
        <f t="shared" si="223"/>
        <v>0.3579779387715839</v>
      </c>
      <c r="AU93" s="35">
        <f t="shared" si="224"/>
        <v>0.3579779387715839</v>
      </c>
      <c r="AV93" s="35">
        <f t="shared" si="225"/>
        <v>0</v>
      </c>
    </row>
    <row r="94" spans="1:48" x14ac:dyDescent="0.45">
      <c r="A94" s="34" t="str">
        <f>Inputs!$A$89</f>
        <v>Ammonium nitrate</v>
      </c>
      <c r="B94" s="35">
        <f>Inputs!$B$89</f>
        <v>600</v>
      </c>
      <c r="C94" s="35">
        <f>Inputs!$C$89</f>
        <v>2.1999999999999999E-2</v>
      </c>
      <c r="D94" s="35">
        <f>Inputs!$D$89</f>
        <v>80</v>
      </c>
      <c r="E94" s="35">
        <f>Inputs!$E$89</f>
        <v>320</v>
      </c>
      <c r="F94" s="35">
        <f>Inputs!$J$89</f>
        <v>0.11219999999999999</v>
      </c>
      <c r="G94" s="35">
        <f>Inputs!$K$89</f>
        <v>0.99441250000000003</v>
      </c>
      <c r="H94" s="35">
        <f>Inputs!$Q$89</f>
        <v>7.8858436436826454E-3</v>
      </c>
      <c r="I94" s="35">
        <f t="shared" si="190"/>
        <v>683.68590292510305</v>
      </c>
      <c r="J94" s="35">
        <f t="shared" si="191"/>
        <v>2.2439999999999998</v>
      </c>
      <c r="K94" s="35">
        <f t="shared" si="192"/>
        <v>19.888249999999999</v>
      </c>
      <c r="L94" s="35">
        <f t="shared" si="193"/>
        <v>0</v>
      </c>
      <c r="M94" s="35">
        <f t="shared" si="194"/>
        <v>6.916328125E-2</v>
      </c>
      <c r="N94" s="35">
        <f>I94*(1+M94)^EpsQ7</f>
        <v>665.63938566715558</v>
      </c>
      <c r="O94" s="35">
        <f t="shared" si="195"/>
        <v>7.4684739071854855E-2</v>
      </c>
      <c r="P94" s="35">
        <f t="shared" si="196"/>
        <v>0.66192012559974034</v>
      </c>
      <c r="Q94" s="35">
        <f t="shared" si="197"/>
        <v>-7.0952923289020553E-3</v>
      </c>
      <c r="R94" s="35">
        <f t="shared" si="198"/>
        <v>-0.17906766291192203</v>
      </c>
      <c r="S94" s="35">
        <f t="shared" si="199"/>
        <v>6.7589446742952794E-2</v>
      </c>
      <c r="T94" s="35">
        <f t="shared" si="199"/>
        <v>0.48285246268781834</v>
      </c>
      <c r="U94" s="35">
        <f t="shared" si="200"/>
        <v>0.55044190943077109</v>
      </c>
      <c r="V94" s="35">
        <f>(O94+P94)*(1-(1+M94)^(-EpsQ7))</f>
        <v>-1.99705015791104E-2</v>
      </c>
      <c r="W94" s="35">
        <f>P94*(1-(1+M94)^(-EpsQ7))</f>
        <v>-1.7945682342768693E-2</v>
      </c>
      <c r="X94" s="35">
        <f t="shared" si="201"/>
        <v>1</v>
      </c>
      <c r="Y94" s="35">
        <f t="shared" si="202"/>
        <v>1.3517889348590559</v>
      </c>
      <c r="Z94" s="35">
        <f t="shared" si="203"/>
        <v>9.6570492537563659</v>
      </c>
      <c r="AA94" s="35">
        <f t="shared" si="204"/>
        <v>11.008838188615421</v>
      </c>
      <c r="AB94" s="35">
        <f t="shared" si="205"/>
        <v>0</v>
      </c>
      <c r="AC94" s="35">
        <f t="shared" si="206"/>
        <v>0.82693710931644382</v>
      </c>
      <c r="AD94" s="35">
        <f t="shared" si="207"/>
        <v>16.538742186328871</v>
      </c>
      <c r="AE94" s="35">
        <f t="shared" si="208"/>
        <v>23.567707615518653</v>
      </c>
      <c r="AF94" s="35">
        <f t="shared" si="209"/>
        <v>23.567707615518653</v>
      </c>
      <c r="AG94" s="35">
        <f t="shared" si="210"/>
        <v>66.1549687453155</v>
      </c>
      <c r="AH94" s="35">
        <f t="shared" si="211"/>
        <v>2.0916792558369313</v>
      </c>
      <c r="AI94" s="35">
        <f t="shared" si="212"/>
        <v>4.892520701754564</v>
      </c>
      <c r="AJ94" s="35">
        <f t="shared" si="213"/>
        <v>4293.6564999999991</v>
      </c>
      <c r="AK94" s="35">
        <f t="shared" si="214"/>
        <v>4293.6564999999991</v>
      </c>
      <c r="AL94" s="35">
        <f t="shared" si="215"/>
        <v>8852.9</v>
      </c>
      <c r="AM94" s="35">
        <f t="shared" si="216"/>
        <v>1885.4166092414923</v>
      </c>
      <c r="AN94" s="35">
        <f t="shared" si="217"/>
        <v>1885.4166092414923</v>
      </c>
      <c r="AO94" s="35">
        <f t="shared" si="218"/>
        <v>5292.39749962524</v>
      </c>
      <c r="AP94" s="35">
        <f t="shared" si="219"/>
        <v>6.6154968745315498E-2</v>
      </c>
      <c r="AQ94" s="35">
        <f t="shared" si="220"/>
        <v>8.852900000000001E-2</v>
      </c>
      <c r="AR94" s="35">
        <f t="shared" si="221"/>
        <v>8.852900000000001E-2</v>
      </c>
      <c r="AS94" s="35">
        <f t="shared" si="222"/>
        <v>0.73660486467159525</v>
      </c>
      <c r="AT94" s="35">
        <f t="shared" si="223"/>
        <v>0.75657536625070554</v>
      </c>
      <c r="AU94" s="35">
        <f t="shared" si="224"/>
        <v>7.6709558308196563E-2</v>
      </c>
      <c r="AV94" s="35">
        <f t="shared" si="225"/>
        <v>0.67986580794250906</v>
      </c>
    </row>
    <row r="95" spans="1:48" x14ac:dyDescent="0.45">
      <c r="A95" s="34" t="str">
        <f>Inputs!$A$90</f>
        <v>Aluminium</v>
      </c>
      <c r="B95" s="35">
        <f>Inputs!$B$90</f>
        <v>300</v>
      </c>
      <c r="C95" s="35">
        <f>Inputs!$C$90</f>
        <v>5.5E-2</v>
      </c>
      <c r="D95" s="35">
        <f>Inputs!$D$90</f>
        <v>167</v>
      </c>
      <c r="E95" s="35">
        <f>Inputs!$E$90</f>
        <v>2400</v>
      </c>
      <c r="F95" s="35">
        <f>Inputs!$J$90</f>
        <v>0.12342</v>
      </c>
      <c r="G95" s="35">
        <f>Inputs!$K$90</f>
        <v>2.3974930400000001</v>
      </c>
      <c r="H95" s="35">
        <f>Inputs!$Q$90</f>
        <v>1.9988245320635362E-3</v>
      </c>
      <c r="I95" s="35">
        <f t="shared" si="190"/>
        <v>413.65284202856708</v>
      </c>
      <c r="J95" s="35">
        <f t="shared" si="191"/>
        <v>2.4683999999999999</v>
      </c>
      <c r="K95" s="35">
        <f t="shared" si="192"/>
        <v>47.949860800000003</v>
      </c>
      <c r="L95" s="35">
        <f t="shared" si="193"/>
        <v>0</v>
      </c>
      <c r="M95" s="35">
        <f t="shared" si="194"/>
        <v>2.100760866666667E-2</v>
      </c>
      <c r="N95" s="35">
        <f>I95*(1+M95)^EpsQ8</f>
        <v>409.37519411418629</v>
      </c>
      <c r="O95" s="35">
        <f t="shared" si="195"/>
        <v>5.0525086457572872E-2</v>
      </c>
      <c r="P95" s="35">
        <f t="shared" si="196"/>
        <v>0.98147417863741071</v>
      </c>
      <c r="Q95" s="35">
        <f t="shared" si="197"/>
        <v>-4.8000470084607677E-3</v>
      </c>
      <c r="R95" s="35">
        <f t="shared" si="198"/>
        <v>-7.5416720122698691E-2</v>
      </c>
      <c r="S95" s="35">
        <f t="shared" si="199"/>
        <v>4.5725039449112104E-2</v>
      </c>
      <c r="T95" s="35">
        <f t="shared" si="199"/>
        <v>0.90605745851471198</v>
      </c>
      <c r="U95" s="35">
        <f t="shared" si="200"/>
        <v>0.95178249796382408</v>
      </c>
      <c r="V95" s="35">
        <f>(O95+P95)*(1-(1+M95)^(-EpsQ8))</f>
        <v>-1.0783578407891388E-2</v>
      </c>
      <c r="W95" s="35">
        <f>P95*(1-(1+M95)^(-EpsQ8))</f>
        <v>-1.0255631102298508E-2</v>
      </c>
      <c r="X95" s="35">
        <f t="shared" si="201"/>
        <v>1</v>
      </c>
      <c r="Y95" s="35">
        <f t="shared" si="202"/>
        <v>0.91450078898224207</v>
      </c>
      <c r="Z95" s="35">
        <f t="shared" si="203"/>
        <v>18.121149170294238</v>
      </c>
      <c r="AA95" s="35">
        <f t="shared" si="204"/>
        <v>19.03564995927648</v>
      </c>
      <c r="AB95" s="35">
        <f t="shared" si="205"/>
        <v>0</v>
      </c>
      <c r="AC95" s="35">
        <f t="shared" si="206"/>
        <v>2.3249637780894585</v>
      </c>
      <c r="AD95" s="35">
        <f t="shared" si="207"/>
        <v>46.499275561789176</v>
      </c>
      <c r="AE95" s="35">
        <f t="shared" si="208"/>
        <v>66.261467675549568</v>
      </c>
      <c r="AF95" s="35">
        <f t="shared" si="209"/>
        <v>66.261467675549568</v>
      </c>
      <c r="AG95" s="35">
        <f t="shared" si="210"/>
        <v>185.99710224715668</v>
      </c>
      <c r="AH95" s="35">
        <f t="shared" si="211"/>
        <v>15.100029330196071</v>
      </c>
      <c r="AI95" s="35">
        <f t="shared" si="212"/>
        <v>28.153398803171779</v>
      </c>
      <c r="AJ95" s="35">
        <f t="shared" si="213"/>
        <v>20418.135167479999</v>
      </c>
      <c r="AK95" s="35">
        <f t="shared" si="214"/>
        <v>20418.135167479999</v>
      </c>
      <c r="AL95" s="35">
        <f t="shared" si="215"/>
        <v>42099.247768000001</v>
      </c>
      <c r="AM95" s="35">
        <f t="shared" si="216"/>
        <v>11065.665101816778</v>
      </c>
      <c r="AN95" s="35">
        <f t="shared" si="217"/>
        <v>11065.665101816778</v>
      </c>
      <c r="AO95" s="35">
        <f t="shared" si="218"/>
        <v>31061.516075275165</v>
      </c>
      <c r="AP95" s="35">
        <f t="shared" si="219"/>
        <v>0.38826895094093961</v>
      </c>
      <c r="AQ95" s="35">
        <f t="shared" si="220"/>
        <v>0.42099247768000009</v>
      </c>
      <c r="AR95" s="35">
        <f t="shared" si="221"/>
        <v>0.42099247768000009</v>
      </c>
      <c r="AS95" s="35">
        <f t="shared" si="222"/>
        <v>1.0319992650949836</v>
      </c>
      <c r="AT95" s="35">
        <f t="shared" si="223"/>
        <v>1.0427828435028748</v>
      </c>
      <c r="AU95" s="35">
        <f t="shared" si="224"/>
        <v>5.105303376316575E-2</v>
      </c>
      <c r="AV95" s="35">
        <f t="shared" si="225"/>
        <v>0.99172980973970914</v>
      </c>
    </row>
    <row r="96" spans="1:48" x14ac:dyDescent="0.45">
      <c r="A96" s="36" t="s">
        <v>520</v>
      </c>
      <c r="I96" s="37">
        <f>SUM(I88:I95)</f>
        <v>79893.955657864804</v>
      </c>
      <c r="N96" s="37">
        <f t="shared" ref="N96:W96" si="226">SUM(N88:N95)</f>
        <v>78880.541357982802</v>
      </c>
      <c r="O96" s="37">
        <f t="shared" si="226"/>
        <v>27.169331337630204</v>
      </c>
      <c r="P96" s="37">
        <f t="shared" si="226"/>
        <v>34.325581893260441</v>
      </c>
      <c r="Q96" s="37">
        <f t="shared" si="226"/>
        <v>-2.5811745561006232</v>
      </c>
      <c r="R96" s="37">
        <f t="shared" si="226"/>
        <v>-4.333081697515337</v>
      </c>
      <c r="S96" s="37">
        <f t="shared" si="226"/>
        <v>24.588156781529584</v>
      </c>
      <c r="T96" s="37">
        <f t="shared" si="226"/>
        <v>29.992500195745105</v>
      </c>
      <c r="U96" s="37">
        <f t="shared" si="226"/>
        <v>54.580656977274685</v>
      </c>
      <c r="V96" s="37">
        <f t="shared" si="226"/>
        <v>-0.92869665992700123</v>
      </c>
      <c r="W96" s="37">
        <f t="shared" si="226"/>
        <v>-0.49590352364010887</v>
      </c>
      <c r="Y96" s="37">
        <f>SUM(Y88:Y95)</f>
        <v>491.76313563059159</v>
      </c>
      <c r="Z96" s="37">
        <f>SUM(Z88:Z95)</f>
        <v>599.850003914902</v>
      </c>
      <c r="AA96" s="37">
        <f>SUM(AA88:AA95)</f>
        <v>1091.6131395454938</v>
      </c>
      <c r="AB96" s="37">
        <f>SUM(AB88:AB95)</f>
        <v>0</v>
      </c>
      <c r="AH96" s="37">
        <f t="shared" ref="AH96:AV96" si="227">SUM(AH88:AH95)</f>
        <v>62.36240276070972</v>
      </c>
      <c r="AI96" s="37">
        <f t="shared" si="227"/>
        <v>120.0155796747419</v>
      </c>
      <c r="AJ96" s="37">
        <f t="shared" si="227"/>
        <v>96335.510660679996</v>
      </c>
      <c r="AK96" s="37">
        <f t="shared" si="227"/>
        <v>96335.510660679996</v>
      </c>
      <c r="AL96" s="37">
        <f t="shared" si="227"/>
        <v>198629.91888799999</v>
      </c>
      <c r="AM96" s="37">
        <f t="shared" si="227"/>
        <v>50660.66706746081</v>
      </c>
      <c r="AN96" s="37">
        <f t="shared" si="227"/>
        <v>50660.66706746081</v>
      </c>
      <c r="AO96" s="37">
        <f t="shared" si="227"/>
        <v>142205.38124199526</v>
      </c>
      <c r="AP96" s="37">
        <f t="shared" si="227"/>
        <v>1.777567265524941</v>
      </c>
      <c r="AQ96" s="37">
        <f t="shared" si="227"/>
        <v>1.9862991888800001</v>
      </c>
      <c r="AR96" s="37">
        <f t="shared" si="227"/>
        <v>1.9862991888800001</v>
      </c>
      <c r="AS96" s="37">
        <f t="shared" si="227"/>
        <v>61.494913230890646</v>
      </c>
      <c r="AT96" s="37">
        <f t="shared" si="227"/>
        <v>62.423609890817644</v>
      </c>
      <c r="AU96" s="37">
        <f t="shared" si="227"/>
        <v>27.602124473917094</v>
      </c>
      <c r="AV96" s="37">
        <f t="shared" si="227"/>
        <v>34.821485416900551</v>
      </c>
    </row>
  </sheetData>
  <mergeCells count="8">
    <mergeCell ref="A36:AV36"/>
    <mergeCell ref="A68:AV68"/>
    <mergeCell ref="A1:AV1"/>
    <mergeCell ref="A84:AV84"/>
    <mergeCell ref="A4:AV4"/>
    <mergeCell ref="A20:AV20"/>
    <mergeCell ref="A2:AV2"/>
    <mergeCell ref="A52:AV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8" customWidth="1"/>
    <col min="2" max="2" width="16" customWidth="1"/>
    <col min="3" max="8" width="12" customWidth="1"/>
    <col min="9" max="9" width="10" customWidth="1"/>
    <col min="10" max="10" width="90" customWidth="1"/>
  </cols>
  <sheetData>
    <row r="1" spans="1:10" ht="22.05" customHeight="1" x14ac:dyDescent="0.45">
      <c r="A1" s="90" t="s">
        <v>526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x14ac:dyDescent="0.45">
      <c r="A2" s="97" t="s">
        <v>527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45">
      <c r="A3" s="99" t="str">
        <f>"Mode = "&amp;Mode&amp;"   |   CBAM convention = "&amp;Conv&amp;"   |   reporting year = "&amp;Yr&amp;"   |   beta set = "&amp;BetaSet&amp;"   |   sigma = "&amp;SigmaEff&amp;" $/t"</f>
        <v>Mode = REBUILD   |   CBAM convention = FULL   |   reporting year = 2030   |   beta set = IPCC_CENTRAL   |   sigma = 20 $/t</v>
      </c>
      <c r="B3" s="91"/>
      <c r="C3" s="91"/>
      <c r="D3" s="91"/>
      <c r="E3" s="91"/>
      <c r="F3" s="91"/>
      <c r="G3" s="91"/>
      <c r="H3" s="91"/>
      <c r="I3" s="91"/>
      <c r="J3" s="91"/>
    </row>
    <row r="4" spans="1:10" x14ac:dyDescent="0.45">
      <c r="A4" s="4" t="s">
        <v>528</v>
      </c>
      <c r="B4" s="4" t="s">
        <v>529</v>
      </c>
      <c r="C4" s="4" t="s">
        <v>223</v>
      </c>
      <c r="D4" s="4" t="s">
        <v>228</v>
      </c>
      <c r="E4" s="4" t="s">
        <v>230</v>
      </c>
      <c r="F4" s="4" t="s">
        <v>233</v>
      </c>
      <c r="G4" s="4" t="s">
        <v>237</v>
      </c>
      <c r="H4" s="4" t="s">
        <v>240</v>
      </c>
      <c r="I4" s="4" t="s">
        <v>77</v>
      </c>
      <c r="J4" s="4" t="s">
        <v>530</v>
      </c>
    </row>
    <row r="5" spans="1:10" x14ac:dyDescent="0.45">
      <c r="A5" s="93" t="s">
        <v>531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x14ac:dyDescent="0.45">
      <c r="A6" s="13" t="s">
        <v>532</v>
      </c>
      <c r="B6" s="8" t="s">
        <v>533</v>
      </c>
      <c r="C6" s="39" t="str">
        <f t="shared" ref="C6:H6" si="0">INDEX(BT_Scen,MATCH(C$4,BT_Code,0))</f>
        <v>EG1</v>
      </c>
      <c r="D6" s="39" t="str">
        <f t="shared" si="0"/>
        <v>EG1</v>
      </c>
      <c r="E6" s="39" t="str">
        <f t="shared" si="0"/>
        <v>EG2</v>
      </c>
      <c r="F6" s="39" t="str">
        <f t="shared" si="0"/>
        <v>EG3</v>
      </c>
      <c r="G6" s="39" t="str">
        <f t="shared" si="0"/>
        <v>EG3</v>
      </c>
      <c r="H6" s="39" t="str">
        <f t="shared" si="0"/>
        <v>EG3</v>
      </c>
      <c r="I6" s="10" t="s">
        <v>81</v>
      </c>
      <c r="J6" s="2" t="s">
        <v>534</v>
      </c>
    </row>
    <row r="7" spans="1:10" x14ac:dyDescent="0.45">
      <c r="A7" s="13" t="s">
        <v>535</v>
      </c>
      <c r="B7" s="8" t="s">
        <v>536</v>
      </c>
      <c r="C7" s="39" t="str">
        <f t="shared" ref="C7:H7" si="1">INDEX(BT_Scope,MATCH(C$4,BT_Code,0))</f>
        <v>ALL</v>
      </c>
      <c r="D7" s="39" t="str">
        <f t="shared" si="1"/>
        <v>ALL</v>
      </c>
      <c r="E7" s="39" t="str">
        <f t="shared" si="1"/>
        <v>ALL</v>
      </c>
      <c r="F7" s="39" t="str">
        <f t="shared" si="1"/>
        <v>IND</v>
      </c>
      <c r="G7" s="39" t="str">
        <f t="shared" si="1"/>
        <v>IND</v>
      </c>
      <c r="H7" s="39" t="str">
        <f t="shared" si="1"/>
        <v>IND</v>
      </c>
      <c r="I7" s="10" t="s">
        <v>81</v>
      </c>
      <c r="J7" s="2" t="s">
        <v>537</v>
      </c>
    </row>
    <row r="8" spans="1:10" x14ac:dyDescent="0.45">
      <c r="A8" s="13" t="s">
        <v>538</v>
      </c>
      <c r="B8" s="8" t="s">
        <v>539</v>
      </c>
      <c r="C8" s="40">
        <f t="shared" ref="C8:H8" si="2">INDEX(BT_Flag,MATCH(C$4,BT_Code,0))</f>
        <v>1</v>
      </c>
      <c r="D8" s="40">
        <f t="shared" si="2"/>
        <v>0</v>
      </c>
      <c r="E8" s="40">
        <f t="shared" si="2"/>
        <v>0</v>
      </c>
      <c r="F8" s="40">
        <f t="shared" si="2"/>
        <v>1</v>
      </c>
      <c r="G8" s="40">
        <f t="shared" si="2"/>
        <v>1</v>
      </c>
      <c r="H8" s="40">
        <f t="shared" si="2"/>
        <v>1</v>
      </c>
      <c r="I8" s="10" t="s">
        <v>81</v>
      </c>
      <c r="J8" s="2" t="s">
        <v>534</v>
      </c>
    </row>
    <row r="9" spans="1:10" x14ac:dyDescent="0.45">
      <c r="A9" s="13" t="s">
        <v>218</v>
      </c>
      <c r="B9" s="8" t="s">
        <v>540</v>
      </c>
      <c r="C9" s="41">
        <f t="shared" ref="C9:H9" si="3">INDEX(BT_Theta,MATCH(C$4,BT_Code,0))</f>
        <v>0</v>
      </c>
      <c r="D9" s="41">
        <f t="shared" si="3"/>
        <v>0</v>
      </c>
      <c r="E9" s="41">
        <f t="shared" si="3"/>
        <v>0</v>
      </c>
      <c r="F9" s="41">
        <f t="shared" si="3"/>
        <v>0</v>
      </c>
      <c r="G9" s="41">
        <f t="shared" si="3"/>
        <v>1</v>
      </c>
      <c r="H9" s="41">
        <f t="shared" si="3"/>
        <v>0</v>
      </c>
      <c r="I9" s="10" t="s">
        <v>81</v>
      </c>
      <c r="J9" s="2" t="s">
        <v>541</v>
      </c>
    </row>
    <row r="10" spans="1:10" x14ac:dyDescent="0.45">
      <c r="A10" s="13" t="s">
        <v>219</v>
      </c>
      <c r="B10" s="8" t="s">
        <v>542</v>
      </c>
      <c r="C10" s="41">
        <f t="shared" ref="C10:H10" si="4">INDEX(BT_Phi,MATCH(C$4,BT_Code,0))</f>
        <v>0</v>
      </c>
      <c r="D10" s="41">
        <f t="shared" si="4"/>
        <v>0</v>
      </c>
      <c r="E10" s="41">
        <f t="shared" si="4"/>
        <v>0</v>
      </c>
      <c r="F10" s="41">
        <f t="shared" si="4"/>
        <v>0</v>
      </c>
      <c r="G10" s="41">
        <f t="shared" si="4"/>
        <v>0</v>
      </c>
      <c r="H10" s="41">
        <f t="shared" si="4"/>
        <v>1</v>
      </c>
      <c r="I10" s="10" t="s">
        <v>81</v>
      </c>
      <c r="J10" s="2" t="s">
        <v>543</v>
      </c>
    </row>
    <row r="11" spans="1:10" x14ac:dyDescent="0.45">
      <c r="A11" s="13" t="s">
        <v>544</v>
      </c>
      <c r="B11" s="8" t="s">
        <v>545</v>
      </c>
      <c r="C11" s="41">
        <f>CBAM_Products!$B$6</f>
        <v>20</v>
      </c>
      <c r="D11" s="41">
        <f>CBAM_Products!$B$22</f>
        <v>20</v>
      </c>
      <c r="E11" s="41">
        <f>CBAM_Products!$B$38</f>
        <v>20</v>
      </c>
      <c r="F11" s="41">
        <f>CBAM_Products!$B$54</f>
        <v>20</v>
      </c>
      <c r="G11" s="41">
        <f>CBAM_Products!$B$70</f>
        <v>20</v>
      </c>
      <c r="H11" s="41">
        <f>CBAM_Products!$B$86</f>
        <v>20</v>
      </c>
      <c r="I11" s="10" t="s">
        <v>112</v>
      </c>
      <c r="J11" s="2" t="s">
        <v>546</v>
      </c>
    </row>
    <row r="12" spans="1:10" x14ac:dyDescent="0.45">
      <c r="A12" s="13" t="s">
        <v>547</v>
      </c>
      <c r="B12" s="8" t="s">
        <v>548</v>
      </c>
      <c r="C12" s="41">
        <f>CBAM_Products!$C$6</f>
        <v>20</v>
      </c>
      <c r="D12" s="41">
        <f>CBAM_Products!$C$22</f>
        <v>0</v>
      </c>
      <c r="E12" s="41">
        <f>CBAM_Products!$C$38</f>
        <v>0</v>
      </c>
      <c r="F12" s="41">
        <f>CBAM_Products!$C$54</f>
        <v>20</v>
      </c>
      <c r="G12" s="41">
        <f>CBAM_Products!$C$70</f>
        <v>20</v>
      </c>
      <c r="H12" s="41">
        <f>CBAM_Products!$C$86</f>
        <v>20</v>
      </c>
      <c r="I12" s="10" t="s">
        <v>112</v>
      </c>
      <c r="J12" s="2" t="s">
        <v>549</v>
      </c>
    </row>
    <row r="13" spans="1:10" x14ac:dyDescent="0.45">
      <c r="A13" s="13" t="s">
        <v>550</v>
      </c>
      <c r="B13" s="8" t="s">
        <v>551</v>
      </c>
      <c r="C13" s="41">
        <f>CBAM_Products!$D$6</f>
        <v>0</v>
      </c>
      <c r="D13" s="41">
        <f>CBAM_Products!$D$22</f>
        <v>0</v>
      </c>
      <c r="E13" s="41">
        <f>CBAM_Products!$D$38</f>
        <v>0</v>
      </c>
      <c r="F13" s="41">
        <f>CBAM_Products!$D$54</f>
        <v>0</v>
      </c>
      <c r="G13" s="41">
        <f>CBAM_Products!$D$70</f>
        <v>20</v>
      </c>
      <c r="H13" s="41">
        <f>CBAM_Products!$D$86</f>
        <v>0</v>
      </c>
      <c r="I13" s="10" t="s">
        <v>112</v>
      </c>
      <c r="J13" s="2" t="s">
        <v>552</v>
      </c>
    </row>
    <row r="14" spans="1:10" x14ac:dyDescent="0.45">
      <c r="A14" s="13" t="s">
        <v>553</v>
      </c>
      <c r="B14" s="8" t="s">
        <v>554</v>
      </c>
      <c r="C14" s="41">
        <f>CBAM_Products!$E$6</f>
        <v>0</v>
      </c>
      <c r="D14" s="41">
        <f>CBAM_Products!$E$22</f>
        <v>0</v>
      </c>
      <c r="E14" s="41">
        <f>CBAM_Products!$E$38</f>
        <v>0</v>
      </c>
      <c r="F14" s="41">
        <f>CBAM_Products!$E$54</f>
        <v>0</v>
      </c>
      <c r="G14" s="41">
        <f>CBAM_Products!$E$70</f>
        <v>0</v>
      </c>
      <c r="H14" s="41">
        <f>CBAM_Products!$E$86</f>
        <v>20</v>
      </c>
      <c r="I14" s="10" t="s">
        <v>112</v>
      </c>
      <c r="J14" s="2" t="s">
        <v>555</v>
      </c>
    </row>
    <row r="15" spans="1:10" x14ac:dyDescent="0.45">
      <c r="A15" s="13" t="s">
        <v>464</v>
      </c>
      <c r="B15" s="8" t="s">
        <v>556</v>
      </c>
      <c r="C15" s="42">
        <f>CBAM_Products!$H$6</f>
        <v>0.95131317563947027</v>
      </c>
      <c r="D15" s="42">
        <f>CBAM_Products!$H$22</f>
        <v>0.95131317563947027</v>
      </c>
      <c r="E15" s="42">
        <f>CBAM_Products!$H$38</f>
        <v>0.95131317563947027</v>
      </c>
      <c r="F15" s="42">
        <f>CBAM_Products!$H$54</f>
        <v>0.95131317563947027</v>
      </c>
      <c r="G15" s="42">
        <f>CBAM_Products!$H$70</f>
        <v>0.95131317563947027</v>
      </c>
      <c r="H15" s="42">
        <f>CBAM_Products!$H$86</f>
        <v>0.9049967581452536</v>
      </c>
      <c r="I15" s="10" t="s">
        <v>81</v>
      </c>
      <c r="J15" s="2" t="s">
        <v>557</v>
      </c>
    </row>
    <row r="16" spans="1:10" x14ac:dyDescent="0.45">
      <c r="A16" s="93" t="s">
        <v>558</v>
      </c>
      <c r="B16" s="91"/>
      <c r="C16" s="91"/>
      <c r="D16" s="91"/>
      <c r="E16" s="91"/>
      <c r="F16" s="91"/>
      <c r="G16" s="91"/>
      <c r="H16" s="91"/>
      <c r="I16" s="91"/>
      <c r="J16" s="91"/>
    </row>
    <row r="17" spans="1:10" x14ac:dyDescent="0.45">
      <c r="A17" s="13" t="s">
        <v>559</v>
      </c>
      <c r="B17" s="8" t="s">
        <v>560</v>
      </c>
      <c r="C17" s="43">
        <f>CBAM_Products!$AT$16</f>
        <v>62.423609890817644</v>
      </c>
      <c r="D17" s="43">
        <f>CBAM_Products!$AT$32</f>
        <v>62.423609890817644</v>
      </c>
      <c r="E17" s="43">
        <f>CBAM_Products!$AT$48</f>
        <v>62.423609890817644</v>
      </c>
      <c r="F17" s="43">
        <f>CBAM_Products!$AT$64</f>
        <v>62.423609890817644</v>
      </c>
      <c r="G17" s="43">
        <f>CBAM_Products!$AT$80</f>
        <v>62.423609890817644</v>
      </c>
      <c r="H17" s="43">
        <f>CBAM_Products!$AT$96</f>
        <v>62.423609890817644</v>
      </c>
      <c r="I17" s="10" t="s">
        <v>561</v>
      </c>
      <c r="J17" s="2" t="s">
        <v>562</v>
      </c>
    </row>
    <row r="18" spans="1:10" x14ac:dyDescent="0.45">
      <c r="A18" s="13" t="s">
        <v>563</v>
      </c>
      <c r="B18" s="8" t="s">
        <v>564</v>
      </c>
      <c r="C18" s="43">
        <f>CBAM_Products!$AU$16</f>
        <v>27.602124473917094</v>
      </c>
      <c r="D18" s="43">
        <f>CBAM_Products!$AU$32</f>
        <v>27.602124473917094</v>
      </c>
      <c r="E18" s="43">
        <f>CBAM_Products!$AU$48</f>
        <v>27.602124473917094</v>
      </c>
      <c r="F18" s="43">
        <f>CBAM_Products!$AU$64</f>
        <v>27.602124473917094</v>
      </c>
      <c r="G18" s="43">
        <f>CBAM_Products!$AU$80</f>
        <v>27.602124473917094</v>
      </c>
      <c r="H18" s="43">
        <f>CBAM_Products!$AU$96</f>
        <v>27.602124473917094</v>
      </c>
      <c r="I18" s="10" t="s">
        <v>561</v>
      </c>
      <c r="J18" s="2" t="s">
        <v>565</v>
      </c>
    </row>
    <row r="19" spans="1:10" x14ac:dyDescent="0.45">
      <c r="A19" s="13" t="s">
        <v>566</v>
      </c>
      <c r="B19" s="8" t="s">
        <v>567</v>
      </c>
      <c r="C19" s="43">
        <f>CBAM_Products!$AV$16</f>
        <v>34.821485416900551</v>
      </c>
      <c r="D19" s="43">
        <f>CBAM_Products!$AV$32</f>
        <v>34.821485416900551</v>
      </c>
      <c r="E19" s="43">
        <f>CBAM_Products!$AV$48</f>
        <v>34.821485416900551</v>
      </c>
      <c r="F19" s="43">
        <f>CBAM_Products!$AV$64</f>
        <v>34.821485416900551</v>
      </c>
      <c r="G19" s="43">
        <f>CBAM_Products!$AV$80</f>
        <v>34.821485416900551</v>
      </c>
      <c r="H19" s="43">
        <f>CBAM_Products!$AV$96</f>
        <v>34.821485416900551</v>
      </c>
      <c r="I19" s="10" t="s">
        <v>561</v>
      </c>
      <c r="J19" s="2" t="s">
        <v>568</v>
      </c>
    </row>
    <row r="20" spans="1:10" x14ac:dyDescent="0.45">
      <c r="A20" s="13" t="s">
        <v>569</v>
      </c>
      <c r="B20" s="8" t="s">
        <v>570</v>
      </c>
      <c r="C20" s="43">
        <f>CBAM_Products!$I$16</f>
        <v>79893.955657864804</v>
      </c>
      <c r="D20" s="43">
        <f>CBAM_Products!$I$32</f>
        <v>79893.955657864804</v>
      </c>
      <c r="E20" s="43">
        <f>CBAM_Products!$I$48</f>
        <v>79893.955657864804</v>
      </c>
      <c r="F20" s="43">
        <f>CBAM_Products!$I$64</f>
        <v>79893.955657864804</v>
      </c>
      <c r="G20" s="43">
        <f>CBAM_Products!$I$80</f>
        <v>79893.955657864804</v>
      </c>
      <c r="H20" s="43">
        <f>CBAM_Products!$I$96</f>
        <v>79893.955657864804</v>
      </c>
      <c r="I20" s="10" t="s">
        <v>571</v>
      </c>
      <c r="J20" s="2" t="s">
        <v>572</v>
      </c>
    </row>
    <row r="21" spans="1:10" x14ac:dyDescent="0.45">
      <c r="A21" s="13" t="s">
        <v>573</v>
      </c>
      <c r="B21" s="8" t="s">
        <v>574</v>
      </c>
      <c r="C21" s="43">
        <f>CBAM_Products!$N$16</f>
        <v>78880.541357982802</v>
      </c>
      <c r="D21" s="43">
        <f>CBAM_Products!$N$32</f>
        <v>79438.025673813812</v>
      </c>
      <c r="E21" s="43">
        <f>CBAM_Products!$N$48</f>
        <v>79438.025673813812</v>
      </c>
      <c r="F21" s="43">
        <f>CBAM_Products!$N$64</f>
        <v>78880.541357982802</v>
      </c>
      <c r="G21" s="43">
        <f>CBAM_Products!$N$80</f>
        <v>79893.955657864804</v>
      </c>
      <c r="H21" s="43">
        <f>CBAM_Products!$N$96</f>
        <v>78880.541357982802</v>
      </c>
      <c r="I21" s="10" t="s">
        <v>571</v>
      </c>
      <c r="J21" s="2" t="s">
        <v>575</v>
      </c>
    </row>
    <row r="22" spans="1:10" x14ac:dyDescent="0.45">
      <c r="A22" s="13" t="s">
        <v>576</v>
      </c>
      <c r="B22" s="8" t="s">
        <v>577</v>
      </c>
      <c r="C22" s="43">
        <f>CBAM_Products!$O$16</f>
        <v>27.169331337630204</v>
      </c>
      <c r="D22" s="43">
        <f>CBAM_Products!$O$32</f>
        <v>27.339928863629947</v>
      </c>
      <c r="E22" s="43">
        <f>CBAM_Products!$O$48</f>
        <v>27.339928863629947</v>
      </c>
      <c r="F22" s="43">
        <f>CBAM_Products!$O$64</f>
        <v>27.169331337630204</v>
      </c>
      <c r="G22" s="43">
        <f>CBAM_Products!$O$80</f>
        <v>27.602124473917094</v>
      </c>
      <c r="H22" s="43">
        <f>CBAM_Products!$O$96</f>
        <v>27.169331337630204</v>
      </c>
      <c r="I22" s="10" t="s">
        <v>561</v>
      </c>
      <c r="J22" s="2"/>
    </row>
    <row r="23" spans="1:10" x14ac:dyDescent="0.45">
      <c r="A23" s="13" t="s">
        <v>578</v>
      </c>
      <c r="B23" s="8" t="s">
        <v>579</v>
      </c>
      <c r="C23" s="43">
        <f>CBAM_Products!$P$16</f>
        <v>34.325581893260441</v>
      </c>
      <c r="D23" s="43">
        <f>CBAM_Products!$P$32</f>
        <v>34.637025014821951</v>
      </c>
      <c r="E23" s="43">
        <f>CBAM_Products!$P$48</f>
        <v>34.637025014821951</v>
      </c>
      <c r="F23" s="43">
        <f>CBAM_Products!$P$64</f>
        <v>34.325581893260441</v>
      </c>
      <c r="G23" s="43">
        <f>CBAM_Products!$P$80</f>
        <v>34.821485416900551</v>
      </c>
      <c r="H23" s="43">
        <f>CBAM_Products!$P$96</f>
        <v>34.325581893260441</v>
      </c>
      <c r="I23" s="10" t="s">
        <v>561</v>
      </c>
      <c r="J23" s="2"/>
    </row>
    <row r="24" spans="1:10" x14ac:dyDescent="0.45">
      <c r="A24" s="13" t="s">
        <v>580</v>
      </c>
      <c r="B24" s="8" t="s">
        <v>581</v>
      </c>
      <c r="C24" s="43">
        <f>CBAM_Products!$Q$16</f>
        <v>-1.3227884628282383</v>
      </c>
      <c r="D24" s="43">
        <f>CBAM_Products!$Q$32</f>
        <v>-1.3310943146129284</v>
      </c>
      <c r="E24" s="43">
        <f>CBAM_Products!$Q$48</f>
        <v>-1.3310943146129284</v>
      </c>
      <c r="F24" s="43">
        <f>CBAM_Products!$Q$64</f>
        <v>-1.3227884628282383</v>
      </c>
      <c r="G24" s="43">
        <f>CBAM_Products!$Q$80</f>
        <v>-1.3438597862390809</v>
      </c>
      <c r="H24" s="43">
        <f>CBAM_Products!$Q$96</f>
        <v>-2.5811745561006232</v>
      </c>
      <c r="I24" s="10" t="s">
        <v>561</v>
      </c>
      <c r="J24" s="2" t="s">
        <v>582</v>
      </c>
    </row>
    <row r="25" spans="1:10" x14ac:dyDescent="0.45">
      <c r="A25" s="13" t="s">
        <v>583</v>
      </c>
      <c r="B25" s="8" t="s">
        <v>584</v>
      </c>
      <c r="C25" s="43">
        <f>CBAM_Products!$R$16</f>
        <v>-2.242427612552663</v>
      </c>
      <c r="D25" s="43">
        <f>CBAM_Products!$R$32</f>
        <v>0</v>
      </c>
      <c r="E25" s="43">
        <f>CBAM_Products!$R$48</f>
        <v>0</v>
      </c>
      <c r="F25" s="43">
        <f>CBAM_Products!$R$64</f>
        <v>-2.242427612552663</v>
      </c>
      <c r="G25" s="43">
        <f>CBAM_Products!$R$80</f>
        <v>-2.2757201185714711</v>
      </c>
      <c r="H25" s="43">
        <f>CBAM_Products!$R$96</f>
        <v>-4.333081697515337</v>
      </c>
      <c r="I25" s="10" t="s">
        <v>561</v>
      </c>
      <c r="J25" s="2" t="s">
        <v>585</v>
      </c>
    </row>
    <row r="26" spans="1:10" x14ac:dyDescent="0.45">
      <c r="A26" s="13" t="s">
        <v>586</v>
      </c>
      <c r="B26" s="8" t="s">
        <v>587</v>
      </c>
      <c r="C26" s="43">
        <f>CBAM_Products!$S$16</f>
        <v>25.846542874801969</v>
      </c>
      <c r="D26" s="43">
        <f>CBAM_Products!$S$32</f>
        <v>26.008834549017021</v>
      </c>
      <c r="E26" s="43">
        <f>CBAM_Products!$S$48</f>
        <v>26.008834549017021</v>
      </c>
      <c r="F26" s="43">
        <f>CBAM_Products!$S$64</f>
        <v>25.846542874801969</v>
      </c>
      <c r="G26" s="43">
        <f>CBAM_Products!$S$80</f>
        <v>26.258264687678018</v>
      </c>
      <c r="H26" s="43">
        <f>CBAM_Products!$S$96</f>
        <v>24.588156781529584</v>
      </c>
      <c r="I26" s="10" t="s">
        <v>561</v>
      </c>
      <c r="J26" s="2" t="s">
        <v>588</v>
      </c>
    </row>
    <row r="27" spans="1:10" x14ac:dyDescent="0.45">
      <c r="A27" s="13" t="s">
        <v>589</v>
      </c>
      <c r="B27" s="8" t="s">
        <v>590</v>
      </c>
      <c r="C27" s="43">
        <f>CBAM_Products!$T$16</f>
        <v>32.083154280707774</v>
      </c>
      <c r="D27" s="43">
        <f>CBAM_Products!$T$32</f>
        <v>34.637025014821951</v>
      </c>
      <c r="E27" s="43">
        <f>CBAM_Products!$T$48</f>
        <v>34.637025014821951</v>
      </c>
      <c r="F27" s="43">
        <f>CBAM_Products!$T$64</f>
        <v>32.083154280707774</v>
      </c>
      <c r="G27" s="43">
        <f>CBAM_Products!$T$80</f>
        <v>32.545765298329073</v>
      </c>
      <c r="H27" s="43">
        <f>CBAM_Products!$T$96</f>
        <v>29.992500195745105</v>
      </c>
      <c r="I27" s="10" t="s">
        <v>561</v>
      </c>
      <c r="J27" s="2" t="s">
        <v>591</v>
      </c>
    </row>
    <row r="28" spans="1:10" x14ac:dyDescent="0.45">
      <c r="A28" s="13" t="s">
        <v>592</v>
      </c>
      <c r="B28" s="8" t="s">
        <v>593</v>
      </c>
      <c r="C28" s="43">
        <f>CBAM_Products!$U$16</f>
        <v>57.929697155509736</v>
      </c>
      <c r="D28" s="43">
        <f>CBAM_Products!$U$32</f>
        <v>60.645859563838968</v>
      </c>
      <c r="E28" s="43">
        <f>CBAM_Products!$U$48</f>
        <v>60.645859563838968</v>
      </c>
      <c r="F28" s="43">
        <f>CBAM_Products!$U$64</f>
        <v>57.929697155509736</v>
      </c>
      <c r="G28" s="43">
        <f>CBAM_Products!$U$80</f>
        <v>58.804029986007087</v>
      </c>
      <c r="H28" s="43">
        <f>CBAM_Products!$U$96</f>
        <v>54.580656977274685</v>
      </c>
      <c r="I28" s="10" t="s">
        <v>561</v>
      </c>
      <c r="J28" s="2" t="s">
        <v>594</v>
      </c>
    </row>
    <row r="29" spans="1:10" x14ac:dyDescent="0.45">
      <c r="A29" s="13" t="s">
        <v>595</v>
      </c>
      <c r="B29" s="8" t="s">
        <v>596</v>
      </c>
      <c r="C29" s="43">
        <f>CBAM_Products!$V$16</f>
        <v>-0.92869665992700123</v>
      </c>
      <c r="D29" s="43">
        <f>CBAM_Products!$V$32</f>
        <v>-0.44665601236573776</v>
      </c>
      <c r="E29" s="43">
        <f>CBAM_Products!$V$48</f>
        <v>-0.44665601236573776</v>
      </c>
      <c r="F29" s="43">
        <f>CBAM_Products!$V$64</f>
        <v>-0.92869665992700123</v>
      </c>
      <c r="G29" s="43">
        <f>CBAM_Products!$V$80</f>
        <v>0</v>
      </c>
      <c r="H29" s="43">
        <f>CBAM_Products!$V$96</f>
        <v>-0.92869665992700123</v>
      </c>
      <c r="I29" s="10" t="s">
        <v>561</v>
      </c>
      <c r="J29" s="2" t="s">
        <v>597</v>
      </c>
    </row>
    <row r="30" spans="1:10" x14ac:dyDescent="0.45">
      <c r="A30" s="13" t="s">
        <v>598</v>
      </c>
      <c r="B30" s="8" t="s">
        <v>599</v>
      </c>
      <c r="C30" s="43">
        <f>CBAM_Products!$W$16</f>
        <v>-0.49590352364010887</v>
      </c>
      <c r="D30" s="43">
        <f>CBAM_Products!$W$32</f>
        <v>-0.18446040207858988</v>
      </c>
      <c r="E30" s="43">
        <f>CBAM_Products!$W$48</f>
        <v>-0.18446040207858988</v>
      </c>
      <c r="F30" s="43">
        <f>CBAM_Products!$W$64</f>
        <v>-0.49590352364010887</v>
      </c>
      <c r="G30" s="43">
        <f>CBAM_Products!$W$80</f>
        <v>0</v>
      </c>
      <c r="H30" s="43">
        <f>CBAM_Products!$W$96</f>
        <v>-0.49590352364010887</v>
      </c>
      <c r="I30" s="10" t="s">
        <v>561</v>
      </c>
      <c r="J30" s="2" t="s">
        <v>600</v>
      </c>
    </row>
    <row r="31" spans="1:10" x14ac:dyDescent="0.45">
      <c r="A31" s="13" t="s">
        <v>601</v>
      </c>
      <c r="B31" s="8" t="s">
        <v>602</v>
      </c>
      <c r="C31" s="43">
        <f>CBAM_Products!$Y$16</f>
        <v>516.93085749603927</v>
      </c>
      <c r="D31" s="43">
        <f>CBAM_Products!$Y$32</f>
        <v>520.17669098034037</v>
      </c>
      <c r="E31" s="43">
        <f>CBAM_Products!$Y$48</f>
        <v>520.17669098034037</v>
      </c>
      <c r="F31" s="43">
        <f>CBAM_Products!$Y$64</f>
        <v>516.93085749603927</v>
      </c>
      <c r="G31" s="43">
        <f>CBAM_Products!$Y$80</f>
        <v>525.16529375356038</v>
      </c>
      <c r="H31" s="43">
        <f>CBAM_Products!$Y$96</f>
        <v>491.76313563059159</v>
      </c>
      <c r="I31" s="10" t="s">
        <v>603</v>
      </c>
      <c r="J31" s="2" t="s">
        <v>604</v>
      </c>
    </row>
    <row r="32" spans="1:10" x14ac:dyDescent="0.45">
      <c r="A32" s="13" t="s">
        <v>605</v>
      </c>
      <c r="B32" s="8" t="s">
        <v>606</v>
      </c>
      <c r="C32" s="43">
        <f>CBAM_Products!$Z$16</f>
        <v>641.66308561415553</v>
      </c>
      <c r="D32" s="43">
        <f>CBAM_Products!$Z$32</f>
        <v>0</v>
      </c>
      <c r="E32" s="43">
        <f>CBAM_Products!$Z$48</f>
        <v>0</v>
      </c>
      <c r="F32" s="43">
        <f>CBAM_Products!$Z$64</f>
        <v>641.66308561415553</v>
      </c>
      <c r="G32" s="43">
        <f>CBAM_Products!$Z$80</f>
        <v>650.91530596658163</v>
      </c>
      <c r="H32" s="43">
        <f>CBAM_Products!$Z$96</f>
        <v>599.850003914902</v>
      </c>
      <c r="I32" s="10" t="s">
        <v>603</v>
      </c>
      <c r="J32" s="2" t="s">
        <v>607</v>
      </c>
    </row>
    <row r="33" spans="1:10" x14ac:dyDescent="0.45">
      <c r="A33" s="13" t="s">
        <v>608</v>
      </c>
      <c r="B33" s="8" t="s">
        <v>609</v>
      </c>
      <c r="C33" s="43">
        <f>CBAM_Products!$AA$16</f>
        <v>1158.5939431101945</v>
      </c>
      <c r="D33" s="43">
        <f>CBAM_Products!$AA$32</f>
        <v>520.17669098034037</v>
      </c>
      <c r="E33" s="43">
        <f>CBAM_Products!$AA$48</f>
        <v>520.17669098034037</v>
      </c>
      <c r="F33" s="43">
        <f>CBAM_Products!$AA$64</f>
        <v>1158.5939431101945</v>
      </c>
      <c r="G33" s="43">
        <f>CBAM_Products!$AA$80</f>
        <v>1176.0805997201417</v>
      </c>
      <c r="H33" s="43">
        <f>CBAM_Products!$AA$96</f>
        <v>1091.6131395454938</v>
      </c>
      <c r="I33" s="10" t="s">
        <v>603</v>
      </c>
      <c r="J33" s="2" t="s">
        <v>610</v>
      </c>
    </row>
    <row r="34" spans="1:10" x14ac:dyDescent="0.45">
      <c r="A34" s="13" t="s">
        <v>611</v>
      </c>
      <c r="B34" s="8" t="s">
        <v>612</v>
      </c>
      <c r="C34" s="43">
        <f>CBAM_Products!$AB$16</f>
        <v>0</v>
      </c>
      <c r="D34" s="43">
        <f>CBAM_Products!$AB$32</f>
        <v>0</v>
      </c>
      <c r="E34" s="43">
        <f>CBAM_Products!$AB$48</f>
        <v>0</v>
      </c>
      <c r="F34" s="43">
        <f>CBAM_Products!$AB$64</f>
        <v>0</v>
      </c>
      <c r="G34" s="43">
        <f>CBAM_Products!$AB$80</f>
        <v>1248.4721978163532</v>
      </c>
      <c r="H34" s="43">
        <f>CBAM_Products!$AB$96</f>
        <v>0</v>
      </c>
      <c r="I34" s="10" t="s">
        <v>603</v>
      </c>
      <c r="J34" s="2" t="s">
        <v>613</v>
      </c>
    </row>
    <row r="35" spans="1:10" x14ac:dyDescent="0.45">
      <c r="A35" s="13" t="s">
        <v>614</v>
      </c>
      <c r="B35" s="8" t="s">
        <v>615</v>
      </c>
      <c r="C35" s="43">
        <f>CBAM_Products!$AH$16</f>
        <v>65.86163924362458</v>
      </c>
      <c r="D35" s="43">
        <f>CBAM_Products!$AH$32</f>
        <v>92.428684000535881</v>
      </c>
      <c r="E35" s="43">
        <f>CBAM_Products!$AH$48</f>
        <v>92.428684000535881</v>
      </c>
      <c r="F35" s="43">
        <f>CBAM_Products!$AH$64</f>
        <v>65.86163924362458</v>
      </c>
      <c r="G35" s="43">
        <f>CBAM_Products!$AH$80</f>
        <v>113.58180827461508</v>
      </c>
      <c r="H35" s="43">
        <f>CBAM_Products!$AH$96</f>
        <v>62.36240276070972</v>
      </c>
      <c r="I35" s="10" t="s">
        <v>603</v>
      </c>
      <c r="J35" s="2" t="s">
        <v>616</v>
      </c>
    </row>
    <row r="36" spans="1:10" x14ac:dyDescent="0.45">
      <c r="A36" s="13" t="s">
        <v>617</v>
      </c>
      <c r="B36" s="8" t="s">
        <v>618</v>
      </c>
      <c r="C36" s="43">
        <f>CBAM_Products!$AI$16</f>
        <v>120.0155796747419</v>
      </c>
      <c r="D36" s="43">
        <f>CBAM_Products!$AI$32</f>
        <v>120.0155796747419</v>
      </c>
      <c r="E36" s="43">
        <f>CBAM_Products!$AI$48</f>
        <v>120.0155796747419</v>
      </c>
      <c r="F36" s="43">
        <f>CBAM_Products!$AI$64</f>
        <v>120.0155796747419</v>
      </c>
      <c r="G36" s="43">
        <f>CBAM_Products!$AI$80</f>
        <v>120.0155796747419</v>
      </c>
      <c r="H36" s="43">
        <f>CBAM_Products!$AI$96</f>
        <v>120.0155796747419</v>
      </c>
      <c r="I36" s="10" t="s">
        <v>603</v>
      </c>
      <c r="J36" s="2" t="s">
        <v>619</v>
      </c>
    </row>
    <row r="37" spans="1:10" x14ac:dyDescent="0.45">
      <c r="A37" s="13" t="s">
        <v>620</v>
      </c>
      <c r="B37" s="8" t="s">
        <v>621</v>
      </c>
      <c r="C37" s="43">
        <f>CBAM_Products!$AS$16</f>
        <v>61.494913230890646</v>
      </c>
      <c r="D37" s="43">
        <f>CBAM_Products!$AS$32</f>
        <v>27.339928863629947</v>
      </c>
      <c r="E37" s="43">
        <f>CBAM_Products!$AS$48</f>
        <v>27.339928863629947</v>
      </c>
      <c r="F37" s="43">
        <f>CBAM_Products!$AS$64</f>
        <v>61.494913230890646</v>
      </c>
      <c r="G37" s="43">
        <f>CBAM_Products!$AS$80</f>
        <v>62.423609890817652</v>
      </c>
      <c r="H37" s="43">
        <f>CBAM_Products!$AS$96</f>
        <v>61.494913230890646</v>
      </c>
      <c r="I37" s="10" t="s">
        <v>561</v>
      </c>
      <c r="J37" s="2" t="s">
        <v>622</v>
      </c>
    </row>
    <row r="38" spans="1:10" x14ac:dyDescent="0.45">
      <c r="A38" s="13" t="s">
        <v>623</v>
      </c>
      <c r="B38" s="8" t="s">
        <v>624</v>
      </c>
      <c r="C38" s="43">
        <f t="shared" ref="C38:H38" si="5">C24+C25</f>
        <v>-3.565216075380901</v>
      </c>
      <c r="D38" s="43">
        <f t="shared" si="5"/>
        <v>-1.3310943146129284</v>
      </c>
      <c r="E38" s="43">
        <f t="shared" si="5"/>
        <v>-1.3310943146129284</v>
      </c>
      <c r="F38" s="43">
        <f t="shared" si="5"/>
        <v>-3.565216075380901</v>
      </c>
      <c r="G38" s="43">
        <f t="shared" si="5"/>
        <v>-3.6195799048105517</v>
      </c>
      <c r="H38" s="43">
        <f t="shared" si="5"/>
        <v>-6.9142562536159602</v>
      </c>
      <c r="I38" s="10" t="s">
        <v>561</v>
      </c>
      <c r="J38" s="2" t="s">
        <v>625</v>
      </c>
    </row>
    <row r="39" spans="1:10" x14ac:dyDescent="0.45">
      <c r="A39" s="13" t="s">
        <v>626</v>
      </c>
      <c r="B39" s="8" t="s">
        <v>627</v>
      </c>
      <c r="C39" s="43">
        <f t="shared" ref="C39:H39" si="6">C29+C38</f>
        <v>-4.4939127353079025</v>
      </c>
      <c r="D39" s="43">
        <f t="shared" si="6"/>
        <v>-1.7777503269786661</v>
      </c>
      <c r="E39" s="43">
        <f t="shared" si="6"/>
        <v>-1.7777503269786661</v>
      </c>
      <c r="F39" s="43">
        <f t="shared" si="6"/>
        <v>-4.4939127353079025</v>
      </c>
      <c r="G39" s="43">
        <f t="shared" si="6"/>
        <v>-3.6195799048105517</v>
      </c>
      <c r="H39" s="43">
        <f t="shared" si="6"/>
        <v>-7.8429529135429616</v>
      </c>
      <c r="I39" s="10" t="s">
        <v>561</v>
      </c>
      <c r="J39" s="2" t="s">
        <v>628</v>
      </c>
    </row>
    <row r="40" spans="1:10" x14ac:dyDescent="0.45">
      <c r="A40" s="93" t="s">
        <v>629</v>
      </c>
      <c r="B40" s="91"/>
      <c r="C40" s="91"/>
      <c r="D40" s="91"/>
      <c r="E40" s="91"/>
      <c r="F40" s="91"/>
      <c r="G40" s="91"/>
      <c r="H40" s="91"/>
      <c r="I40" s="91"/>
      <c r="J40" s="91"/>
    </row>
    <row r="41" spans="1:10" x14ac:dyDescent="0.45">
      <c r="A41" s="13" t="s">
        <v>630</v>
      </c>
      <c r="B41" s="8" t="s">
        <v>631</v>
      </c>
      <c r="C41" s="44">
        <f t="shared" ref="C41:H41" si="7">C37/(C22+C23)</f>
        <v>1</v>
      </c>
      <c r="D41" s="44">
        <f t="shared" si="7"/>
        <v>0.44113056794060146</v>
      </c>
      <c r="E41" s="44">
        <f t="shared" si="7"/>
        <v>0.44113056794060146</v>
      </c>
      <c r="F41" s="44">
        <f t="shared" si="7"/>
        <v>1</v>
      </c>
      <c r="G41" s="44">
        <f t="shared" si="7"/>
        <v>1.0000000000000002</v>
      </c>
      <c r="H41" s="44">
        <f t="shared" si="7"/>
        <v>1</v>
      </c>
      <c r="I41" s="10" t="s">
        <v>81</v>
      </c>
      <c r="J41" s="2" t="s">
        <v>632</v>
      </c>
    </row>
    <row r="42" spans="1:10" x14ac:dyDescent="0.45">
      <c r="A42" s="13" t="s">
        <v>633</v>
      </c>
      <c r="B42" s="8" t="s">
        <v>634</v>
      </c>
      <c r="C42" s="44">
        <f>CBAM_Products!$AR$16/CBAM_Products!$AQ$16</f>
        <v>1</v>
      </c>
      <c r="D42" s="44">
        <f>CBAM_Products!$AR$32/CBAM_Products!$AQ$32</f>
        <v>0.52437567936948148</v>
      </c>
      <c r="E42" s="44">
        <f>CBAM_Products!$AR$48/CBAM_Products!$AQ$48</f>
        <v>0.52437567936948148</v>
      </c>
      <c r="F42" s="44">
        <f>CBAM_Products!$AR$64/CBAM_Products!$AQ$64</f>
        <v>1</v>
      </c>
      <c r="G42" s="44">
        <f>CBAM_Products!$AR$80/CBAM_Products!$AQ$80</f>
        <v>1</v>
      </c>
      <c r="H42" s="44">
        <f>CBAM_Products!$AR$96/CBAM_Products!$AQ$96</f>
        <v>1</v>
      </c>
      <c r="I42" s="10" t="s">
        <v>81</v>
      </c>
      <c r="J42" s="2" t="s">
        <v>635</v>
      </c>
    </row>
    <row r="43" spans="1:10" x14ac:dyDescent="0.45">
      <c r="A43" s="13" t="s">
        <v>636</v>
      </c>
      <c r="B43" s="8" t="s">
        <v>637</v>
      </c>
      <c r="C43" s="44">
        <f t="shared" ref="C43:H43" si="8">C28/(C22+C23)-1</f>
        <v>-5.7975788371224191E-2</v>
      </c>
      <c r="D43" s="44">
        <f t="shared" si="8"/>
        <v>-2.1477246481384715E-2</v>
      </c>
      <c r="E43" s="44">
        <f t="shared" si="8"/>
        <v>-2.1477246481384715E-2</v>
      </c>
      <c r="F43" s="44">
        <f t="shared" si="8"/>
        <v>-5.7975788371224191E-2</v>
      </c>
      <c r="G43" s="44">
        <f t="shared" si="8"/>
        <v>-5.7984149124688633E-2</v>
      </c>
      <c r="H43" s="44">
        <f t="shared" si="8"/>
        <v>-0.11243623074408593</v>
      </c>
      <c r="I43" s="10" t="s">
        <v>81</v>
      </c>
      <c r="J43" s="2" t="s">
        <v>638</v>
      </c>
    </row>
    <row r="44" spans="1:10" x14ac:dyDescent="0.45">
      <c r="A44" s="13" t="s">
        <v>639</v>
      </c>
      <c r="B44" s="8" t="s">
        <v>640</v>
      </c>
      <c r="C44" s="44">
        <f>CBAM_Products!$AP$16/CBAM_Products!$AQ$16-1</f>
        <v>-5.4226768436143935E-2</v>
      </c>
      <c r="D44" s="44">
        <f>CBAM_Products!$AP$32/CBAM_Products!$AQ$32-1</f>
        <v>-2.553018660039541E-2</v>
      </c>
      <c r="E44" s="44">
        <f>CBAM_Products!$AP$48/CBAM_Products!$AQ$48-1</f>
        <v>-2.553018660039541E-2</v>
      </c>
      <c r="F44" s="44">
        <f>CBAM_Products!$AP$64/CBAM_Products!$AQ$64-1</f>
        <v>-5.4226768436143935E-2</v>
      </c>
      <c r="G44" s="44">
        <f>CBAM_Products!$AP$80/CBAM_Products!$AQ$80-1</f>
        <v>-5.4226768436144046E-2</v>
      </c>
      <c r="H44" s="44">
        <f>CBAM_Products!$AP$96/CBAM_Products!$AQ$96-1</f>
        <v>-0.10508584231600837</v>
      </c>
      <c r="I44" s="10" t="s">
        <v>81</v>
      </c>
      <c r="J44" s="2" t="s">
        <v>641</v>
      </c>
    </row>
    <row r="45" spans="1:10" x14ac:dyDescent="0.45">
      <c r="A45" s="13" t="s">
        <v>642</v>
      </c>
      <c r="B45" s="8" t="s">
        <v>643</v>
      </c>
      <c r="C45" s="44">
        <f t="shared" ref="C45:H45" si="9">C29/C17</f>
        <v>-1.4877330252949857E-2</v>
      </c>
      <c r="D45" s="44">
        <f t="shared" si="9"/>
        <v>-7.1552416328847998E-3</v>
      </c>
      <c r="E45" s="44">
        <f t="shared" si="9"/>
        <v>-7.1552416328847998E-3</v>
      </c>
      <c r="F45" s="44">
        <f t="shared" si="9"/>
        <v>-1.4877330252949857E-2</v>
      </c>
      <c r="G45" s="44">
        <f t="shared" si="9"/>
        <v>0</v>
      </c>
      <c r="H45" s="44">
        <f t="shared" si="9"/>
        <v>-1.4877330252949857E-2</v>
      </c>
      <c r="I45" s="10" t="s">
        <v>81</v>
      </c>
      <c r="J45" s="2" t="s">
        <v>644</v>
      </c>
    </row>
    <row r="46" spans="1:10" x14ac:dyDescent="0.45">
      <c r="A46" s="13" t="s">
        <v>645</v>
      </c>
      <c r="B46" s="8" t="s">
        <v>646</v>
      </c>
      <c r="C46" s="44">
        <f t="shared" ref="C46:H46" si="10">C39/C17</f>
        <v>-7.1990593673900066E-2</v>
      </c>
      <c r="D46" s="44">
        <f t="shared" si="10"/>
        <v>-2.8478813226086253E-2</v>
      </c>
      <c r="E46" s="44">
        <f t="shared" si="10"/>
        <v>-2.8478813226086253E-2</v>
      </c>
      <c r="F46" s="44">
        <f t="shared" si="10"/>
        <v>-7.1990593673900066E-2</v>
      </c>
      <c r="G46" s="44">
        <f t="shared" si="10"/>
        <v>-5.7984149124688522E-2</v>
      </c>
      <c r="H46" s="44">
        <f t="shared" si="10"/>
        <v>-0.12564081005985911</v>
      </c>
      <c r="I46" s="10" t="s">
        <v>81</v>
      </c>
      <c r="J46" s="2" t="s">
        <v>647</v>
      </c>
    </row>
    <row r="47" spans="1:10" x14ac:dyDescent="0.45">
      <c r="A47" s="13" t="s">
        <v>648</v>
      </c>
      <c r="B47" s="8" t="s">
        <v>649</v>
      </c>
      <c r="C47" s="44">
        <f t="shared" ref="C47:H47" si="11">C28*1000/C21</f>
        <v>0.73439781419105565</v>
      </c>
      <c r="D47" s="44">
        <f t="shared" si="11"/>
        <v>0.76343613841639635</v>
      </c>
      <c r="E47" s="44">
        <f t="shared" si="11"/>
        <v>0.76343613841639635</v>
      </c>
      <c r="F47" s="44">
        <f t="shared" si="11"/>
        <v>0.73439781419105565</v>
      </c>
      <c r="G47" s="44">
        <f t="shared" si="11"/>
        <v>0.7360260172600227</v>
      </c>
      <c r="H47" s="44">
        <f t="shared" si="11"/>
        <v>0.69194069966599014</v>
      </c>
      <c r="I47" s="10" t="s">
        <v>650</v>
      </c>
      <c r="J47" s="2" t="s">
        <v>635</v>
      </c>
    </row>
    <row r="48" spans="1:10" x14ac:dyDescent="0.45">
      <c r="A48" s="13" t="s">
        <v>651</v>
      </c>
      <c r="B48" s="8" t="s">
        <v>652</v>
      </c>
      <c r="C48" s="44">
        <f t="shared" ref="C48:H48" si="12">C35/C36-1</f>
        <v>-0.45122425420001022</v>
      </c>
      <c r="D48" s="44">
        <f t="shared" si="12"/>
        <v>-0.2298609542941854</v>
      </c>
      <c r="E48" s="44">
        <f t="shared" si="12"/>
        <v>-0.2298609542941854</v>
      </c>
      <c r="F48" s="44">
        <f t="shared" si="12"/>
        <v>-0.45122425420001022</v>
      </c>
      <c r="G48" s="44">
        <f t="shared" si="12"/>
        <v>-5.3607801733434823E-2</v>
      </c>
      <c r="H48" s="44">
        <f t="shared" si="12"/>
        <v>-0.48038077281532876</v>
      </c>
      <c r="I48" s="10" t="s">
        <v>81</v>
      </c>
      <c r="J48" s="2" t="s">
        <v>635</v>
      </c>
    </row>
    <row r="49" spans="1:10" x14ac:dyDescent="0.45">
      <c r="A49" s="13" t="s">
        <v>653</v>
      </c>
      <c r="B49" s="8" t="s">
        <v>654</v>
      </c>
      <c r="C49" s="44">
        <f>CBAM_Products!$AM$16/CBAM_Products!$AJ$16-1</f>
        <v>-0.44423634846247628</v>
      </c>
      <c r="D49" s="44">
        <f>CBAM_Products!$AM$32/CBAM_Products!$AJ$32-1</f>
        <v>-0.23123966815465757</v>
      </c>
      <c r="E49" s="44">
        <f>CBAM_Products!$AM$48/CBAM_Products!$AJ$48-1</f>
        <v>-0.23123966815465757</v>
      </c>
      <c r="F49" s="44">
        <f>CBAM_Products!$AM$64/CBAM_Products!$AJ$64-1</f>
        <v>-0.44423634846247628</v>
      </c>
      <c r="G49" s="44">
        <f>CBAM_Products!$AM$80/CBAM_Products!$AJ$80-1</f>
        <v>-5.4226768436143935E-2</v>
      </c>
      <c r="H49" s="44">
        <f>CBAM_Products!$AM$96/CBAM_Products!$AJ$96-1</f>
        <v>-0.47412260837126274</v>
      </c>
      <c r="I49" s="10" t="s">
        <v>81</v>
      </c>
      <c r="J49" s="2" t="s">
        <v>655</v>
      </c>
    </row>
    <row r="50" spans="1:10" x14ac:dyDescent="0.45">
      <c r="A50" s="13" t="s">
        <v>656</v>
      </c>
      <c r="B50" s="8" t="s">
        <v>657</v>
      </c>
      <c r="C50" s="44">
        <f>CBAM_Products!$AN$16/CBAM_Products!$AK$16-1</f>
        <v>-0.44423634846247628</v>
      </c>
      <c r="D50" s="44">
        <f>CBAM_Products!$AN$32/CBAM_Products!$AK$32-1</f>
        <v>-0.23123966815465757</v>
      </c>
      <c r="E50" s="44">
        <f>CBAM_Products!$AN$48/CBAM_Products!$AK$48-1</f>
        <v>-0.23123966815465757</v>
      </c>
      <c r="F50" s="44">
        <f>CBAM_Products!$AN$64/CBAM_Products!$AK$64-1</f>
        <v>-0.44423634846247628</v>
      </c>
      <c r="G50" s="44">
        <f>CBAM_Products!$AN$80/CBAM_Products!$AK$80-1</f>
        <v>-5.4226768436143935E-2</v>
      </c>
      <c r="H50" s="44">
        <f>CBAM_Products!$AN$96/CBAM_Products!$AK$96-1</f>
        <v>-0.47412260837126274</v>
      </c>
      <c r="I50" s="10" t="s">
        <v>81</v>
      </c>
      <c r="J50" s="2" t="s">
        <v>658</v>
      </c>
    </row>
    <row r="51" spans="1:10" x14ac:dyDescent="0.45">
      <c r="A51" s="13" t="s">
        <v>659</v>
      </c>
      <c r="B51" s="8" t="s">
        <v>660</v>
      </c>
      <c r="C51" s="44">
        <f>CBAM_Products!$AO$16/CBAM_Products!$AL$16-1</f>
        <v>-0.24338141474891506</v>
      </c>
      <c r="D51" s="44">
        <f>CBAM_Products!$AO$32/CBAM_Products!$AL$32-1</f>
        <v>-0.1252992851542124</v>
      </c>
      <c r="E51" s="44">
        <f>CBAM_Products!$AO$48/CBAM_Products!$AL$48-1</f>
        <v>-0.1252992851542124</v>
      </c>
      <c r="F51" s="44">
        <f>CBAM_Products!$AO$64/CBAM_Products!$AL$64-1</f>
        <v>-0.24338141474891506</v>
      </c>
      <c r="G51" s="44">
        <f>CBAM_Products!$AO$80/CBAM_Products!$AL$80-1</f>
        <v>-5.4226768436143935E-2</v>
      </c>
      <c r="H51" s="44">
        <f>CBAM_Products!$AO$96/CBAM_Products!$AL$96-1</f>
        <v>-0.28406867385280676</v>
      </c>
      <c r="I51" s="10" t="s">
        <v>81</v>
      </c>
      <c r="J51" s="2" t="s">
        <v>635</v>
      </c>
    </row>
    <row r="52" spans="1:10" x14ac:dyDescent="0.45">
      <c r="A52" s="93" t="s">
        <v>661</v>
      </c>
      <c r="B52" s="91"/>
      <c r="C52" s="91"/>
      <c r="D52" s="91"/>
      <c r="E52" s="91"/>
      <c r="F52" s="91"/>
      <c r="G52" s="91"/>
      <c r="H52" s="91"/>
      <c r="I52" s="91"/>
      <c r="J52" s="91"/>
    </row>
    <row r="53" spans="1:10" x14ac:dyDescent="0.45">
      <c r="A53" s="13" t="s">
        <v>141</v>
      </c>
      <c r="B53" s="8" t="s">
        <v>662</v>
      </c>
      <c r="C53" s="43">
        <f t="shared" ref="C53:H53" si="13">INDEX(CV_ghg0,MATCH(C6,CV_Hdr,0))</f>
        <v>594.15599999999995</v>
      </c>
      <c r="D53" s="43">
        <f t="shared" si="13"/>
        <v>594.15599999999995</v>
      </c>
      <c r="E53" s="43">
        <f t="shared" si="13"/>
        <v>594.15599999999995</v>
      </c>
      <c r="F53" s="43">
        <f t="shared" si="13"/>
        <v>594.15599999999995</v>
      </c>
      <c r="G53" s="43">
        <f t="shared" si="13"/>
        <v>594.15599999999995</v>
      </c>
      <c r="H53" s="43">
        <f t="shared" si="13"/>
        <v>594.15599999999995</v>
      </c>
      <c r="I53" s="10" t="s">
        <v>561</v>
      </c>
      <c r="J53" s="2" t="s">
        <v>663</v>
      </c>
    </row>
    <row r="54" spans="1:10" x14ac:dyDescent="0.45">
      <c r="A54" s="13" t="s">
        <v>144</v>
      </c>
      <c r="B54" s="8" t="s">
        <v>664</v>
      </c>
      <c r="C54" s="43">
        <f t="shared" ref="C54:H54" si="14">INDEX(CV_ghg1,MATCH(C6,CV_Hdr,0))</f>
        <v>555.279</v>
      </c>
      <c r="D54" s="43">
        <f t="shared" si="14"/>
        <v>555.279</v>
      </c>
      <c r="E54" s="43">
        <f t="shared" si="14"/>
        <v>553.154</v>
      </c>
      <c r="F54" s="43">
        <f t="shared" si="14"/>
        <v>572.61400000000003</v>
      </c>
      <c r="G54" s="43">
        <f t="shared" si="14"/>
        <v>572.61400000000003</v>
      </c>
      <c r="H54" s="43">
        <f t="shared" si="14"/>
        <v>572.61400000000003</v>
      </c>
      <c r="I54" s="10" t="s">
        <v>561</v>
      </c>
      <c r="J54" s="2" t="s">
        <v>665</v>
      </c>
    </row>
    <row r="55" spans="1:10" x14ac:dyDescent="0.45">
      <c r="A55" s="13" t="s">
        <v>146</v>
      </c>
      <c r="B55" s="8" t="s">
        <v>666</v>
      </c>
      <c r="C55" s="43">
        <f t="shared" ref="C55:H55" si="15">INDEX(CV_ippu0,MATCH(C6,CV_Hdr,0))</f>
        <v>85.97</v>
      </c>
      <c r="D55" s="43">
        <f t="shared" si="15"/>
        <v>85.97</v>
      </c>
      <c r="E55" s="43">
        <f t="shared" si="15"/>
        <v>85.97</v>
      </c>
      <c r="F55" s="43">
        <f t="shared" si="15"/>
        <v>85.97</v>
      </c>
      <c r="G55" s="43">
        <f t="shared" si="15"/>
        <v>85.97</v>
      </c>
      <c r="H55" s="43">
        <f t="shared" si="15"/>
        <v>85.97</v>
      </c>
      <c r="I55" s="10" t="s">
        <v>561</v>
      </c>
      <c r="J55" s="2" t="s">
        <v>667</v>
      </c>
    </row>
    <row r="56" spans="1:10" x14ac:dyDescent="0.45">
      <c r="A56" s="13" t="s">
        <v>148</v>
      </c>
      <c r="B56" s="8" t="s">
        <v>668</v>
      </c>
      <c r="C56" s="43">
        <f t="shared" ref="C56:H56" si="16">INDEX(CV_ippu1,MATCH(C6,CV_Hdr,0))</f>
        <v>74.015000000000001</v>
      </c>
      <c r="D56" s="43">
        <f t="shared" si="16"/>
        <v>74.015000000000001</v>
      </c>
      <c r="E56" s="43">
        <f t="shared" si="16"/>
        <v>73.406999999999996</v>
      </c>
      <c r="F56" s="43">
        <f t="shared" si="16"/>
        <v>77.707999999999998</v>
      </c>
      <c r="G56" s="43">
        <f t="shared" si="16"/>
        <v>77.707999999999998</v>
      </c>
      <c r="H56" s="43">
        <f t="shared" si="16"/>
        <v>77.707999999999998</v>
      </c>
      <c r="I56" s="10" t="s">
        <v>561</v>
      </c>
      <c r="J56" s="2" t="s">
        <v>669</v>
      </c>
    </row>
    <row r="57" spans="1:10" x14ac:dyDescent="0.45">
      <c r="A57" s="13" t="s">
        <v>150</v>
      </c>
      <c r="B57" s="8" t="s">
        <v>670</v>
      </c>
      <c r="C57" s="43">
        <f t="shared" ref="C57:H57" si="17">INDEX(CV_enr0,MATCH(C6,CV_Hdr,0))</f>
        <v>340.66</v>
      </c>
      <c r="D57" s="43">
        <f t="shared" si="17"/>
        <v>340.66</v>
      </c>
      <c r="E57" s="43">
        <f t="shared" si="17"/>
        <v>340.66</v>
      </c>
      <c r="F57" s="43">
        <f t="shared" si="17"/>
        <v>340.66</v>
      </c>
      <c r="G57" s="43">
        <f t="shared" si="17"/>
        <v>340.66</v>
      </c>
      <c r="H57" s="43">
        <f t="shared" si="17"/>
        <v>340.66</v>
      </c>
      <c r="I57" s="10" t="s">
        <v>561</v>
      </c>
      <c r="J57" s="2" t="s">
        <v>671</v>
      </c>
    </row>
    <row r="58" spans="1:10" x14ac:dyDescent="0.45">
      <c r="A58" s="13" t="s">
        <v>153</v>
      </c>
      <c r="B58" s="8" t="s">
        <v>672</v>
      </c>
      <c r="C58" s="43">
        <f t="shared" ref="C58:H58" si="18">INDEX(CV_enr1,MATCH(C6,CV_Hdr,0))</f>
        <v>313.86500000000001</v>
      </c>
      <c r="D58" s="43">
        <f t="shared" si="18"/>
        <v>313.86500000000001</v>
      </c>
      <c r="E58" s="43">
        <f t="shared" si="18"/>
        <v>312.39600000000002</v>
      </c>
      <c r="F58" s="43">
        <f t="shared" si="18"/>
        <v>327.45299999999997</v>
      </c>
      <c r="G58" s="43">
        <f t="shared" si="18"/>
        <v>327.45299999999997</v>
      </c>
      <c r="H58" s="43">
        <f t="shared" si="18"/>
        <v>327.45299999999997</v>
      </c>
      <c r="I58" s="10" t="s">
        <v>561</v>
      </c>
      <c r="J58" s="2" t="s">
        <v>673</v>
      </c>
    </row>
    <row r="59" spans="1:10" x14ac:dyDescent="0.45">
      <c r="A59" s="13" t="s">
        <v>155</v>
      </c>
      <c r="B59" s="8" t="s">
        <v>674</v>
      </c>
      <c r="C59" s="43">
        <f t="shared" ref="C59:H59" si="19">INDEX(CV_ind0,MATCH(C6,CV_Hdr,0))</f>
        <v>88.972999999999999</v>
      </c>
      <c r="D59" s="43">
        <f t="shared" si="19"/>
        <v>88.972999999999999</v>
      </c>
      <c r="E59" s="43">
        <f t="shared" si="19"/>
        <v>88.972999999999999</v>
      </c>
      <c r="F59" s="43">
        <f t="shared" si="19"/>
        <v>88.972999999999999</v>
      </c>
      <c r="G59" s="43">
        <f t="shared" si="19"/>
        <v>88.972999999999999</v>
      </c>
      <c r="H59" s="43">
        <f t="shared" si="19"/>
        <v>88.972999999999999</v>
      </c>
      <c r="I59" s="10" t="s">
        <v>561</v>
      </c>
      <c r="J59" s="2" t="s">
        <v>675</v>
      </c>
    </row>
    <row r="60" spans="1:10" x14ac:dyDescent="0.45">
      <c r="A60" s="13" t="s">
        <v>157</v>
      </c>
      <c r="B60" s="8" t="s">
        <v>676</v>
      </c>
      <c r="C60" s="43">
        <f t="shared" ref="C60:H60" si="20">INDEX(CV_ind1,MATCH(C6,CV_Hdr,0))</f>
        <v>76.599999999999994</v>
      </c>
      <c r="D60" s="43">
        <f t="shared" si="20"/>
        <v>76.599999999999994</v>
      </c>
      <c r="E60" s="43">
        <f t="shared" si="20"/>
        <v>75.971000000000004</v>
      </c>
      <c r="F60" s="43">
        <f t="shared" si="20"/>
        <v>80.421999999999997</v>
      </c>
      <c r="G60" s="43">
        <f t="shared" si="20"/>
        <v>80.421999999999997</v>
      </c>
      <c r="H60" s="43">
        <f t="shared" si="20"/>
        <v>80.421999999999997</v>
      </c>
      <c r="I60" s="10" t="s">
        <v>561</v>
      </c>
      <c r="J60" s="2" t="s">
        <v>677</v>
      </c>
    </row>
    <row r="61" spans="1:10" x14ac:dyDescent="0.45">
      <c r="A61" s="13" t="s">
        <v>678</v>
      </c>
      <c r="B61" s="8" t="s">
        <v>679</v>
      </c>
      <c r="C61" s="43">
        <f t="shared" ref="C61:H61" si="21">INDEX(CV_dghg,MATCH(C6,CV_Hdr,0))</f>
        <v>-38.876999999999953</v>
      </c>
      <c r="D61" s="43">
        <f t="shared" si="21"/>
        <v>-38.876999999999953</v>
      </c>
      <c r="E61" s="43">
        <f t="shared" si="21"/>
        <v>-41.001999999999953</v>
      </c>
      <c r="F61" s="43">
        <f t="shared" si="21"/>
        <v>-21.541999999999916</v>
      </c>
      <c r="G61" s="43">
        <f t="shared" si="21"/>
        <v>-21.541999999999916</v>
      </c>
      <c r="H61" s="43">
        <f t="shared" si="21"/>
        <v>-21.541999999999916</v>
      </c>
      <c r="I61" s="10" t="s">
        <v>561</v>
      </c>
      <c r="J61" s="2" t="s">
        <v>680</v>
      </c>
    </row>
    <row r="62" spans="1:10" x14ac:dyDescent="0.45">
      <c r="A62" s="13" t="s">
        <v>681</v>
      </c>
      <c r="B62" s="8" t="s">
        <v>682</v>
      </c>
      <c r="C62" s="43">
        <f t="shared" ref="C62:H62" si="22">INDEX(CV_dippu,MATCH(C6,CV_Hdr,0))</f>
        <v>-11.954999999999998</v>
      </c>
      <c r="D62" s="43">
        <f t="shared" si="22"/>
        <v>-11.954999999999998</v>
      </c>
      <c r="E62" s="43">
        <f t="shared" si="22"/>
        <v>-12.563000000000002</v>
      </c>
      <c r="F62" s="43">
        <f t="shared" si="22"/>
        <v>-8.2620000000000005</v>
      </c>
      <c r="G62" s="43">
        <f t="shared" si="22"/>
        <v>-8.2620000000000005</v>
      </c>
      <c r="H62" s="43">
        <f t="shared" si="22"/>
        <v>-8.2620000000000005</v>
      </c>
      <c r="I62" s="10" t="s">
        <v>561</v>
      </c>
      <c r="J62" s="2" t="s">
        <v>683</v>
      </c>
    </row>
    <row r="63" spans="1:10" x14ac:dyDescent="0.45">
      <c r="A63" s="13" t="s">
        <v>684</v>
      </c>
      <c r="B63" s="8" t="s">
        <v>685</v>
      </c>
      <c r="C63" s="43">
        <f t="shared" ref="C63:H63" si="23">INDEX(CV_denr,MATCH(C6,CV_Hdr,0))</f>
        <v>-26.795000000000016</v>
      </c>
      <c r="D63" s="43">
        <f t="shared" si="23"/>
        <v>-26.795000000000016</v>
      </c>
      <c r="E63" s="43">
        <f t="shared" si="23"/>
        <v>-28.26400000000001</v>
      </c>
      <c r="F63" s="43">
        <f t="shared" si="23"/>
        <v>-13.20700000000005</v>
      </c>
      <c r="G63" s="43">
        <f t="shared" si="23"/>
        <v>-13.20700000000005</v>
      </c>
      <c r="H63" s="43">
        <f t="shared" si="23"/>
        <v>-13.20700000000005</v>
      </c>
      <c r="I63" s="10" t="s">
        <v>561</v>
      </c>
      <c r="J63" s="2" t="s">
        <v>686</v>
      </c>
    </row>
    <row r="64" spans="1:10" x14ac:dyDescent="0.45">
      <c r="A64" s="13" t="s">
        <v>687</v>
      </c>
      <c r="B64" s="8" t="s">
        <v>688</v>
      </c>
      <c r="C64" s="43">
        <f t="shared" ref="C64:H64" si="24">INDEX(CV_dind,MATCH(C6,CV_Hdr,0))</f>
        <v>-12.373000000000005</v>
      </c>
      <c r="D64" s="43">
        <f t="shared" si="24"/>
        <v>-12.373000000000005</v>
      </c>
      <c r="E64" s="43">
        <f t="shared" si="24"/>
        <v>-13.001999999999995</v>
      </c>
      <c r="F64" s="43">
        <f t="shared" si="24"/>
        <v>-8.5510000000000019</v>
      </c>
      <c r="G64" s="43">
        <f t="shared" si="24"/>
        <v>-8.5510000000000019</v>
      </c>
      <c r="H64" s="43">
        <f t="shared" si="24"/>
        <v>-8.5510000000000019</v>
      </c>
      <c r="I64" s="10" t="s">
        <v>561</v>
      </c>
      <c r="J64" s="2" t="s">
        <v>689</v>
      </c>
    </row>
    <row r="65" spans="1:10" x14ac:dyDescent="0.45">
      <c r="A65" s="13" t="s">
        <v>690</v>
      </c>
      <c r="B65" s="8" t="s">
        <v>691</v>
      </c>
      <c r="C65" s="43">
        <f t="shared" ref="C65:H65" si="25">INDEX(CV_kappa,MATCH(C6,CV_Hdr,0))</f>
        <v>1</v>
      </c>
      <c r="D65" s="43">
        <f t="shared" si="25"/>
        <v>1</v>
      </c>
      <c r="E65" s="43">
        <f t="shared" si="25"/>
        <v>1</v>
      </c>
      <c r="F65" s="43">
        <f t="shared" si="25"/>
        <v>0.5373723601542042</v>
      </c>
      <c r="G65" s="43">
        <f t="shared" si="25"/>
        <v>0.5373723601542042</v>
      </c>
      <c r="H65" s="43">
        <f t="shared" si="25"/>
        <v>0.5373723601542042</v>
      </c>
      <c r="I65" s="10" t="s">
        <v>81</v>
      </c>
      <c r="J65" s="2" t="s">
        <v>692</v>
      </c>
    </row>
    <row r="66" spans="1:10" x14ac:dyDescent="0.45">
      <c r="A66" s="13" t="s">
        <v>693</v>
      </c>
      <c r="B66" s="8" t="s">
        <v>694</v>
      </c>
      <c r="C66" s="43">
        <f t="shared" ref="C66:H66" si="26">INDEX(CV_revctax,MATCH(C6,CV_Hdr,0))</f>
        <v>6.23</v>
      </c>
      <c r="D66" s="43">
        <f t="shared" si="26"/>
        <v>6.23</v>
      </c>
      <c r="E66" s="43">
        <f t="shared" si="26"/>
        <v>6.19</v>
      </c>
      <c r="F66" s="43">
        <f t="shared" si="26"/>
        <v>0.93</v>
      </c>
      <c r="G66" s="43">
        <f t="shared" si="26"/>
        <v>0.93</v>
      </c>
      <c r="H66" s="43">
        <f t="shared" si="26"/>
        <v>0.93</v>
      </c>
      <c r="I66" s="10" t="s">
        <v>165</v>
      </c>
      <c r="J66" s="2" t="s">
        <v>695</v>
      </c>
    </row>
    <row r="67" spans="1:10" x14ac:dyDescent="0.45">
      <c r="A67" s="13" t="s">
        <v>696</v>
      </c>
      <c r="B67" s="8" t="s">
        <v>182</v>
      </c>
      <c r="C67" s="43">
        <f t="shared" ref="C67:H67" si="27">INDEX(CV_deaths,MATCH(C6,CV_Hdr,0))</f>
        <v>1564</v>
      </c>
      <c r="D67" s="43">
        <f t="shared" si="27"/>
        <v>1564</v>
      </c>
      <c r="E67" s="43">
        <f t="shared" si="27"/>
        <v>1631</v>
      </c>
      <c r="F67" s="43">
        <f t="shared" si="27"/>
        <v>546</v>
      </c>
      <c r="G67" s="43">
        <f t="shared" si="27"/>
        <v>546</v>
      </c>
      <c r="H67" s="43">
        <f t="shared" si="27"/>
        <v>546</v>
      </c>
      <c r="I67" s="10" t="s">
        <v>182</v>
      </c>
      <c r="J67" s="2" t="s">
        <v>697</v>
      </c>
    </row>
    <row r="68" spans="1:10" x14ac:dyDescent="0.45">
      <c r="A68" s="13" t="s">
        <v>698</v>
      </c>
      <c r="B68" s="8" t="s">
        <v>699</v>
      </c>
      <c r="C68" s="43">
        <f t="shared" ref="C68:H68" si="28">INDEX(CV_mort,MATCH(C6,CV_Hdr,0))</f>
        <v>82651</v>
      </c>
      <c r="D68" s="43">
        <f t="shared" si="28"/>
        <v>82651</v>
      </c>
      <c r="E68" s="43">
        <f t="shared" si="28"/>
        <v>82651</v>
      </c>
      <c r="F68" s="43">
        <f t="shared" si="28"/>
        <v>82651</v>
      </c>
      <c r="G68" s="43">
        <f t="shared" si="28"/>
        <v>82651</v>
      </c>
      <c r="H68" s="43">
        <f t="shared" si="28"/>
        <v>82651</v>
      </c>
      <c r="I68" s="10" t="s">
        <v>182</v>
      </c>
      <c r="J68" s="2" t="s">
        <v>700</v>
      </c>
    </row>
    <row r="69" spans="1:10" x14ac:dyDescent="0.45">
      <c r="A69" s="13" t="s">
        <v>701</v>
      </c>
      <c r="B69" s="8" t="s">
        <v>702</v>
      </c>
      <c r="C69" s="43">
        <f t="shared" ref="C69:H69" si="29">INDEX(CV_drev,MATCH(C6,CV_Hdr,0))</f>
        <v>10.43</v>
      </c>
      <c r="D69" s="43">
        <f t="shared" si="29"/>
        <v>10.43</v>
      </c>
      <c r="E69" s="43">
        <f t="shared" si="29"/>
        <v>10.619999999999997</v>
      </c>
      <c r="F69" s="43">
        <f t="shared" si="29"/>
        <v>2.6899999999999977</v>
      </c>
      <c r="G69" s="43">
        <f t="shared" si="29"/>
        <v>2.6899999999999977</v>
      </c>
      <c r="H69" s="43">
        <f t="shared" si="29"/>
        <v>2.6899999999999977</v>
      </c>
      <c r="I69" s="10" t="s">
        <v>165</v>
      </c>
      <c r="J69" s="2" t="s">
        <v>703</v>
      </c>
    </row>
    <row r="70" spans="1:10" x14ac:dyDescent="0.45">
      <c r="A70" s="93" t="s">
        <v>704</v>
      </c>
      <c r="B70" s="91"/>
      <c r="C70" s="91"/>
      <c r="D70" s="91"/>
      <c r="E70" s="91"/>
      <c r="F70" s="91"/>
      <c r="G70" s="91"/>
      <c r="H70" s="91"/>
      <c r="I70" s="91"/>
      <c r="J70" s="91"/>
    </row>
    <row r="71" spans="1:10" x14ac:dyDescent="0.45">
      <c r="A71" s="13" t="s">
        <v>705</v>
      </c>
      <c r="B71" s="8" t="s">
        <v>706</v>
      </c>
      <c r="C71" s="40">
        <f t="shared" ref="C71:H71" si="30">IF(AND(KappaMode="SCALE",C65&lt;0.999999),1,0)</f>
        <v>0</v>
      </c>
      <c r="D71" s="40">
        <f t="shared" si="30"/>
        <v>0</v>
      </c>
      <c r="E71" s="40">
        <f t="shared" si="30"/>
        <v>0</v>
      </c>
      <c r="F71" s="40">
        <f t="shared" si="30"/>
        <v>1</v>
      </c>
      <c r="G71" s="40">
        <f t="shared" si="30"/>
        <v>1</v>
      </c>
      <c r="H71" s="40">
        <f t="shared" si="30"/>
        <v>1</v>
      </c>
      <c r="I71" s="10" t="s">
        <v>81</v>
      </c>
      <c r="J71" s="2" t="s">
        <v>707</v>
      </c>
    </row>
    <row r="72" spans="1:10" x14ac:dyDescent="0.45">
      <c r="A72" s="13" t="s">
        <v>708</v>
      </c>
      <c r="B72" s="8" t="s">
        <v>709</v>
      </c>
      <c r="C72" s="44">
        <f t="shared" ref="C72:H72" si="31">IF(C71=1,1/C65,1)</f>
        <v>1</v>
      </c>
      <c r="D72" s="44">
        <f t="shared" si="31"/>
        <v>1</v>
      </c>
      <c r="E72" s="44">
        <f t="shared" si="31"/>
        <v>1</v>
      </c>
      <c r="F72" s="44">
        <f t="shared" si="31"/>
        <v>1.8609070249036261</v>
      </c>
      <c r="G72" s="44">
        <f t="shared" si="31"/>
        <v>1.8609070249036261</v>
      </c>
      <c r="H72" s="44">
        <f t="shared" si="31"/>
        <v>1.8609070249036261</v>
      </c>
      <c r="I72" s="10" t="s">
        <v>81</v>
      </c>
      <c r="J72" s="2" t="s">
        <v>710</v>
      </c>
    </row>
    <row r="73" spans="1:10" x14ac:dyDescent="0.45">
      <c r="A73" s="13" t="s">
        <v>711</v>
      </c>
      <c r="B73" s="8" t="s">
        <v>712</v>
      </c>
      <c r="C73" s="43">
        <f t="shared" ref="C73:H73" si="32">C64*C72</f>
        <v>-12.373000000000005</v>
      </c>
      <c r="D73" s="43">
        <f t="shared" si="32"/>
        <v>-12.373000000000005</v>
      </c>
      <c r="E73" s="43">
        <f t="shared" si="32"/>
        <v>-13.001999999999995</v>
      </c>
      <c r="F73" s="43">
        <f t="shared" si="32"/>
        <v>-15.912615969950911</v>
      </c>
      <c r="G73" s="43">
        <f t="shared" si="32"/>
        <v>-15.912615969950911</v>
      </c>
      <c r="H73" s="43">
        <f t="shared" si="32"/>
        <v>-15.912615969950911</v>
      </c>
      <c r="I73" s="10" t="s">
        <v>561</v>
      </c>
      <c r="J73" s="2" t="s">
        <v>713</v>
      </c>
    </row>
    <row r="74" spans="1:10" x14ac:dyDescent="0.45">
      <c r="A74" s="13" t="s">
        <v>714</v>
      </c>
      <c r="B74" s="8" t="s">
        <v>715</v>
      </c>
      <c r="C74" s="43">
        <f t="shared" ref="C74:H74" si="33">C63+(C72-1)*C64</f>
        <v>-26.795000000000016</v>
      </c>
      <c r="D74" s="43">
        <f t="shared" si="33"/>
        <v>-26.795000000000016</v>
      </c>
      <c r="E74" s="43">
        <f t="shared" si="33"/>
        <v>-28.26400000000001</v>
      </c>
      <c r="F74" s="43">
        <f t="shared" si="33"/>
        <v>-20.568615969950958</v>
      </c>
      <c r="G74" s="43">
        <f t="shared" si="33"/>
        <v>-20.568615969950958</v>
      </c>
      <c r="H74" s="43">
        <f t="shared" si="33"/>
        <v>-20.568615969950958</v>
      </c>
      <c r="I74" s="10" t="s">
        <v>561</v>
      </c>
      <c r="J74" s="2" t="s">
        <v>716</v>
      </c>
    </row>
    <row r="75" spans="1:10" x14ac:dyDescent="0.45">
      <c r="A75" s="13" t="s">
        <v>717</v>
      </c>
      <c r="B75" s="8" t="s">
        <v>718</v>
      </c>
      <c r="C75" s="43">
        <f t="shared" ref="C75:H75" si="34">C62*C72</f>
        <v>-11.954999999999998</v>
      </c>
      <c r="D75" s="43">
        <f t="shared" si="34"/>
        <v>-11.954999999999998</v>
      </c>
      <c r="E75" s="43">
        <f t="shared" si="34"/>
        <v>-12.563000000000002</v>
      </c>
      <c r="F75" s="43">
        <f t="shared" si="34"/>
        <v>-15.374813839753759</v>
      </c>
      <c r="G75" s="43">
        <f t="shared" si="34"/>
        <v>-15.374813839753759</v>
      </c>
      <c r="H75" s="43">
        <f t="shared" si="34"/>
        <v>-15.374813839753759</v>
      </c>
      <c r="I75" s="10" t="s">
        <v>561</v>
      </c>
      <c r="J75" s="2" t="s">
        <v>719</v>
      </c>
    </row>
    <row r="76" spans="1:10" x14ac:dyDescent="0.45">
      <c r="A76" s="13" t="s">
        <v>720</v>
      </c>
      <c r="B76" s="8" t="s">
        <v>721</v>
      </c>
      <c r="C76" s="43">
        <f t="shared" ref="C76:H76" si="35">C61+(C72-1)*(C64+C62)</f>
        <v>-38.876999999999953</v>
      </c>
      <c r="D76" s="43">
        <f t="shared" si="35"/>
        <v>-38.876999999999953</v>
      </c>
      <c r="E76" s="43">
        <f t="shared" si="35"/>
        <v>-41.001999999999953</v>
      </c>
      <c r="F76" s="43">
        <f t="shared" si="35"/>
        <v>-36.016429809704583</v>
      </c>
      <c r="G76" s="43">
        <f t="shared" si="35"/>
        <v>-36.016429809704583</v>
      </c>
      <c r="H76" s="43">
        <f t="shared" si="35"/>
        <v>-36.016429809704583</v>
      </c>
      <c r="I76" s="10" t="s">
        <v>561</v>
      </c>
      <c r="J76" s="2" t="s">
        <v>722</v>
      </c>
    </row>
    <row r="77" spans="1:10" x14ac:dyDescent="0.45">
      <c r="A77" s="13" t="s">
        <v>723</v>
      </c>
      <c r="B77" s="8" t="s">
        <v>724</v>
      </c>
      <c r="C77" s="43">
        <f t="shared" ref="C77:H77" si="36">C59+C73</f>
        <v>76.599999999999994</v>
      </c>
      <c r="D77" s="43">
        <f t="shared" si="36"/>
        <v>76.599999999999994</v>
      </c>
      <c r="E77" s="43">
        <f t="shared" si="36"/>
        <v>75.971000000000004</v>
      </c>
      <c r="F77" s="43">
        <f t="shared" si="36"/>
        <v>73.060384030049093</v>
      </c>
      <c r="G77" s="43">
        <f t="shared" si="36"/>
        <v>73.060384030049093</v>
      </c>
      <c r="H77" s="43">
        <f t="shared" si="36"/>
        <v>73.060384030049093</v>
      </c>
      <c r="I77" s="10" t="s">
        <v>561</v>
      </c>
      <c r="J77" s="2" t="s">
        <v>725</v>
      </c>
    </row>
    <row r="78" spans="1:10" x14ac:dyDescent="0.45">
      <c r="A78" s="13" t="s">
        <v>726</v>
      </c>
      <c r="B78" s="8" t="s">
        <v>727</v>
      </c>
      <c r="C78" s="43">
        <f t="shared" ref="C78:H78" si="37">IF(C7="ALL",C57,IF(C71=1,C59,C65*C59))</f>
        <v>340.66</v>
      </c>
      <c r="D78" s="43">
        <f t="shared" si="37"/>
        <v>340.66</v>
      </c>
      <c r="E78" s="43">
        <f t="shared" si="37"/>
        <v>340.66</v>
      </c>
      <c r="F78" s="43">
        <f t="shared" si="37"/>
        <v>88.972999999999999</v>
      </c>
      <c r="G78" s="43">
        <f t="shared" si="37"/>
        <v>88.972999999999999</v>
      </c>
      <c r="H78" s="43">
        <f t="shared" si="37"/>
        <v>88.972999999999999</v>
      </c>
      <c r="I78" s="10" t="s">
        <v>561</v>
      </c>
      <c r="J78" s="2" t="s">
        <v>728</v>
      </c>
    </row>
    <row r="79" spans="1:10" x14ac:dyDescent="0.45">
      <c r="A79" s="13" t="s">
        <v>729</v>
      </c>
      <c r="B79" s="8" t="s">
        <v>730</v>
      </c>
      <c r="C79" s="43">
        <f t="shared" ref="C79:H79" si="38">C66*C72</f>
        <v>6.23</v>
      </c>
      <c r="D79" s="43">
        <f t="shared" si="38"/>
        <v>6.23</v>
      </c>
      <c r="E79" s="43">
        <f t="shared" si="38"/>
        <v>6.19</v>
      </c>
      <c r="F79" s="43">
        <f t="shared" si="38"/>
        <v>1.7306435331603724</v>
      </c>
      <c r="G79" s="43">
        <f t="shared" si="38"/>
        <v>1.7306435331603724</v>
      </c>
      <c r="H79" s="43">
        <f t="shared" si="38"/>
        <v>1.7306435331603724</v>
      </c>
      <c r="I79" s="10" t="s">
        <v>165</v>
      </c>
      <c r="J79" s="2" t="s">
        <v>731</v>
      </c>
    </row>
    <row r="80" spans="1:10" x14ac:dyDescent="0.45">
      <c r="A80" s="13" t="s">
        <v>732</v>
      </c>
      <c r="B80" s="8" t="s">
        <v>733</v>
      </c>
      <c r="C80" s="43">
        <f t="shared" ref="C80:H80" si="39">IF(IppuOther="CPAT",(1-C19/C55)*C62,0)</f>
        <v>0</v>
      </c>
      <c r="D80" s="43">
        <f t="shared" si="39"/>
        <v>0</v>
      </c>
      <c r="E80" s="43">
        <f t="shared" si="39"/>
        <v>0</v>
      </c>
      <c r="F80" s="43">
        <f t="shared" si="39"/>
        <v>0</v>
      </c>
      <c r="G80" s="43">
        <f t="shared" si="39"/>
        <v>0</v>
      </c>
      <c r="H80" s="43">
        <f t="shared" si="39"/>
        <v>0</v>
      </c>
      <c r="I80" s="10" t="s">
        <v>561</v>
      </c>
      <c r="J80" s="2" t="s">
        <v>734</v>
      </c>
    </row>
    <row r="81" spans="1:10" x14ac:dyDescent="0.45">
      <c r="A81" s="13" t="s">
        <v>735</v>
      </c>
      <c r="B81" s="8" t="s">
        <v>736</v>
      </c>
      <c r="C81" s="44">
        <f t="shared" ref="C81:H81" si="40">IF(ThetaOther=1,1,MIN(1,C18/C78))</f>
        <v>1</v>
      </c>
      <c r="D81" s="44">
        <f t="shared" si="40"/>
        <v>1</v>
      </c>
      <c r="E81" s="44">
        <f t="shared" si="40"/>
        <v>1</v>
      </c>
      <c r="F81" s="44">
        <f t="shared" si="40"/>
        <v>1</v>
      </c>
      <c r="G81" s="44">
        <f t="shared" si="40"/>
        <v>1</v>
      </c>
      <c r="H81" s="44">
        <f t="shared" si="40"/>
        <v>1</v>
      </c>
      <c r="I81" s="10" t="s">
        <v>81</v>
      </c>
      <c r="J81" s="2" t="s">
        <v>737</v>
      </c>
    </row>
    <row r="82" spans="1:10" ht="25.5" x14ac:dyDescent="0.45">
      <c r="A82" s="13" t="s">
        <v>738</v>
      </c>
      <c r="B82" s="8" t="s">
        <v>739</v>
      </c>
      <c r="C82" s="43">
        <f t="shared" ref="C82:H82" si="41">IF(C9&gt;0,-(1-SInt)*C81*C73,0)</f>
        <v>0</v>
      </c>
      <c r="D82" s="43">
        <f t="shared" si="41"/>
        <v>0</v>
      </c>
      <c r="E82" s="43">
        <f t="shared" si="41"/>
        <v>0</v>
      </c>
      <c r="F82" s="43">
        <f t="shared" si="41"/>
        <v>0</v>
      </c>
      <c r="G82" s="43">
        <f t="shared" si="41"/>
        <v>10.608410646633942</v>
      </c>
      <c r="H82" s="43">
        <f t="shared" si="41"/>
        <v>0</v>
      </c>
      <c r="I82" s="10" t="s">
        <v>561</v>
      </c>
      <c r="J82" s="2" t="s">
        <v>740</v>
      </c>
    </row>
    <row r="83" spans="1:10" ht="25.5" x14ac:dyDescent="0.45">
      <c r="A83" s="13" t="s">
        <v>741</v>
      </c>
      <c r="B83" s="8" t="s">
        <v>742</v>
      </c>
      <c r="C83" s="43">
        <f t="shared" ref="C83:H83" si="42">IF(C10&gt;0,IF(C71=1,C77,C65*C60)*(EXP(Bf*C14)-1),0)</f>
        <v>0</v>
      </c>
      <c r="D83" s="43">
        <f t="shared" si="42"/>
        <v>0</v>
      </c>
      <c r="E83" s="43">
        <f t="shared" si="42"/>
        <v>0</v>
      </c>
      <c r="F83" s="43">
        <f t="shared" si="42"/>
        <v>0</v>
      </c>
      <c r="G83" s="43">
        <f t="shared" si="42"/>
        <v>0</v>
      </c>
      <c r="H83" s="43">
        <f t="shared" si="42"/>
        <v>-3.5570780849838517</v>
      </c>
      <c r="I83" s="10" t="s">
        <v>561</v>
      </c>
      <c r="J83" s="2" t="s">
        <v>743</v>
      </c>
    </row>
    <row r="84" spans="1:10" ht="25.5" x14ac:dyDescent="0.45">
      <c r="A84" s="5" t="s">
        <v>744</v>
      </c>
      <c r="B84" s="8" t="s">
        <v>745</v>
      </c>
      <c r="C84" s="43">
        <f t="shared" ref="C84:H84" si="43">C76-C75+C80+C25+C30+C82+C83</f>
        <v>-29.660331136192728</v>
      </c>
      <c r="D84" s="43">
        <f t="shared" si="43"/>
        <v>-27.106460402078543</v>
      </c>
      <c r="E84" s="43">
        <f t="shared" si="43"/>
        <v>-28.623460402078539</v>
      </c>
      <c r="F84" s="43">
        <f t="shared" si="43"/>
        <v>-23.379947106143597</v>
      </c>
      <c r="G84" s="43">
        <f t="shared" si="43"/>
        <v>-12.308925441888352</v>
      </c>
      <c r="H84" s="43">
        <f t="shared" si="43"/>
        <v>-29.027679276090119</v>
      </c>
      <c r="I84" s="10" t="s">
        <v>561</v>
      </c>
      <c r="J84" s="2" t="s">
        <v>746</v>
      </c>
    </row>
    <row r="85" spans="1:10" x14ac:dyDescent="0.45">
      <c r="A85" s="13" t="s">
        <v>747</v>
      </c>
      <c r="B85" s="8" t="s">
        <v>748</v>
      </c>
      <c r="C85" s="44">
        <f t="shared" ref="C85:H85" si="44">C84/C53</f>
        <v>-4.9920107069848202E-2</v>
      </c>
      <c r="D85" s="44">
        <f t="shared" si="44"/>
        <v>-4.5621790240405795E-2</v>
      </c>
      <c r="E85" s="44">
        <f t="shared" si="44"/>
        <v>-4.8174991756505935E-2</v>
      </c>
      <c r="F85" s="44">
        <f t="shared" si="44"/>
        <v>-3.9349846010380433E-2</v>
      </c>
      <c r="G85" s="44">
        <f t="shared" si="44"/>
        <v>-2.071665596558539E-2</v>
      </c>
      <c r="H85" s="44">
        <f t="shared" si="44"/>
        <v>-4.8855316240331029E-2</v>
      </c>
      <c r="I85" s="10" t="s">
        <v>81</v>
      </c>
      <c r="J85" s="2" t="s">
        <v>749</v>
      </c>
    </row>
    <row r="86" spans="1:10" x14ac:dyDescent="0.45">
      <c r="A86" s="13" t="s">
        <v>750</v>
      </c>
      <c r="B86" s="8" t="s">
        <v>751</v>
      </c>
      <c r="C86" s="43">
        <f t="shared" ref="C86:H86" si="45">C78</f>
        <v>340.66</v>
      </c>
      <c r="D86" s="43">
        <f t="shared" si="45"/>
        <v>340.66</v>
      </c>
      <c r="E86" s="43">
        <f t="shared" si="45"/>
        <v>340.66</v>
      </c>
      <c r="F86" s="43">
        <f t="shared" si="45"/>
        <v>88.972999999999999</v>
      </c>
      <c r="G86" s="43">
        <f t="shared" si="45"/>
        <v>88.972999999999999</v>
      </c>
      <c r="H86" s="43">
        <f t="shared" si="45"/>
        <v>88.972999999999999</v>
      </c>
      <c r="I86" s="10" t="s">
        <v>561</v>
      </c>
      <c r="J86" s="2" t="s">
        <v>752</v>
      </c>
    </row>
    <row r="87" spans="1:10" x14ac:dyDescent="0.45">
      <c r="A87" s="5" t="s">
        <v>753</v>
      </c>
      <c r="B87" s="8" t="s">
        <v>754</v>
      </c>
      <c r="C87" s="44">
        <f t="shared" ref="C87:H87" si="46">(C86+C8*C19)/C53</f>
        <v>0.63195774412258832</v>
      </c>
      <c r="D87" s="44">
        <f t="shared" si="46"/>
        <v>0.57335110644342568</v>
      </c>
      <c r="E87" s="44">
        <f t="shared" si="46"/>
        <v>0.57335110644342568</v>
      </c>
      <c r="F87" s="44">
        <f t="shared" si="46"/>
        <v>0.20835350550512083</v>
      </c>
      <c r="G87" s="44">
        <f t="shared" si="46"/>
        <v>0.20835350550512083</v>
      </c>
      <c r="H87" s="44">
        <f t="shared" si="46"/>
        <v>0.20835350550512083</v>
      </c>
      <c r="I87" s="10" t="s">
        <v>81</v>
      </c>
      <c r="J87" s="2" t="s">
        <v>755</v>
      </c>
    </row>
    <row r="88" spans="1:10" x14ac:dyDescent="0.45">
      <c r="A88" s="13" t="s">
        <v>756</v>
      </c>
      <c r="B88" s="8" t="s">
        <v>757</v>
      </c>
      <c r="C88" s="44">
        <f t="shared" ref="C88:H88" si="47">(IF(C7="ALL",C57,C59)+C8*C19)/C53</f>
        <v>0.63195774412258832</v>
      </c>
      <c r="D88" s="44">
        <f t="shared" si="47"/>
        <v>0.57335110644342568</v>
      </c>
      <c r="E88" s="44">
        <f t="shared" si="47"/>
        <v>0.57335110644342568</v>
      </c>
      <c r="F88" s="44">
        <f t="shared" si="47"/>
        <v>0.20835350550512083</v>
      </c>
      <c r="G88" s="44">
        <f t="shared" si="47"/>
        <v>0.20835350550512083</v>
      </c>
      <c r="H88" s="44">
        <f t="shared" si="47"/>
        <v>0.20835350550512083</v>
      </c>
      <c r="I88" s="10" t="s">
        <v>81</v>
      </c>
      <c r="J88" s="2" t="s">
        <v>758</v>
      </c>
    </row>
    <row r="89" spans="1:10" x14ac:dyDescent="0.45">
      <c r="A89" s="5" t="s">
        <v>759</v>
      </c>
      <c r="B89" s="8" t="s">
        <v>760</v>
      </c>
      <c r="C89" s="44">
        <f t="shared" ref="C89:H89" si="48">C41</f>
        <v>1</v>
      </c>
      <c r="D89" s="44">
        <f t="shared" si="48"/>
        <v>0.44113056794060146</v>
      </c>
      <c r="E89" s="44">
        <f t="shared" si="48"/>
        <v>0.44113056794060146</v>
      </c>
      <c r="F89" s="44">
        <f t="shared" si="48"/>
        <v>1</v>
      </c>
      <c r="G89" s="44">
        <f t="shared" si="48"/>
        <v>1.0000000000000002</v>
      </c>
      <c r="H89" s="44">
        <f t="shared" si="48"/>
        <v>1</v>
      </c>
      <c r="I89" s="10" t="s">
        <v>81</v>
      </c>
      <c r="J89" s="2" t="s">
        <v>632</v>
      </c>
    </row>
    <row r="90" spans="1:10" x14ac:dyDescent="0.45">
      <c r="A90" s="5" t="s">
        <v>761</v>
      </c>
      <c r="B90" s="8" t="s">
        <v>762</v>
      </c>
      <c r="C90" s="44">
        <f t="shared" ref="C90:H90" si="49">C43</f>
        <v>-5.7975788371224191E-2</v>
      </c>
      <c r="D90" s="44">
        <f t="shared" si="49"/>
        <v>-2.1477246481384715E-2</v>
      </c>
      <c r="E90" s="44">
        <f t="shared" si="49"/>
        <v>-2.1477246481384715E-2</v>
      </c>
      <c r="F90" s="44">
        <f t="shared" si="49"/>
        <v>-5.7975788371224191E-2</v>
      </c>
      <c r="G90" s="44">
        <f t="shared" si="49"/>
        <v>-5.7984149124688633E-2</v>
      </c>
      <c r="H90" s="44">
        <f t="shared" si="49"/>
        <v>-0.11243623074408593</v>
      </c>
      <c r="I90" s="10" t="s">
        <v>81</v>
      </c>
      <c r="J90" s="2" t="s">
        <v>638</v>
      </c>
    </row>
    <row r="91" spans="1:10" x14ac:dyDescent="0.45">
      <c r="A91" s="5" t="s">
        <v>763</v>
      </c>
      <c r="B91" s="8" t="s">
        <v>764</v>
      </c>
      <c r="C91" s="44">
        <f t="shared" ref="C91:H93" si="50">C49</f>
        <v>-0.44423634846247628</v>
      </c>
      <c r="D91" s="44">
        <f t="shared" si="50"/>
        <v>-0.23123966815465757</v>
      </c>
      <c r="E91" s="44">
        <f t="shared" si="50"/>
        <v>-0.23123966815465757</v>
      </c>
      <c r="F91" s="44">
        <f t="shared" si="50"/>
        <v>-0.44423634846247628</v>
      </c>
      <c r="G91" s="44">
        <f t="shared" si="50"/>
        <v>-5.4226768436143935E-2</v>
      </c>
      <c r="H91" s="44">
        <f t="shared" si="50"/>
        <v>-0.47412260837126274</v>
      </c>
      <c r="I91" s="10" t="s">
        <v>81</v>
      </c>
      <c r="J91" s="2" t="s">
        <v>655</v>
      </c>
    </row>
    <row r="92" spans="1:10" x14ac:dyDescent="0.45">
      <c r="A92" s="13" t="s">
        <v>765</v>
      </c>
      <c r="B92" s="8" t="s">
        <v>766</v>
      </c>
      <c r="C92" s="44">
        <f t="shared" si="50"/>
        <v>-0.44423634846247628</v>
      </c>
      <c r="D92" s="44">
        <f t="shared" si="50"/>
        <v>-0.23123966815465757</v>
      </c>
      <c r="E92" s="44">
        <f t="shared" si="50"/>
        <v>-0.23123966815465757</v>
      </c>
      <c r="F92" s="44">
        <f t="shared" si="50"/>
        <v>-0.44423634846247628</v>
      </c>
      <c r="G92" s="44">
        <f t="shared" si="50"/>
        <v>-5.4226768436143935E-2</v>
      </c>
      <c r="H92" s="44">
        <f t="shared" si="50"/>
        <v>-0.47412260837126274</v>
      </c>
      <c r="I92" s="10" t="s">
        <v>81</v>
      </c>
      <c r="J92" s="2" t="s">
        <v>658</v>
      </c>
    </row>
    <row r="93" spans="1:10" x14ac:dyDescent="0.45">
      <c r="A93" s="13" t="s">
        <v>767</v>
      </c>
      <c r="B93" s="8" t="s">
        <v>768</v>
      </c>
      <c r="C93" s="44">
        <f t="shared" si="50"/>
        <v>-0.24338141474891506</v>
      </c>
      <c r="D93" s="44">
        <f t="shared" si="50"/>
        <v>-0.1252992851542124</v>
      </c>
      <c r="E93" s="44">
        <f t="shared" si="50"/>
        <v>-0.1252992851542124</v>
      </c>
      <c r="F93" s="44">
        <f t="shared" si="50"/>
        <v>-0.24338141474891506</v>
      </c>
      <c r="G93" s="44">
        <f t="shared" si="50"/>
        <v>-5.4226768436143935E-2</v>
      </c>
      <c r="H93" s="44">
        <f t="shared" si="50"/>
        <v>-0.28406867385280676</v>
      </c>
      <c r="I93" s="10" t="s">
        <v>81</v>
      </c>
      <c r="J93" s="2" t="s">
        <v>635</v>
      </c>
    </row>
    <row r="94" spans="1:10" ht="25.5" x14ac:dyDescent="0.45">
      <c r="A94" s="13" t="s">
        <v>769</v>
      </c>
      <c r="B94" s="8" t="s">
        <v>770</v>
      </c>
      <c r="C94" s="43">
        <f t="shared" ref="C94:H94" si="51">C79+C32/1000</f>
        <v>6.8716630856141556</v>
      </c>
      <c r="D94" s="43">
        <f t="shared" si="51"/>
        <v>6.23</v>
      </c>
      <c r="E94" s="43">
        <f t="shared" si="51"/>
        <v>6.19</v>
      </c>
      <c r="F94" s="43">
        <f t="shared" si="51"/>
        <v>2.3723066187745281</v>
      </c>
      <c r="G94" s="43">
        <f t="shared" si="51"/>
        <v>2.3815588391269542</v>
      </c>
      <c r="H94" s="43">
        <f t="shared" si="51"/>
        <v>2.3304935370752746</v>
      </c>
      <c r="I94" s="10" t="s">
        <v>165</v>
      </c>
      <c r="J94" s="2" t="s">
        <v>771</v>
      </c>
    </row>
    <row r="95" spans="1:10" x14ac:dyDescent="0.45">
      <c r="A95" s="13" t="s">
        <v>772</v>
      </c>
      <c r="B95" s="8" t="s">
        <v>773</v>
      </c>
      <c r="C95" s="43">
        <f t="shared" ref="C95:H95" si="52">IF(AND(C9&gt;0,ThetaOther=1),C11*(IF(C71=1,C77,C65*C60)-C26)/1000,0)</f>
        <v>0</v>
      </c>
      <c r="D95" s="43">
        <f t="shared" si="52"/>
        <v>0</v>
      </c>
      <c r="E95" s="43">
        <f t="shared" si="52"/>
        <v>0</v>
      </c>
      <c r="F95" s="43">
        <f t="shared" si="52"/>
        <v>0</v>
      </c>
      <c r="G95" s="43">
        <f t="shared" si="52"/>
        <v>0.93604238684742147</v>
      </c>
      <c r="H95" s="43">
        <f t="shared" si="52"/>
        <v>0</v>
      </c>
      <c r="I95" s="10" t="s">
        <v>165</v>
      </c>
      <c r="J95" s="2" t="s">
        <v>774</v>
      </c>
    </row>
    <row r="96" spans="1:10" x14ac:dyDescent="0.45">
      <c r="A96" s="13" t="s">
        <v>775</v>
      </c>
      <c r="B96" s="8" t="s">
        <v>776</v>
      </c>
      <c r="C96" s="43">
        <f t="shared" ref="C96:H96" si="53">C34/1000+C95</f>
        <v>0</v>
      </c>
      <c r="D96" s="43">
        <f t="shared" si="53"/>
        <v>0</v>
      </c>
      <c r="E96" s="43">
        <f t="shared" si="53"/>
        <v>0</v>
      </c>
      <c r="F96" s="43">
        <f t="shared" si="53"/>
        <v>0</v>
      </c>
      <c r="G96" s="43">
        <f t="shared" si="53"/>
        <v>2.1845145846637744</v>
      </c>
      <c r="H96" s="43">
        <f t="shared" si="53"/>
        <v>0</v>
      </c>
      <c r="I96" s="10" t="s">
        <v>165</v>
      </c>
      <c r="J96" s="2" t="s">
        <v>777</v>
      </c>
    </row>
    <row r="97" spans="1:10" x14ac:dyDescent="0.45">
      <c r="A97" s="5" t="s">
        <v>778</v>
      </c>
      <c r="B97" s="8" t="s">
        <v>779</v>
      </c>
      <c r="C97" s="43">
        <f t="shared" ref="C97:H97" si="54">(1-C10)*(C94-C96)</f>
        <v>6.8716630856141556</v>
      </c>
      <c r="D97" s="43">
        <f t="shared" si="54"/>
        <v>6.23</v>
      </c>
      <c r="E97" s="43">
        <f t="shared" si="54"/>
        <v>6.19</v>
      </c>
      <c r="F97" s="43">
        <f t="shared" si="54"/>
        <v>2.3723066187745281</v>
      </c>
      <c r="G97" s="43">
        <f t="shared" si="54"/>
        <v>0.19704425446317986</v>
      </c>
      <c r="H97" s="43">
        <f t="shared" si="54"/>
        <v>0</v>
      </c>
      <c r="I97" s="10" t="s">
        <v>165</v>
      </c>
      <c r="J97" s="2" t="s">
        <v>780</v>
      </c>
    </row>
    <row r="98" spans="1:10" x14ac:dyDescent="0.45">
      <c r="A98" s="13" t="s">
        <v>781</v>
      </c>
      <c r="B98" s="8" t="s">
        <v>782</v>
      </c>
      <c r="C98" s="43">
        <f t="shared" ref="C98:H98" si="55">C10*(C94-C34/1000)</f>
        <v>0</v>
      </c>
      <c r="D98" s="43">
        <f t="shared" si="55"/>
        <v>0</v>
      </c>
      <c r="E98" s="43">
        <f t="shared" si="55"/>
        <v>0</v>
      </c>
      <c r="F98" s="43">
        <f t="shared" si="55"/>
        <v>0</v>
      </c>
      <c r="G98" s="43">
        <f t="shared" si="55"/>
        <v>0</v>
      </c>
      <c r="H98" s="43">
        <f t="shared" si="55"/>
        <v>2.3304935370752746</v>
      </c>
      <c r="I98" s="10" t="s">
        <v>165</v>
      </c>
      <c r="J98" s="2" t="s">
        <v>783</v>
      </c>
    </row>
    <row r="99" spans="1:10" x14ac:dyDescent="0.45">
      <c r="A99" s="13" t="s">
        <v>784</v>
      </c>
      <c r="B99" s="8" t="s">
        <v>785</v>
      </c>
      <c r="C99" s="43">
        <f t="shared" ref="C99:H99" si="56">IF(C10&gt;0,SigmaEff*ABS(C38+C83)/1000,0)</f>
        <v>0</v>
      </c>
      <c r="D99" s="43">
        <f t="shared" si="56"/>
        <v>0</v>
      </c>
      <c r="E99" s="43">
        <f t="shared" si="56"/>
        <v>0</v>
      </c>
      <c r="F99" s="43">
        <f t="shared" si="56"/>
        <v>0</v>
      </c>
      <c r="G99" s="43">
        <f t="shared" si="56"/>
        <v>0</v>
      </c>
      <c r="H99" s="43">
        <f t="shared" si="56"/>
        <v>0.20942668677199622</v>
      </c>
      <c r="I99" s="10" t="s">
        <v>165</v>
      </c>
      <c r="J99" s="2" t="s">
        <v>786</v>
      </c>
    </row>
    <row r="100" spans="1:10" ht="25.5" x14ac:dyDescent="0.45">
      <c r="A100" s="5" t="s">
        <v>787</v>
      </c>
      <c r="B100" s="8" t="s">
        <v>788</v>
      </c>
      <c r="C100" s="45">
        <f t="shared" ref="C100:H100" si="57">C67*IF(C7="IND",(C74+C82+C83)/C63,1)</f>
        <v>1564</v>
      </c>
      <c r="D100" s="45">
        <f t="shared" si="57"/>
        <v>1564</v>
      </c>
      <c r="E100" s="45">
        <f t="shared" si="57"/>
        <v>1631</v>
      </c>
      <c r="F100" s="45">
        <f t="shared" si="57"/>
        <v>850.34181264429321</v>
      </c>
      <c r="G100" s="45">
        <f t="shared" si="57"/>
        <v>411.77194718945026</v>
      </c>
      <c r="H100" s="45">
        <f t="shared" si="57"/>
        <v>997.39751298511067</v>
      </c>
      <c r="I100" s="10" t="s">
        <v>182</v>
      </c>
      <c r="J100" s="2" t="s">
        <v>789</v>
      </c>
    </row>
    <row r="101" spans="1:10" x14ac:dyDescent="0.45">
      <c r="A101" s="13" t="s">
        <v>790</v>
      </c>
      <c r="B101" s="8" t="s">
        <v>791</v>
      </c>
      <c r="C101" s="44">
        <f t="shared" ref="C101:H101" si="58">C100/C68</f>
        <v>1.8922941041245721E-2</v>
      </c>
      <c r="D101" s="44">
        <f t="shared" si="58"/>
        <v>1.8922941041245721E-2</v>
      </c>
      <c r="E101" s="44">
        <f t="shared" si="58"/>
        <v>1.9733578541094483E-2</v>
      </c>
      <c r="F101" s="44">
        <f t="shared" si="58"/>
        <v>1.0288342701773642E-2</v>
      </c>
      <c r="G101" s="44">
        <f t="shared" si="58"/>
        <v>4.9820564444404821E-3</v>
      </c>
      <c r="H101" s="44">
        <f t="shared" si="58"/>
        <v>1.206757949674064E-2</v>
      </c>
      <c r="I101" s="10" t="s">
        <v>81</v>
      </c>
      <c r="J101" s="2" t="s">
        <v>792</v>
      </c>
    </row>
    <row r="102" spans="1:10" x14ac:dyDescent="0.45">
      <c r="A102" s="13" t="s">
        <v>793</v>
      </c>
      <c r="B102" s="8" t="s">
        <v>794</v>
      </c>
      <c r="C102" s="44">
        <f t="shared" ref="C102:H102" si="59">C46</f>
        <v>-7.1990593673900066E-2</v>
      </c>
      <c r="D102" s="44">
        <f t="shared" si="59"/>
        <v>-2.8478813226086253E-2</v>
      </c>
      <c r="E102" s="44">
        <f t="shared" si="59"/>
        <v>-2.8478813226086253E-2</v>
      </c>
      <c r="F102" s="44">
        <f t="shared" si="59"/>
        <v>-7.1990593673900066E-2</v>
      </c>
      <c r="G102" s="44">
        <f t="shared" si="59"/>
        <v>-5.7984149124688522E-2</v>
      </c>
      <c r="H102" s="44">
        <f t="shared" si="59"/>
        <v>-0.12564081005985911</v>
      </c>
      <c r="I102" s="10" t="s">
        <v>81</v>
      </c>
      <c r="J102" s="2" t="s">
        <v>647</v>
      </c>
    </row>
    <row r="103" spans="1:10" x14ac:dyDescent="0.45">
      <c r="A103" s="13" t="s">
        <v>795</v>
      </c>
      <c r="B103" s="8" t="s">
        <v>796</v>
      </c>
      <c r="C103" s="44">
        <f t="shared" ref="C103:H103" si="60">C45</f>
        <v>-1.4877330252949857E-2</v>
      </c>
      <c r="D103" s="44">
        <f t="shared" si="60"/>
        <v>-7.1552416328847998E-3</v>
      </c>
      <c r="E103" s="44">
        <f t="shared" si="60"/>
        <v>-7.1552416328847998E-3</v>
      </c>
      <c r="F103" s="44">
        <f t="shared" si="60"/>
        <v>-1.4877330252949857E-2</v>
      </c>
      <c r="G103" s="44">
        <f t="shared" si="60"/>
        <v>0</v>
      </c>
      <c r="H103" s="44">
        <f t="shared" si="60"/>
        <v>-1.4877330252949857E-2</v>
      </c>
      <c r="I103" s="10" t="s">
        <v>81</v>
      </c>
      <c r="J103" s="2" t="s">
        <v>797</v>
      </c>
    </row>
    <row r="104" spans="1:10" ht="25.5" x14ac:dyDescent="0.45">
      <c r="A104" s="13" t="s">
        <v>798</v>
      </c>
      <c r="B104" s="8" t="s">
        <v>799</v>
      </c>
      <c r="C104" s="43">
        <f t="shared" ref="C104:H104" si="61">C69-(C94-C97)</f>
        <v>10.43</v>
      </c>
      <c r="D104" s="43">
        <f t="shared" si="61"/>
        <v>10.43</v>
      </c>
      <c r="E104" s="43">
        <f t="shared" si="61"/>
        <v>10.619999999999997</v>
      </c>
      <c r="F104" s="43">
        <f t="shared" si="61"/>
        <v>2.6899999999999977</v>
      </c>
      <c r="G104" s="43">
        <f t="shared" si="61"/>
        <v>0.50548541533622338</v>
      </c>
      <c r="H104" s="43">
        <f t="shared" si="61"/>
        <v>0.3595064629247231</v>
      </c>
      <c r="I104" s="10" t="s">
        <v>165</v>
      </c>
      <c r="J104" s="2" t="s">
        <v>800</v>
      </c>
    </row>
    <row r="105" spans="1:10" x14ac:dyDescent="0.45">
      <c r="A105" s="13" t="s">
        <v>801</v>
      </c>
      <c r="B105" s="8" t="s">
        <v>802</v>
      </c>
      <c r="C105" s="43">
        <f t="shared" ref="C105:H105" si="62">C86+C8*C19</f>
        <v>375.48148541690057</v>
      </c>
      <c r="D105" s="43">
        <f t="shared" si="62"/>
        <v>340.66</v>
      </c>
      <c r="E105" s="43">
        <f t="shared" si="62"/>
        <v>340.66</v>
      </c>
      <c r="F105" s="43">
        <f t="shared" si="62"/>
        <v>123.79448541690056</v>
      </c>
      <c r="G105" s="43">
        <f t="shared" si="62"/>
        <v>123.79448541690056</v>
      </c>
      <c r="H105" s="43">
        <f t="shared" si="62"/>
        <v>123.79448541690056</v>
      </c>
      <c r="I105" s="10" t="s">
        <v>561</v>
      </c>
      <c r="J105" s="2" t="s">
        <v>803</v>
      </c>
    </row>
    <row r="106" spans="1:10" x14ac:dyDescent="0.45">
      <c r="A106" s="13" t="s">
        <v>804</v>
      </c>
      <c r="B106" s="8" t="s">
        <v>805</v>
      </c>
      <c r="C106" s="43">
        <f t="shared" ref="C106:H106" si="63">C41*C17</f>
        <v>62.423609890817644</v>
      </c>
      <c r="D106" s="43">
        <f t="shared" si="63"/>
        <v>27.536962484038934</v>
      </c>
      <c r="E106" s="43">
        <f t="shared" si="63"/>
        <v>27.536962484038934</v>
      </c>
      <c r="F106" s="43">
        <f t="shared" si="63"/>
        <v>62.423609890817644</v>
      </c>
      <c r="G106" s="43">
        <f t="shared" si="63"/>
        <v>62.423609890817659</v>
      </c>
      <c r="H106" s="43">
        <f t="shared" si="63"/>
        <v>62.423609890817644</v>
      </c>
      <c r="I106" s="10" t="s">
        <v>561</v>
      </c>
      <c r="J106" s="2" t="s">
        <v>806</v>
      </c>
    </row>
    <row r="107" spans="1:10" x14ac:dyDescent="0.45">
      <c r="A107" s="13" t="s">
        <v>807</v>
      </c>
      <c r="B107" s="8" t="s">
        <v>808</v>
      </c>
      <c r="C107" s="46">
        <f t="shared" ref="C107:H107" si="64">C76-C75+C80+C25+C30+C82+C83-C84</f>
        <v>0</v>
      </c>
      <c r="D107" s="46">
        <f t="shared" si="64"/>
        <v>0</v>
      </c>
      <c r="E107" s="46">
        <f t="shared" si="64"/>
        <v>0</v>
      </c>
      <c r="F107" s="46">
        <f t="shared" si="64"/>
        <v>0</v>
      </c>
      <c r="G107" s="46">
        <f t="shared" si="64"/>
        <v>0</v>
      </c>
      <c r="H107" s="46">
        <f t="shared" si="64"/>
        <v>0</v>
      </c>
      <c r="I107" s="10" t="s">
        <v>561</v>
      </c>
      <c r="J107" s="2" t="s">
        <v>809</v>
      </c>
    </row>
  </sheetData>
  <mergeCells count="8">
    <mergeCell ref="A1:J1"/>
    <mergeCell ref="A5:J5"/>
    <mergeCell ref="A40:J40"/>
    <mergeCell ref="A2:J2"/>
    <mergeCell ref="A70:J70"/>
    <mergeCell ref="A3:J3"/>
    <mergeCell ref="A16:J16"/>
    <mergeCell ref="A52:J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9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.796875" customWidth="1"/>
    <col min="2" max="2" width="0" hidden="1"/>
    <col min="3" max="3" width="41.19921875" customWidth="1"/>
    <col min="4" max="5" width="0" hidden="1"/>
    <col min="6" max="6" width="24.59765625" customWidth="1"/>
    <col min="7" max="7" width="19.19921875" customWidth="1"/>
    <col min="8" max="19" width="12.265625" customWidth="1"/>
    <col min="20" max="34" width="8.3984375" customWidth="1"/>
    <col min="35" max="35" width="13.6640625" customWidth="1"/>
    <col min="36" max="43" width="8.3984375" customWidth="1"/>
    <col min="44" max="44" width="19.19921875" customWidth="1"/>
    <col min="45" max="45" width="16.3984375" customWidth="1"/>
    <col min="46" max="46" width="15.265625" customWidth="1"/>
    <col min="47" max="47" width="19.19921875" customWidth="1"/>
    <col min="48" max="48" width="8.3984375" customWidth="1"/>
  </cols>
  <sheetData>
    <row r="1" spans="1:47" x14ac:dyDescent="0.45">
      <c r="C1" s="47" t="s">
        <v>810</v>
      </c>
      <c r="D1" s="48" t="s">
        <v>811</v>
      </c>
    </row>
    <row r="2" spans="1:47" x14ac:dyDescent="0.45">
      <c r="C2" s="49" t="s">
        <v>812</v>
      </c>
      <c r="D2" s="48" t="s">
        <v>813</v>
      </c>
    </row>
    <row r="3" spans="1:47" x14ac:dyDescent="0.45">
      <c r="C3" s="47" t="str">
        <f>"All results for "&amp;Yr&amp;", at the CPAT carbon price of that year ($"&amp;TEXT(INDEX(SumTbl,MATCH("tau",SumKeys,0),MATCH("1A",SumHdr,0)),"0")&amp;" for 1A)."</f>
        <v>All results for 2030, at the CPAT carbon price of that year ($20 for 1A).</v>
      </c>
      <c r="D3" s="48" t="s">
        <v>814</v>
      </c>
    </row>
    <row r="4" spans="1:47" x14ac:dyDescent="0.45">
      <c r="C4" s="38" t="str">
        <f>"Mode: "&amp;Mode&amp;"   |   CBAM convention: "&amp;Conv&amp;"   |   process beta set: "&amp;BetaSet&amp;"   |   edit only on Inputs"</f>
        <v>Mode: REBUILD   |   CBAM convention: FULL   |   process beta set: IPCC_CENTRAL   |   edit only on Inputs</v>
      </c>
      <c r="E4" s="49" t="s">
        <v>815</v>
      </c>
      <c r="V4" s="47" t="s">
        <v>816</v>
      </c>
      <c r="AS4" s="47" t="s">
        <v>817</v>
      </c>
    </row>
    <row r="5" spans="1:47" ht="66" customHeight="1" x14ac:dyDescent="0.45">
      <c r="A5" s="50" t="s">
        <v>818</v>
      </c>
      <c r="B5" s="50" t="s">
        <v>819</v>
      </c>
      <c r="C5" s="50" t="s">
        <v>820</v>
      </c>
      <c r="D5" s="50" t="s">
        <v>821</v>
      </c>
      <c r="E5" s="50" t="s">
        <v>822</v>
      </c>
      <c r="F5" s="50" t="s">
        <v>823</v>
      </c>
      <c r="G5" s="50" t="s">
        <v>824</v>
      </c>
      <c r="H5" s="50" t="s">
        <v>825</v>
      </c>
      <c r="I5" s="50" t="s">
        <v>826</v>
      </c>
      <c r="J5" s="51" t="s">
        <v>827</v>
      </c>
      <c r="K5" s="50" t="s">
        <v>828</v>
      </c>
      <c r="L5" s="50" t="s">
        <v>829</v>
      </c>
      <c r="M5" s="51" t="s">
        <v>830</v>
      </c>
      <c r="N5" s="50" t="s">
        <v>831</v>
      </c>
      <c r="O5" s="50" t="s">
        <v>832</v>
      </c>
      <c r="P5" s="52" t="s">
        <v>833</v>
      </c>
      <c r="Q5" s="53" t="s">
        <v>834</v>
      </c>
      <c r="R5" s="50" t="s">
        <v>835</v>
      </c>
      <c r="T5" s="50" t="s">
        <v>836</v>
      </c>
      <c r="U5" s="50" t="s">
        <v>837</v>
      </c>
      <c r="V5" s="50" t="s">
        <v>838</v>
      </c>
      <c r="W5" s="50" t="s">
        <v>839</v>
      </c>
      <c r="X5" s="50" t="s">
        <v>840</v>
      </c>
      <c r="Y5" s="50" t="s">
        <v>841</v>
      </c>
      <c r="Z5" s="50" t="s">
        <v>842</v>
      </c>
      <c r="AA5" s="50" t="s">
        <v>843</v>
      </c>
      <c r="AB5" s="50" t="s">
        <v>844</v>
      </c>
      <c r="AC5" s="50" t="s">
        <v>845</v>
      </c>
      <c r="AD5" s="50" t="s">
        <v>846</v>
      </c>
      <c r="AE5" s="50" t="s">
        <v>847</v>
      </c>
      <c r="AF5" s="54" t="s">
        <v>848</v>
      </c>
      <c r="AG5" s="54" t="s">
        <v>849</v>
      </c>
      <c r="AH5" s="54" t="s">
        <v>850</v>
      </c>
      <c r="AI5" s="54" t="s">
        <v>851</v>
      </c>
      <c r="AJ5" s="54" t="s">
        <v>852</v>
      </c>
      <c r="AK5" s="54" t="s">
        <v>853</v>
      </c>
      <c r="AL5" s="54" t="s">
        <v>854</v>
      </c>
      <c r="AM5" s="54" t="s">
        <v>855</v>
      </c>
      <c r="AN5" s="54" t="s">
        <v>856</v>
      </c>
      <c r="AO5" s="54" t="s">
        <v>857</v>
      </c>
      <c r="AP5" s="54" t="s">
        <v>858</v>
      </c>
      <c r="AQ5" s="54" t="s">
        <v>859</v>
      </c>
      <c r="AR5" s="52" t="s">
        <v>860</v>
      </c>
      <c r="AS5" s="50" t="s">
        <v>861</v>
      </c>
      <c r="AT5" s="50" t="s">
        <v>862</v>
      </c>
      <c r="AU5" s="52" t="s">
        <v>863</v>
      </c>
    </row>
    <row r="6" spans="1:47" ht="26.25" x14ac:dyDescent="0.45">
      <c r="C6" s="100" t="s">
        <v>864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AS6" s="55" t="s">
        <v>865</v>
      </c>
      <c r="AT6" s="55" t="s">
        <v>866</v>
      </c>
      <c r="AU6" s="55" t="s">
        <v>866</v>
      </c>
    </row>
    <row r="7" spans="1:47" ht="96" customHeight="1" x14ac:dyDescent="0.45">
      <c r="A7" s="49" t="s">
        <v>223</v>
      </c>
      <c r="B7" s="56" t="str">
        <f t="shared" ref="B7:B12" si="0">INDEX(BT_Scen,MATCH($A7,BT_Code,0))</f>
        <v>EG1</v>
      </c>
      <c r="C7" s="57" t="s">
        <v>867</v>
      </c>
      <c r="D7" s="57" t="s">
        <v>868</v>
      </c>
      <c r="E7" s="57" t="s">
        <v>869</v>
      </c>
      <c r="F7" s="57" t="s">
        <v>870</v>
      </c>
      <c r="G7" s="58" t="s">
        <v>871</v>
      </c>
      <c r="H7" s="59">
        <f t="shared" ref="H7:H12" si="1">INDEX(SumTbl,MATCH("tau",SumKeys,0),MATCH($A7,SumHdr,0))</f>
        <v>20</v>
      </c>
      <c r="I7" s="58" t="s">
        <v>225</v>
      </c>
      <c r="J7" s="60">
        <f t="shared" ref="J7:J12" si="2">INDEX(SumTbl,MATCH("J",SumKeys,0),MATCH($A7,SumHdr,0))</f>
        <v>0.63195774412258832</v>
      </c>
      <c r="K7" s="61">
        <f t="shared" ref="K7:K12" si="3">INDEX(SumTbl,MATCH("K",SumKeys,0),MATCH($A7,SumHdr,0))</f>
        <v>-29.660331136192728</v>
      </c>
      <c r="L7" s="62">
        <f t="shared" ref="L7:L12" si="4">INDEX(SumTbl,MATCH("L",SumKeys,0),MATCH($A7,SumHdr,0))</f>
        <v>-4.9920107069848202E-2</v>
      </c>
      <c r="M7" s="60">
        <f t="shared" ref="M7:M12" si="5">INDEX(SumTbl,MATCH("M",SumKeys,0),MATCH($A7,SumHdr,0))</f>
        <v>1</v>
      </c>
      <c r="N7" s="62">
        <f t="shared" ref="N7:N12" si="6">INDEX(SumTbl,MATCH("N",SumKeys,0),MATCH($A7,SumHdr,0))</f>
        <v>-5.7975788371224191E-2</v>
      </c>
      <c r="O7" s="62">
        <f t="shared" ref="O7:O12" si="7">INDEX(SumTbl,MATCH("O",SumKeys,0),MATCH($A7,SumHdr,0))</f>
        <v>-0.44423634846247628</v>
      </c>
      <c r="P7" s="61">
        <f t="shared" ref="P7:P12" si="8">INDEX(SumTbl,MATCH("P_net",SumKeys,0),MATCH($A7,SumHdr,0))</f>
        <v>6.8716630856141556</v>
      </c>
      <c r="Q7" s="63">
        <f t="shared" ref="Q7:Q12" si="9">INDEX(SumTbl,MATCH("Q_deaths",SumKeys,0),MATCH($A7,SumHdr,0))</f>
        <v>1564</v>
      </c>
      <c r="R7" s="62">
        <f t="shared" ref="R7:R12" si="10">INDEX(SumTbl,MATCH("R",SumKeys,0),MATCH($A7,SumHdr,0))</f>
        <v>1.8922941041245721E-2</v>
      </c>
      <c r="T7" s="64">
        <f t="shared" ref="T7:T12" si="11">INDEX(SumTbl,MATCH("T",SumKeys,0),MATCH($A7,SumHdr,0))</f>
        <v>-7.1990593673900066E-2</v>
      </c>
      <c r="U7" s="64">
        <f t="shared" ref="U7:U12" si="12">INDEX(SumTbl,MATCH("U",SumKeys,0),MATCH($A7,SumHdr,0))</f>
        <v>-1.4877330252949857E-2</v>
      </c>
      <c r="V7" s="65">
        <f t="shared" ref="V7:V12" si="13">INDEX(SumTbl,MATCH("P_gross",SumKeys,0),MATCH($A7,SumHdr,0))</f>
        <v>6.8716630856141556</v>
      </c>
      <c r="W7" s="65">
        <f t="shared" ref="W7:W12" si="14">INDEX(SumTbl,MATCH("tau",SumKeys,0),MATCH($A7,SumHdr,0))</f>
        <v>20</v>
      </c>
      <c r="X7" s="65">
        <f t="shared" ref="X7:X12" si="15">INDEX(SumTbl,MATCH("ghg0",SumKeys,0),MATCH($A7,SumHdr,0))</f>
        <v>594.15599999999995</v>
      </c>
      <c r="Y7" s="65">
        <f t="shared" ref="Y7:Y12" si="16">INDEX(SumTbl,MATCH("ind0",SumKeys,0),MATCH($A7,SumHdr,0))</f>
        <v>88.972999999999999</v>
      </c>
      <c r="Z7" s="65">
        <f t="shared" ref="Z7:Z12" si="17">INDEX(SumTbl,MATCH("Efbase",SumKeys,0),MATCH($A7,SumHdr,0))</f>
        <v>27.602124473917094</v>
      </c>
      <c r="AA7" s="65">
        <f t="shared" ref="AA7:AA12" si="18">INDEX(SumTbl,MATCH("Epbase",SumKeys,0),MATCH($A7,SumHdr,0))</f>
        <v>34.821485416900551</v>
      </c>
      <c r="AB7" s="65">
        <f t="shared" ref="AB7:AB12" si="19">INDEX(SumTbl,MATCH("AB_cov",SumKeys,0),MATCH($A7,SumHdr,0))</f>
        <v>375.48148541690057</v>
      </c>
      <c r="AC7" s="60">
        <f t="shared" ref="AC7:AC12" si="20">INDEX(SumTbl,MATCH("J",SumKeys,0),MATCH($A7,SumHdr,0))</f>
        <v>0.63195774412258832</v>
      </c>
      <c r="AD7" s="65">
        <f t="shared" ref="AD7:AD12" si="21">INDEX(SumTbl,MATCH("Ebase",SumKeys,0),MATCH($A7,SumHdr,0))</f>
        <v>62.423609890817644</v>
      </c>
      <c r="AE7" s="65">
        <f t="shared" ref="AE7:AE12" si="22">INDEX(SumTbl,MATCH("AE_cov",SumKeys,0),MATCH($A7,SumHdr,0))</f>
        <v>62.423609890817644</v>
      </c>
      <c r="AF7" s="66">
        <f t="shared" ref="AF7:AF12" si="23">INDEX(SumTbl,MATCH("dghg_adj",SumKeys,0),MATCH($A7,SumHdr,0))</f>
        <v>-38.876999999999953</v>
      </c>
      <c r="AG7" s="66">
        <f t="shared" ref="AG7:AG12" si="24">-INDEX(SumTbl,MATCH("dippu_adj",SumKeys,0),MATCH($A7,SumHdr,0))</f>
        <v>11.954999999999998</v>
      </c>
      <c r="AH7" s="66">
        <f t="shared" ref="AH7:AH12" si="25">INDEX(SumTbl,MATCH("ippu_other",SumKeys,0),MATCH($A7,SumHdr,0))</f>
        <v>0</v>
      </c>
      <c r="AI7" s="66">
        <f t="shared" ref="AI7:AI12" si="26">INDEX(SumTbl,MATCH("ERp",SumKeys,0),MATCH($A7,SumHdr,0))</f>
        <v>-2.242427612552663</v>
      </c>
      <c r="AJ7" s="66">
        <f t="shared" ref="AJ7:AJ12" si="27">INDEX(SumTbl,MATCH("emrq_proc",SumKeys,0),MATCH($A7,SumHdr,0))</f>
        <v>-0.49590352364010887</v>
      </c>
      <c r="AK7" s="66">
        <f t="shared" ref="AK7:AK12" si="28">INDEX(SumTbl,MATCH("D_obr",SumKeys,0),MATCH($A7,SumHdr,0))</f>
        <v>0</v>
      </c>
      <c r="AL7" s="66">
        <f t="shared" ref="AL7:AL12" si="29">INDEX(SumTbl,MATCH("F_fund",SumKeys,0),MATCH($A7,SumHdr,0))</f>
        <v>0</v>
      </c>
      <c r="AM7" s="67">
        <f t="shared" ref="AM7:AM12" si="30">INDEX(SumTbl,MATCH("K_check",SumKeys,0),MATCH($A7,SumHdr,0))</f>
        <v>0</v>
      </c>
      <c r="AN7" s="68">
        <f t="shared" ref="AN7:AN12" si="31">INDEX(SumTbl,MATCH("cbintchx",SumKeys,0),MATCH($A7,SumHdr,0))</f>
        <v>-5.4226768436143935E-2</v>
      </c>
      <c r="AO7" s="66">
        <f t="shared" ref="AO7:AO12" si="32">INDEX(SumTbl,MATCH("P_gross",SumKeys,0),MATCH($A7,SumHdr,0))</f>
        <v>6.8716630856141556</v>
      </c>
      <c r="AP7" s="66">
        <f t="shared" ref="AP7:AP12" si="33">INDEX(SumTbl,MATCH("rebate_bn",SumKeys,0),MATCH($A7,SumHdr,0))</f>
        <v>0</v>
      </c>
      <c r="AQ7" s="68">
        <f t="shared" ref="AQ7:AQ12" si="34">INDEX(SumTbl,MATCH("O_full",SumKeys,0),MATCH($A7,SumHdr,0))</f>
        <v>-0.44423634846247628</v>
      </c>
      <c r="AR7" s="61">
        <f t="shared" ref="AR7:AR12" si="35">INDEX(SumTbl,MATCH("AR",SumKeys,0),MATCH($A7,SumHdr,0))</f>
        <v>10.43</v>
      </c>
      <c r="AS7" s="69">
        <v>0.9</v>
      </c>
      <c r="AT7" s="70">
        <v>6.8999999999999999E-3</v>
      </c>
      <c r="AU7" s="71">
        <v>4.8484632930199991</v>
      </c>
    </row>
    <row r="8" spans="1:47" ht="96" customHeight="1" x14ac:dyDescent="0.45">
      <c r="A8" s="49" t="s">
        <v>228</v>
      </c>
      <c r="B8" s="56" t="str">
        <f t="shared" si="0"/>
        <v>EG1</v>
      </c>
      <c r="C8" s="57" t="s">
        <v>872</v>
      </c>
      <c r="D8" s="57" t="s">
        <v>873</v>
      </c>
      <c r="E8" s="57" t="s">
        <v>874</v>
      </c>
      <c r="F8" s="57" t="s">
        <v>875</v>
      </c>
      <c r="G8" s="57" t="s">
        <v>876</v>
      </c>
      <c r="H8" s="59">
        <f t="shared" si="1"/>
        <v>20</v>
      </c>
      <c r="I8" s="57" t="s">
        <v>225</v>
      </c>
      <c r="J8" s="60">
        <f t="shared" si="2"/>
        <v>0.57335110644342568</v>
      </c>
      <c r="K8" s="61">
        <f t="shared" si="3"/>
        <v>-27.106460402078543</v>
      </c>
      <c r="L8" s="62">
        <f t="shared" si="4"/>
        <v>-4.5621790240405795E-2</v>
      </c>
      <c r="M8" s="60">
        <f t="shared" si="5"/>
        <v>0.44113056794060146</v>
      </c>
      <c r="N8" s="62">
        <f t="shared" si="6"/>
        <v>-2.1477246481384715E-2</v>
      </c>
      <c r="O8" s="62">
        <f t="shared" si="7"/>
        <v>-0.23123966815465757</v>
      </c>
      <c r="P8" s="61">
        <f t="shared" si="8"/>
        <v>6.23</v>
      </c>
      <c r="Q8" s="63">
        <f t="shared" si="9"/>
        <v>1564</v>
      </c>
      <c r="R8" s="62">
        <f t="shared" si="10"/>
        <v>1.8922941041245721E-2</v>
      </c>
      <c r="T8" s="64">
        <f t="shared" si="11"/>
        <v>-2.8478813226086253E-2</v>
      </c>
      <c r="U8" s="64">
        <f t="shared" si="12"/>
        <v>-7.1552416328847998E-3</v>
      </c>
      <c r="V8" s="65">
        <f t="shared" si="13"/>
        <v>6.23</v>
      </c>
      <c r="W8" s="65">
        <f t="shared" si="14"/>
        <v>20</v>
      </c>
      <c r="X8" s="65">
        <f t="shared" si="15"/>
        <v>594.15599999999995</v>
      </c>
      <c r="Y8" s="65">
        <f t="shared" si="16"/>
        <v>88.972999999999999</v>
      </c>
      <c r="Z8" s="65">
        <f t="shared" si="17"/>
        <v>27.602124473917094</v>
      </c>
      <c r="AA8" s="65">
        <f t="shared" si="18"/>
        <v>34.821485416900551</v>
      </c>
      <c r="AB8" s="65">
        <f t="shared" si="19"/>
        <v>340.66</v>
      </c>
      <c r="AC8" s="60">
        <f t="shared" si="20"/>
        <v>0.57335110644342568</v>
      </c>
      <c r="AD8" s="65">
        <f t="shared" si="21"/>
        <v>62.423609890817644</v>
      </c>
      <c r="AE8" s="65">
        <f t="shared" si="22"/>
        <v>27.536962484038934</v>
      </c>
      <c r="AF8" s="66">
        <f t="shared" si="23"/>
        <v>-38.876999999999953</v>
      </c>
      <c r="AG8" s="66">
        <f t="shared" si="24"/>
        <v>11.954999999999998</v>
      </c>
      <c r="AH8" s="66">
        <f t="shared" si="25"/>
        <v>0</v>
      </c>
      <c r="AI8" s="66">
        <f t="shared" si="26"/>
        <v>0</v>
      </c>
      <c r="AJ8" s="66">
        <f t="shared" si="27"/>
        <v>-0.18446040207858988</v>
      </c>
      <c r="AK8" s="66">
        <f t="shared" si="28"/>
        <v>0</v>
      </c>
      <c r="AL8" s="66">
        <f t="shared" si="29"/>
        <v>0</v>
      </c>
      <c r="AM8" s="67">
        <f t="shared" si="30"/>
        <v>0</v>
      </c>
      <c r="AN8" s="68">
        <f t="shared" si="31"/>
        <v>-2.553018660039541E-2</v>
      </c>
      <c r="AO8" s="66">
        <f t="shared" si="32"/>
        <v>6.23</v>
      </c>
      <c r="AP8" s="66">
        <f t="shared" si="33"/>
        <v>0</v>
      </c>
      <c r="AQ8" s="68">
        <f t="shared" si="34"/>
        <v>-0.23123966815465757</v>
      </c>
      <c r="AR8" s="61">
        <f t="shared" si="35"/>
        <v>10.43</v>
      </c>
      <c r="AS8" s="69" t="s">
        <v>877</v>
      </c>
      <c r="AT8" s="72">
        <v>6.8999999999999999E-3</v>
      </c>
      <c r="AU8" s="71">
        <v>5.4436199999999992</v>
      </c>
    </row>
    <row r="9" spans="1:47" ht="96" customHeight="1" x14ac:dyDescent="0.45">
      <c r="A9" s="49" t="s">
        <v>230</v>
      </c>
      <c r="B9" s="56" t="str">
        <f t="shared" si="0"/>
        <v>EG2</v>
      </c>
      <c r="C9" s="57" t="s">
        <v>878</v>
      </c>
      <c r="F9" s="57" t="s">
        <v>879</v>
      </c>
      <c r="G9" s="57" t="s">
        <v>876</v>
      </c>
      <c r="H9" s="59">
        <f t="shared" si="1"/>
        <v>20</v>
      </c>
      <c r="I9" s="57" t="s">
        <v>231</v>
      </c>
      <c r="J9" s="60">
        <f t="shared" si="2"/>
        <v>0.57335110644342568</v>
      </c>
      <c r="K9" s="61">
        <f t="shared" si="3"/>
        <v>-28.623460402078539</v>
      </c>
      <c r="L9" s="62">
        <f t="shared" si="4"/>
        <v>-4.8174991756505935E-2</v>
      </c>
      <c r="M9" s="60">
        <f t="shared" si="5"/>
        <v>0.44113056794060146</v>
      </c>
      <c r="N9" s="62">
        <f t="shared" si="6"/>
        <v>-2.1477246481384715E-2</v>
      </c>
      <c r="O9" s="62">
        <f t="shared" si="7"/>
        <v>-0.23123966815465757</v>
      </c>
      <c r="P9" s="61">
        <f t="shared" si="8"/>
        <v>6.19</v>
      </c>
      <c r="Q9" s="63">
        <f t="shared" si="9"/>
        <v>1631</v>
      </c>
      <c r="R9" s="62">
        <f t="shared" si="10"/>
        <v>1.9733578541094483E-2</v>
      </c>
      <c r="T9" s="64">
        <f t="shared" si="11"/>
        <v>-2.8478813226086253E-2</v>
      </c>
      <c r="U9" s="64">
        <f t="shared" si="12"/>
        <v>-7.1552416328847998E-3</v>
      </c>
      <c r="V9" s="65">
        <f t="shared" si="13"/>
        <v>6.19</v>
      </c>
      <c r="W9" s="65">
        <f t="shared" si="14"/>
        <v>20</v>
      </c>
      <c r="X9" s="65">
        <f t="shared" si="15"/>
        <v>594.15599999999995</v>
      </c>
      <c r="Y9" s="65">
        <f t="shared" si="16"/>
        <v>88.972999999999999</v>
      </c>
      <c r="Z9" s="65">
        <f t="shared" si="17"/>
        <v>27.602124473917094</v>
      </c>
      <c r="AA9" s="65">
        <f t="shared" si="18"/>
        <v>34.821485416900551</v>
      </c>
      <c r="AB9" s="65">
        <f t="shared" si="19"/>
        <v>340.66</v>
      </c>
      <c r="AC9" s="60">
        <f t="shared" si="20"/>
        <v>0.57335110644342568</v>
      </c>
      <c r="AD9" s="65">
        <f t="shared" si="21"/>
        <v>62.423609890817644</v>
      </c>
      <c r="AE9" s="65">
        <f t="shared" si="22"/>
        <v>27.536962484038934</v>
      </c>
      <c r="AF9" s="66">
        <f t="shared" si="23"/>
        <v>-41.001999999999953</v>
      </c>
      <c r="AG9" s="66">
        <f t="shared" si="24"/>
        <v>12.563000000000002</v>
      </c>
      <c r="AH9" s="66">
        <f t="shared" si="25"/>
        <v>0</v>
      </c>
      <c r="AI9" s="66">
        <f t="shared" si="26"/>
        <v>0</v>
      </c>
      <c r="AJ9" s="66">
        <f t="shared" si="27"/>
        <v>-0.18446040207858988</v>
      </c>
      <c r="AK9" s="66">
        <f t="shared" si="28"/>
        <v>0</v>
      </c>
      <c r="AL9" s="66">
        <f t="shared" si="29"/>
        <v>0</v>
      </c>
      <c r="AM9" s="67">
        <f t="shared" si="30"/>
        <v>0</v>
      </c>
      <c r="AN9" s="68">
        <f t="shared" si="31"/>
        <v>-2.553018660039541E-2</v>
      </c>
      <c r="AO9" s="66">
        <f t="shared" si="32"/>
        <v>6.19</v>
      </c>
      <c r="AP9" s="66">
        <f t="shared" si="33"/>
        <v>0</v>
      </c>
      <c r="AQ9" s="68">
        <f t="shared" si="34"/>
        <v>-0.23123966815465757</v>
      </c>
      <c r="AR9" s="61">
        <f t="shared" si="35"/>
        <v>10.619999999999997</v>
      </c>
      <c r="AS9" s="69" t="s">
        <v>877</v>
      </c>
      <c r="AT9" s="72">
        <v>6.6E-3</v>
      </c>
      <c r="AU9" s="71">
        <v>5.4436199999999992</v>
      </c>
    </row>
    <row r="10" spans="1:47" ht="96" customHeight="1" x14ac:dyDescent="0.45">
      <c r="A10" s="49" t="s">
        <v>233</v>
      </c>
      <c r="B10" s="56" t="str">
        <f t="shared" si="0"/>
        <v>EG3</v>
      </c>
      <c r="C10" s="57" t="s">
        <v>880</v>
      </c>
      <c r="D10" s="57" t="s">
        <v>881</v>
      </c>
      <c r="E10" s="57" t="s">
        <v>882</v>
      </c>
      <c r="F10" s="57" t="s">
        <v>883</v>
      </c>
      <c r="G10" s="57" t="s">
        <v>884</v>
      </c>
      <c r="H10" s="59">
        <f t="shared" si="1"/>
        <v>20</v>
      </c>
      <c r="I10" s="57" t="s">
        <v>231</v>
      </c>
      <c r="J10" s="60">
        <f t="shared" si="2"/>
        <v>0.20835350550512083</v>
      </c>
      <c r="K10" s="61">
        <f t="shared" si="3"/>
        <v>-23.379947106143597</v>
      </c>
      <c r="L10" s="62">
        <f t="shared" si="4"/>
        <v>-3.9349846010380433E-2</v>
      </c>
      <c r="M10" s="60">
        <f t="shared" si="5"/>
        <v>1</v>
      </c>
      <c r="N10" s="62">
        <f t="shared" si="6"/>
        <v>-5.7975788371224191E-2</v>
      </c>
      <c r="O10" s="62">
        <f t="shared" si="7"/>
        <v>-0.44423634846247628</v>
      </c>
      <c r="P10" s="61">
        <f t="shared" si="8"/>
        <v>2.3723066187745281</v>
      </c>
      <c r="Q10" s="63">
        <f t="shared" si="9"/>
        <v>850.34181264429321</v>
      </c>
      <c r="R10" s="62">
        <f t="shared" si="10"/>
        <v>1.0288342701773642E-2</v>
      </c>
      <c r="T10" s="64">
        <f t="shared" si="11"/>
        <v>-7.1990593673900066E-2</v>
      </c>
      <c r="U10" s="64">
        <f t="shared" si="12"/>
        <v>-1.4877330252949857E-2</v>
      </c>
      <c r="V10" s="65">
        <f t="shared" si="13"/>
        <v>2.3723066187745281</v>
      </c>
      <c r="W10" s="65">
        <f t="shared" si="14"/>
        <v>20</v>
      </c>
      <c r="X10" s="65">
        <f t="shared" si="15"/>
        <v>594.15599999999995</v>
      </c>
      <c r="Y10" s="65">
        <f t="shared" si="16"/>
        <v>88.972999999999999</v>
      </c>
      <c r="Z10" s="65">
        <f t="shared" si="17"/>
        <v>27.602124473917094</v>
      </c>
      <c r="AA10" s="65">
        <f t="shared" si="18"/>
        <v>34.821485416900551</v>
      </c>
      <c r="AB10" s="65">
        <f t="shared" si="19"/>
        <v>123.79448541690056</v>
      </c>
      <c r="AC10" s="60">
        <f t="shared" si="20"/>
        <v>0.20835350550512083</v>
      </c>
      <c r="AD10" s="65">
        <f t="shared" si="21"/>
        <v>62.423609890817644</v>
      </c>
      <c r="AE10" s="65">
        <f t="shared" si="22"/>
        <v>62.423609890817644</v>
      </c>
      <c r="AF10" s="66">
        <f t="shared" si="23"/>
        <v>-36.016429809704583</v>
      </c>
      <c r="AG10" s="66">
        <f t="shared" si="24"/>
        <v>15.374813839753759</v>
      </c>
      <c r="AH10" s="66">
        <f t="shared" si="25"/>
        <v>0</v>
      </c>
      <c r="AI10" s="66">
        <f t="shared" si="26"/>
        <v>-2.242427612552663</v>
      </c>
      <c r="AJ10" s="66">
        <f t="shared" si="27"/>
        <v>-0.49590352364010887</v>
      </c>
      <c r="AK10" s="66">
        <f t="shared" si="28"/>
        <v>0</v>
      </c>
      <c r="AL10" s="66">
        <f t="shared" si="29"/>
        <v>0</v>
      </c>
      <c r="AM10" s="67">
        <f t="shared" si="30"/>
        <v>0</v>
      </c>
      <c r="AN10" s="68">
        <f t="shared" si="31"/>
        <v>-5.4226768436143935E-2</v>
      </c>
      <c r="AO10" s="66">
        <f t="shared" si="32"/>
        <v>2.3723066187745281</v>
      </c>
      <c r="AP10" s="66">
        <f t="shared" si="33"/>
        <v>0</v>
      </c>
      <c r="AQ10" s="68">
        <f t="shared" si="34"/>
        <v>-0.44423634846247628</v>
      </c>
      <c r="AR10" s="61">
        <f t="shared" si="35"/>
        <v>2.6899999999999977</v>
      </c>
      <c r="AS10" s="69" t="s">
        <v>885</v>
      </c>
      <c r="AT10" s="72">
        <v>3.3E-3</v>
      </c>
      <c r="AU10" s="71">
        <v>0.31538329302000001</v>
      </c>
    </row>
    <row r="11" spans="1:47" ht="96" customHeight="1" x14ac:dyDescent="0.45">
      <c r="A11" s="49" t="s">
        <v>237</v>
      </c>
      <c r="B11" s="56" t="str">
        <f t="shared" si="0"/>
        <v>EG3</v>
      </c>
      <c r="C11" s="57" t="s">
        <v>886</v>
      </c>
      <c r="D11" s="57" t="s">
        <v>887</v>
      </c>
      <c r="E11" s="57" t="s">
        <v>888</v>
      </c>
      <c r="F11" s="57" t="s">
        <v>883</v>
      </c>
      <c r="G11" s="57" t="s">
        <v>884</v>
      </c>
      <c r="H11" s="59">
        <f t="shared" si="1"/>
        <v>20</v>
      </c>
      <c r="I11" s="57" t="s">
        <v>238</v>
      </c>
      <c r="J11" s="60">
        <f t="shared" si="2"/>
        <v>0.20835350550512083</v>
      </c>
      <c r="K11" s="61">
        <f t="shared" si="3"/>
        <v>-12.308925441888352</v>
      </c>
      <c r="L11" s="62">
        <f t="shared" si="4"/>
        <v>-2.071665596558539E-2</v>
      </c>
      <c r="M11" s="60">
        <f t="shared" si="5"/>
        <v>1.0000000000000002</v>
      </c>
      <c r="N11" s="62">
        <f t="shared" si="6"/>
        <v>-5.7984149124688633E-2</v>
      </c>
      <c r="O11" s="62">
        <f t="shared" si="7"/>
        <v>-5.4226768436143935E-2</v>
      </c>
      <c r="P11" s="61">
        <f t="shared" si="8"/>
        <v>0.19704425446317986</v>
      </c>
      <c r="Q11" s="63">
        <f t="shared" si="9"/>
        <v>411.77194718945026</v>
      </c>
      <c r="R11" s="62">
        <f t="shared" si="10"/>
        <v>4.9820564444404821E-3</v>
      </c>
      <c r="T11" s="64">
        <f t="shared" si="11"/>
        <v>-5.7984149124688522E-2</v>
      </c>
      <c r="U11" s="64">
        <f t="shared" si="12"/>
        <v>0</v>
      </c>
      <c r="V11" s="65">
        <f t="shared" si="13"/>
        <v>2.3815588391269542</v>
      </c>
      <c r="W11" s="65">
        <f t="shared" si="14"/>
        <v>20</v>
      </c>
      <c r="X11" s="65">
        <f t="shared" si="15"/>
        <v>594.15599999999995</v>
      </c>
      <c r="Y11" s="65">
        <f t="shared" si="16"/>
        <v>88.972999999999999</v>
      </c>
      <c r="Z11" s="65">
        <f t="shared" si="17"/>
        <v>27.602124473917094</v>
      </c>
      <c r="AA11" s="65">
        <f t="shared" si="18"/>
        <v>34.821485416900551</v>
      </c>
      <c r="AB11" s="65">
        <f t="shared" si="19"/>
        <v>123.79448541690056</v>
      </c>
      <c r="AC11" s="60">
        <f t="shared" si="20"/>
        <v>0.20835350550512083</v>
      </c>
      <c r="AD11" s="65">
        <f t="shared" si="21"/>
        <v>62.423609890817644</v>
      </c>
      <c r="AE11" s="65">
        <f t="shared" si="22"/>
        <v>62.423609890817659</v>
      </c>
      <c r="AF11" s="66">
        <f t="shared" si="23"/>
        <v>-36.016429809704583</v>
      </c>
      <c r="AG11" s="66">
        <f t="shared" si="24"/>
        <v>15.374813839753759</v>
      </c>
      <c r="AH11" s="66">
        <f t="shared" si="25"/>
        <v>0</v>
      </c>
      <c r="AI11" s="66">
        <f t="shared" si="26"/>
        <v>-2.2757201185714711</v>
      </c>
      <c r="AJ11" s="66">
        <f t="shared" si="27"/>
        <v>0</v>
      </c>
      <c r="AK11" s="66">
        <f t="shared" si="28"/>
        <v>10.608410646633942</v>
      </c>
      <c r="AL11" s="66">
        <f t="shared" si="29"/>
        <v>0</v>
      </c>
      <c r="AM11" s="67">
        <f t="shared" si="30"/>
        <v>0</v>
      </c>
      <c r="AN11" s="68">
        <f t="shared" si="31"/>
        <v>-5.4226768436144046E-2</v>
      </c>
      <c r="AO11" s="66">
        <f t="shared" si="32"/>
        <v>2.3815588391269542</v>
      </c>
      <c r="AP11" s="66">
        <f t="shared" si="33"/>
        <v>2.1845145846637744</v>
      </c>
      <c r="AQ11" s="68">
        <f t="shared" si="34"/>
        <v>-5.4226768436143935E-2</v>
      </c>
      <c r="AR11" s="61">
        <f t="shared" si="35"/>
        <v>0.50548541533622338</v>
      </c>
      <c r="AS11" s="69">
        <v>0.23</v>
      </c>
      <c r="AT11" s="72">
        <v>2E-3</v>
      </c>
    </row>
    <row r="12" spans="1:47" ht="96" customHeight="1" x14ac:dyDescent="0.45">
      <c r="A12" s="49" t="s">
        <v>240</v>
      </c>
      <c r="B12" s="56" t="str">
        <f t="shared" si="0"/>
        <v>EG3</v>
      </c>
      <c r="C12" s="57" t="s">
        <v>889</v>
      </c>
      <c r="D12" s="57" t="s">
        <v>890</v>
      </c>
      <c r="E12" s="57" t="s">
        <v>891</v>
      </c>
      <c r="G12" s="57" t="s">
        <v>884</v>
      </c>
      <c r="H12" s="59">
        <f t="shared" si="1"/>
        <v>20</v>
      </c>
      <c r="I12" s="57" t="s">
        <v>241</v>
      </c>
      <c r="J12" s="60">
        <f t="shared" si="2"/>
        <v>0.20835350550512083</v>
      </c>
      <c r="K12" s="61">
        <f t="shared" si="3"/>
        <v>-29.027679276090119</v>
      </c>
      <c r="L12" s="62">
        <f t="shared" si="4"/>
        <v>-4.8855316240331029E-2</v>
      </c>
      <c r="M12" s="60">
        <f t="shared" si="5"/>
        <v>1</v>
      </c>
      <c r="N12" s="62">
        <f t="shared" si="6"/>
        <v>-0.11243623074408593</v>
      </c>
      <c r="O12" s="62">
        <f t="shared" si="7"/>
        <v>-0.47412260837126274</v>
      </c>
      <c r="P12" s="61">
        <f t="shared" si="8"/>
        <v>0</v>
      </c>
      <c r="Q12" s="63">
        <f t="shared" si="9"/>
        <v>997.39751298511067</v>
      </c>
      <c r="R12" s="62">
        <f t="shared" si="10"/>
        <v>1.206757949674064E-2</v>
      </c>
      <c r="T12" s="64">
        <f t="shared" si="11"/>
        <v>-0.12564081005985911</v>
      </c>
      <c r="U12" s="64">
        <f t="shared" si="12"/>
        <v>-1.4877330252949857E-2</v>
      </c>
      <c r="V12" s="65">
        <f t="shared" si="13"/>
        <v>2.3304935370752746</v>
      </c>
      <c r="W12" s="65">
        <f t="shared" si="14"/>
        <v>20</v>
      </c>
      <c r="X12" s="65">
        <f t="shared" si="15"/>
        <v>594.15599999999995</v>
      </c>
      <c r="Y12" s="65">
        <f t="shared" si="16"/>
        <v>88.972999999999999</v>
      </c>
      <c r="Z12" s="65">
        <f t="shared" si="17"/>
        <v>27.602124473917094</v>
      </c>
      <c r="AA12" s="65">
        <f t="shared" si="18"/>
        <v>34.821485416900551</v>
      </c>
      <c r="AB12" s="65">
        <f t="shared" si="19"/>
        <v>123.79448541690056</v>
      </c>
      <c r="AC12" s="60">
        <f t="shared" si="20"/>
        <v>0.20835350550512083</v>
      </c>
      <c r="AD12" s="65">
        <f t="shared" si="21"/>
        <v>62.423609890817644</v>
      </c>
      <c r="AE12" s="65">
        <f t="shared" si="22"/>
        <v>62.423609890817644</v>
      </c>
      <c r="AF12" s="66">
        <f t="shared" si="23"/>
        <v>-36.016429809704583</v>
      </c>
      <c r="AG12" s="66">
        <f t="shared" si="24"/>
        <v>15.374813839753759</v>
      </c>
      <c r="AH12" s="66">
        <f t="shared" si="25"/>
        <v>0</v>
      </c>
      <c r="AI12" s="66">
        <f t="shared" si="26"/>
        <v>-4.333081697515337</v>
      </c>
      <c r="AJ12" s="66">
        <f t="shared" si="27"/>
        <v>-0.49590352364010887</v>
      </c>
      <c r="AK12" s="66">
        <f t="shared" si="28"/>
        <v>0</v>
      </c>
      <c r="AL12" s="66">
        <f t="shared" si="29"/>
        <v>-3.5570780849838517</v>
      </c>
      <c r="AM12" s="67">
        <f t="shared" si="30"/>
        <v>0</v>
      </c>
      <c r="AN12" s="68">
        <f t="shared" si="31"/>
        <v>-0.10508584231600837</v>
      </c>
      <c r="AO12" s="66">
        <f t="shared" si="32"/>
        <v>2.3304935370752746</v>
      </c>
      <c r="AP12" s="66">
        <f t="shared" si="33"/>
        <v>0</v>
      </c>
      <c r="AQ12" s="68">
        <f t="shared" si="34"/>
        <v>-0.47412260837126274</v>
      </c>
      <c r="AR12" s="61">
        <f t="shared" si="35"/>
        <v>0.3595064629247231</v>
      </c>
      <c r="AS12" s="69">
        <v>0.23</v>
      </c>
      <c r="AT12" s="72">
        <v>2E-3</v>
      </c>
    </row>
    <row r="13" spans="1:47" x14ac:dyDescent="0.45">
      <c r="C13" s="100" t="s">
        <v>892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</row>
    <row r="14" spans="1:47" ht="80" customHeight="1" x14ac:dyDescent="0.45">
      <c r="A14" s="49" t="s">
        <v>893</v>
      </c>
      <c r="C14" s="57" t="s">
        <v>894</v>
      </c>
      <c r="D14" s="57" t="s">
        <v>895</v>
      </c>
      <c r="E14" s="57" t="s">
        <v>896</v>
      </c>
      <c r="G14" s="57" t="str">
        <f>G11</f>
        <v>Phased-in price from $5 to $50 in 2034 ($20 in 2030)</v>
      </c>
      <c r="H14" s="57">
        <v>20</v>
      </c>
      <c r="I14" s="57" t="s">
        <v>897</v>
      </c>
      <c r="J14" s="73">
        <v>0.1096958432581108</v>
      </c>
      <c r="K14" s="74" t="s">
        <v>898</v>
      </c>
      <c r="M14" s="73">
        <v>1</v>
      </c>
      <c r="N14" s="73">
        <v>-3.4310575025293118E-2</v>
      </c>
      <c r="O14" s="73">
        <v>-0.15502175314713151</v>
      </c>
      <c r="P14" s="75" t="s">
        <v>899</v>
      </c>
      <c r="W14" s="76">
        <v>12.5</v>
      </c>
      <c r="X14" s="76">
        <v>488.72800000000001</v>
      </c>
      <c r="AB14" s="76">
        <v>53.611430083849989</v>
      </c>
      <c r="AC14" s="76">
        <v>0.1096958432581108</v>
      </c>
      <c r="AD14" s="76">
        <v>53.611430083849989</v>
      </c>
      <c r="AE14" s="76">
        <v>53.611430083849989</v>
      </c>
      <c r="AS14" s="73">
        <v>0.23</v>
      </c>
      <c r="AT14" s="74">
        <v>2E-3</v>
      </c>
    </row>
    <row r="15" spans="1:47" ht="80" customHeight="1" x14ac:dyDescent="0.45">
      <c r="A15" s="49" t="s">
        <v>900</v>
      </c>
      <c r="C15" s="57" t="s">
        <v>901</v>
      </c>
      <c r="D15" s="57" t="s">
        <v>902</v>
      </c>
      <c r="E15" s="57" t="s">
        <v>903</v>
      </c>
      <c r="G15" s="57" t="str">
        <f>G12</f>
        <v>Phased-in price from $5 to $50 in 2034 ($20 in 2030)</v>
      </c>
      <c r="I15" s="57" t="s">
        <v>897</v>
      </c>
      <c r="J15" s="73">
        <v>0.15</v>
      </c>
      <c r="K15" s="74" t="s">
        <v>904</v>
      </c>
      <c r="M15" s="73">
        <v>1</v>
      </c>
      <c r="O15" s="74" t="s">
        <v>905</v>
      </c>
      <c r="P15" s="75">
        <v>0</v>
      </c>
      <c r="X15" s="76">
        <v>488.72800000000001</v>
      </c>
      <c r="AB15" s="76">
        <v>53.611430083849989</v>
      </c>
      <c r="AC15" s="76">
        <v>0.1096958432581108</v>
      </c>
      <c r="AD15" s="76">
        <v>53.611430083849989</v>
      </c>
      <c r="AE15" s="76">
        <v>53.611430083849989</v>
      </c>
      <c r="AS15" s="73">
        <v>0.23</v>
      </c>
    </row>
    <row r="16" spans="1:47" ht="80" customHeight="1" x14ac:dyDescent="0.45">
      <c r="A16" s="49" t="s">
        <v>906</v>
      </c>
      <c r="C16" s="77" t="s">
        <v>907</v>
      </c>
      <c r="D16" s="57" t="s">
        <v>908</v>
      </c>
      <c r="E16" s="57" t="s">
        <v>909</v>
      </c>
      <c r="G16" s="57" t="s">
        <v>910</v>
      </c>
      <c r="I16" s="57" t="s">
        <v>911</v>
      </c>
      <c r="J16" s="73" t="s">
        <v>912</v>
      </c>
      <c r="K16" s="74" t="s">
        <v>913</v>
      </c>
      <c r="M16" s="73">
        <v>0</v>
      </c>
      <c r="O16" s="74" t="s">
        <v>914</v>
      </c>
      <c r="P16" s="75">
        <v>0</v>
      </c>
      <c r="AS16" s="74" t="s">
        <v>912</v>
      </c>
      <c r="AT16" s="74" t="s">
        <v>913</v>
      </c>
      <c r="AU16" s="75">
        <v>0</v>
      </c>
    </row>
    <row r="17" spans="1:47" ht="80" customHeight="1" x14ac:dyDescent="0.45">
      <c r="A17" s="49" t="s">
        <v>915</v>
      </c>
      <c r="C17" s="77" t="s">
        <v>916</v>
      </c>
      <c r="D17" s="57" t="s">
        <v>917</v>
      </c>
      <c r="E17" s="57" t="s">
        <v>918</v>
      </c>
      <c r="G17" s="57" t="s">
        <v>919</v>
      </c>
      <c r="I17" s="57" t="s">
        <v>920</v>
      </c>
      <c r="J17" s="73">
        <v>0</v>
      </c>
      <c r="K17" s="74" t="s">
        <v>921</v>
      </c>
      <c r="M17" s="73">
        <v>0</v>
      </c>
      <c r="O17" s="74">
        <v>0</v>
      </c>
      <c r="P17" s="75">
        <v>0</v>
      </c>
      <c r="AS17" s="73">
        <v>0</v>
      </c>
      <c r="AU17" s="75">
        <v>0</v>
      </c>
    </row>
    <row r="18" spans="1:47" ht="18" customHeight="1" x14ac:dyDescent="0.45">
      <c r="C18" s="100" t="s">
        <v>922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</row>
    <row r="19" spans="1:47" ht="80" customHeight="1" x14ac:dyDescent="0.45">
      <c r="A19" s="49">
        <v>9</v>
      </c>
      <c r="C19" s="77" t="s">
        <v>923</v>
      </c>
      <c r="E19" s="57" t="s">
        <v>924</v>
      </c>
      <c r="J19" s="73">
        <v>0</v>
      </c>
      <c r="M19" s="73">
        <v>0</v>
      </c>
      <c r="O19" s="74" t="s">
        <v>925</v>
      </c>
      <c r="P19" s="75">
        <v>0</v>
      </c>
      <c r="AS19" s="73">
        <v>0</v>
      </c>
      <c r="AU19" s="75" t="s">
        <v>926</v>
      </c>
    </row>
    <row r="20" spans="1:47" ht="80" customHeight="1" x14ac:dyDescent="0.45">
      <c r="A20" s="49">
        <v>10</v>
      </c>
      <c r="C20" s="77" t="s">
        <v>927</v>
      </c>
      <c r="D20" s="57" t="s">
        <v>928</v>
      </c>
      <c r="E20" s="57" t="s">
        <v>929</v>
      </c>
      <c r="J20" s="73">
        <v>0</v>
      </c>
      <c r="M20" s="73">
        <v>0</v>
      </c>
      <c r="O20" s="74" t="s">
        <v>930</v>
      </c>
      <c r="P20" s="75">
        <v>0</v>
      </c>
      <c r="AS20" s="73">
        <v>0</v>
      </c>
    </row>
    <row r="21" spans="1:47" ht="80" customHeight="1" x14ac:dyDescent="0.45">
      <c r="A21" s="49">
        <v>11</v>
      </c>
      <c r="C21" s="77" t="s">
        <v>931</v>
      </c>
      <c r="D21" s="57" t="s">
        <v>932</v>
      </c>
      <c r="E21" s="57" t="s">
        <v>933</v>
      </c>
      <c r="J21" s="73">
        <v>0</v>
      </c>
      <c r="M21" s="73">
        <v>0</v>
      </c>
      <c r="O21" s="74" t="s">
        <v>925</v>
      </c>
      <c r="P21" s="75">
        <v>0</v>
      </c>
      <c r="AS21" s="73">
        <v>0</v>
      </c>
    </row>
    <row r="22" spans="1:47" ht="80" customHeight="1" x14ac:dyDescent="0.45">
      <c r="A22" s="49">
        <v>12</v>
      </c>
      <c r="C22" s="77" t="s">
        <v>934</v>
      </c>
      <c r="D22" s="57" t="s">
        <v>935</v>
      </c>
      <c r="E22" s="57" t="s">
        <v>936</v>
      </c>
      <c r="J22" s="73">
        <v>0</v>
      </c>
      <c r="M22" s="73">
        <v>0</v>
      </c>
      <c r="O22" s="74" t="s">
        <v>930</v>
      </c>
      <c r="P22" s="75">
        <v>0</v>
      </c>
      <c r="AS22" s="73">
        <v>0</v>
      </c>
    </row>
    <row r="24" spans="1:47" x14ac:dyDescent="0.45">
      <c r="C24" s="3" t="s">
        <v>937</v>
      </c>
    </row>
    <row r="26" spans="1:47" ht="26.25" x14ac:dyDescent="0.45">
      <c r="C26" s="77" t="s">
        <v>938</v>
      </c>
      <c r="F26" s="78">
        <v>2027</v>
      </c>
      <c r="G26" s="78">
        <v>2028</v>
      </c>
      <c r="H26" s="78">
        <v>2029</v>
      </c>
      <c r="I26" s="78">
        <v>2030</v>
      </c>
      <c r="J26" s="78">
        <v>2031</v>
      </c>
      <c r="K26" s="78">
        <v>2032</v>
      </c>
      <c r="L26" s="78">
        <v>2033</v>
      </c>
      <c r="M26" s="78">
        <v>2034</v>
      </c>
    </row>
    <row r="27" spans="1:47" ht="25.5" x14ac:dyDescent="0.45">
      <c r="C27" s="57" t="s">
        <v>939</v>
      </c>
      <c r="F27" s="29">
        <f t="shared" ref="F27:M27" si="36">INDEX(YV_FLAT,MATCH(F$26,YV_Years,0))</f>
        <v>0</v>
      </c>
      <c r="G27" s="29">
        <f t="shared" si="36"/>
        <v>20</v>
      </c>
      <c r="H27" s="29">
        <f t="shared" si="36"/>
        <v>20</v>
      </c>
      <c r="I27" s="29">
        <f t="shared" si="36"/>
        <v>20</v>
      </c>
      <c r="J27" s="29">
        <f t="shared" si="36"/>
        <v>20</v>
      </c>
      <c r="K27" s="29">
        <f t="shared" si="36"/>
        <v>20</v>
      </c>
      <c r="L27" s="29">
        <f t="shared" si="36"/>
        <v>20</v>
      </c>
      <c r="M27" s="29">
        <f t="shared" si="36"/>
        <v>20</v>
      </c>
    </row>
    <row r="28" spans="1:47" ht="25.5" x14ac:dyDescent="0.45">
      <c r="C28" s="57" t="s">
        <v>940</v>
      </c>
      <c r="F28" s="29">
        <f t="shared" ref="F28:M28" si="37">INDEX(YV_RAMP,MATCH(F$26,YV_Years,0))</f>
        <v>0</v>
      </c>
      <c r="G28" s="29">
        <f t="shared" si="37"/>
        <v>5</v>
      </c>
      <c r="H28" s="29">
        <f t="shared" si="37"/>
        <v>12.5</v>
      </c>
      <c r="I28" s="29">
        <f t="shared" si="37"/>
        <v>20</v>
      </c>
      <c r="J28" s="29">
        <f t="shared" si="37"/>
        <v>27.5</v>
      </c>
      <c r="K28" s="29">
        <f t="shared" si="37"/>
        <v>35</v>
      </c>
      <c r="L28" s="29">
        <f t="shared" si="37"/>
        <v>42.5</v>
      </c>
      <c r="M28" s="29">
        <f t="shared" si="37"/>
        <v>50</v>
      </c>
    </row>
    <row r="29" spans="1:47" x14ac:dyDescent="0.45">
      <c r="C29" s="56" t="s">
        <v>941</v>
      </c>
      <c r="F29" s="79">
        <f t="shared" ref="F29:M29" si="38">INDEX(YV_CBF,MATCH(F$26,YV_Years,0))</f>
        <v>0.05</v>
      </c>
      <c r="G29" s="79">
        <f t="shared" si="38"/>
        <v>0.1</v>
      </c>
      <c r="H29" s="79">
        <f t="shared" si="38"/>
        <v>0.22500000000000001</v>
      </c>
      <c r="I29" s="79">
        <f t="shared" si="38"/>
        <v>0.48499999999999999</v>
      </c>
      <c r="J29" s="79">
        <f t="shared" si="38"/>
        <v>0.61</v>
      </c>
      <c r="K29" s="79">
        <f t="shared" si="38"/>
        <v>0.73499999999999999</v>
      </c>
      <c r="L29" s="79">
        <f t="shared" si="38"/>
        <v>0.86</v>
      </c>
      <c r="M29" s="79">
        <f t="shared" si="38"/>
        <v>1</v>
      </c>
    </row>
  </sheetData>
  <mergeCells count="3">
    <mergeCell ref="C6:R6"/>
    <mergeCell ref="C13:R13"/>
    <mergeCell ref="C18:R18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2" width="10" customWidth="1"/>
    <col min="3" max="8" width="14" customWidth="1"/>
    <col min="9" max="10" width="16" customWidth="1"/>
    <col min="11" max="11" width="60" customWidth="1"/>
  </cols>
  <sheetData>
    <row r="1" spans="1:11" ht="22.05" customHeight="1" x14ac:dyDescent="0.45">
      <c r="A1" s="90" t="s">
        <v>942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45">
      <c r="A2" s="97" t="s">
        <v>943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4" spans="1:11" x14ac:dyDescent="0.45">
      <c r="A4" s="93" t="s">
        <v>944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26.25" x14ac:dyDescent="0.45">
      <c r="A5" s="4" t="s">
        <v>528</v>
      </c>
      <c r="B5" s="4" t="s">
        <v>214</v>
      </c>
      <c r="C5" s="4" t="s">
        <v>945</v>
      </c>
      <c r="D5" s="4" t="s">
        <v>946</v>
      </c>
      <c r="E5" s="4" t="s">
        <v>947</v>
      </c>
      <c r="F5" s="4" t="s">
        <v>948</v>
      </c>
      <c r="G5" s="4" t="s">
        <v>949</v>
      </c>
      <c r="H5" s="4" t="s">
        <v>950</v>
      </c>
      <c r="I5" s="4" t="s">
        <v>951</v>
      </c>
      <c r="J5" s="4"/>
      <c r="K5" s="4" t="s">
        <v>952</v>
      </c>
    </row>
    <row r="6" spans="1:11" x14ac:dyDescent="0.45">
      <c r="A6" s="5" t="s">
        <v>953</v>
      </c>
      <c r="B6" s="32" t="s">
        <v>223</v>
      </c>
      <c r="C6" s="79">
        <v>0.72</v>
      </c>
      <c r="D6" s="79">
        <v>0.72</v>
      </c>
      <c r="E6" s="20">
        <f t="shared" ref="E6:E11" si="0">INDEX(SumTbl,MATCH("J",SumKeys,0),MATCH($B6,SumHdr,0))</f>
        <v>0.63195774412258832</v>
      </c>
      <c r="F6" s="80"/>
      <c r="G6" s="80"/>
      <c r="H6" s="79">
        <f t="shared" ref="H6:H37" si="1">IF(ISNUMBER(C6),E6-C6,"")</f>
        <v>-8.8042255877411657E-2</v>
      </c>
      <c r="I6" s="79" t="str">
        <f t="shared" ref="I6:I37" si="2">IF(ISNUMBER(F6),E6-IF(Conv="NOPHASE",G6,F6),"")</f>
        <v/>
      </c>
      <c r="K6" s="2"/>
    </row>
    <row r="7" spans="1:11" x14ac:dyDescent="0.45">
      <c r="A7" s="13"/>
      <c r="B7" s="32" t="s">
        <v>228</v>
      </c>
      <c r="C7" s="79">
        <v>0.65</v>
      </c>
      <c r="D7" s="79">
        <v>0.65</v>
      </c>
      <c r="E7" s="20">
        <f t="shared" si="0"/>
        <v>0.57335110644342568</v>
      </c>
      <c r="F7" s="80"/>
      <c r="G7" s="80"/>
      <c r="H7" s="79">
        <f t="shared" si="1"/>
        <v>-7.6648893556574338E-2</v>
      </c>
      <c r="I7" s="79" t="str">
        <f t="shared" si="2"/>
        <v/>
      </c>
      <c r="K7" s="2"/>
    </row>
    <row r="8" spans="1:11" x14ac:dyDescent="0.45">
      <c r="A8" s="13"/>
      <c r="B8" s="32" t="s">
        <v>230</v>
      </c>
      <c r="C8" s="79">
        <v>0.65</v>
      </c>
      <c r="D8" s="79">
        <v>0.65</v>
      </c>
      <c r="E8" s="20">
        <f t="shared" si="0"/>
        <v>0.57335110644342568</v>
      </c>
      <c r="F8" s="80"/>
      <c r="G8" s="80"/>
      <c r="H8" s="79">
        <f t="shared" si="1"/>
        <v>-7.6648893556574338E-2</v>
      </c>
      <c r="I8" s="79" t="str">
        <f t="shared" si="2"/>
        <v/>
      </c>
      <c r="K8" s="2"/>
    </row>
    <row r="9" spans="1:11" x14ac:dyDescent="0.45">
      <c r="A9" s="13"/>
      <c r="B9" s="32" t="s">
        <v>233</v>
      </c>
      <c r="C9" s="79">
        <v>0.24299999999999999</v>
      </c>
      <c r="D9" s="79">
        <v>0.2</v>
      </c>
      <c r="E9" s="20">
        <f t="shared" si="0"/>
        <v>0.20835350550512083</v>
      </c>
      <c r="F9" s="80"/>
      <c r="G9" s="80"/>
      <c r="H9" s="79">
        <f t="shared" si="1"/>
        <v>-3.4646494494879165E-2</v>
      </c>
      <c r="I9" s="79" t="str">
        <f t="shared" si="2"/>
        <v/>
      </c>
      <c r="K9" s="2"/>
    </row>
    <row r="10" spans="1:11" x14ac:dyDescent="0.45">
      <c r="A10" s="13"/>
      <c r="B10" s="32" t="s">
        <v>237</v>
      </c>
      <c r="C10" s="79">
        <v>0.24299999999999999</v>
      </c>
      <c r="D10" s="79">
        <v>0.2</v>
      </c>
      <c r="E10" s="20">
        <f t="shared" si="0"/>
        <v>0.20835350550512083</v>
      </c>
      <c r="F10" s="80"/>
      <c r="G10" s="80"/>
      <c r="H10" s="79">
        <f t="shared" si="1"/>
        <v>-3.4646494494879165E-2</v>
      </c>
      <c r="I10" s="79" t="str">
        <f t="shared" si="2"/>
        <v/>
      </c>
      <c r="K10" s="2"/>
    </row>
    <row r="11" spans="1:11" x14ac:dyDescent="0.45">
      <c r="A11" s="13"/>
      <c r="B11" s="32" t="s">
        <v>240</v>
      </c>
      <c r="C11" s="79">
        <v>0.24299999999999999</v>
      </c>
      <c r="D11" s="79">
        <v>0.2</v>
      </c>
      <c r="E11" s="20">
        <f t="shared" si="0"/>
        <v>0.20835350550512083</v>
      </c>
      <c r="F11" s="80"/>
      <c r="G11" s="80"/>
      <c r="H11" s="79">
        <f t="shared" si="1"/>
        <v>-3.4646494494879165E-2</v>
      </c>
      <c r="I11" s="79" t="str">
        <f t="shared" si="2"/>
        <v/>
      </c>
      <c r="K11" s="2"/>
    </row>
    <row r="12" spans="1:11" x14ac:dyDescent="0.45">
      <c r="A12" s="5" t="s">
        <v>954</v>
      </c>
      <c r="B12" s="32" t="s">
        <v>223</v>
      </c>
      <c r="C12" s="81">
        <v>-41.621000000000002</v>
      </c>
      <c r="D12" s="81">
        <v>-41.6</v>
      </c>
      <c r="E12" s="82">
        <f t="shared" ref="E12:E17" si="3">INDEX(SumTbl,MATCH("K",SumKeys,0),MATCH($B12,SumHdr,0))</f>
        <v>-29.660331136192728</v>
      </c>
      <c r="F12" s="80"/>
      <c r="G12" s="80"/>
      <c r="H12" s="81">
        <f t="shared" si="1"/>
        <v>11.960668863807275</v>
      </c>
      <c r="I12" s="81" t="str">
        <f t="shared" si="2"/>
        <v/>
      </c>
      <c r="K12" s="2"/>
    </row>
    <row r="13" spans="1:11" x14ac:dyDescent="0.45">
      <c r="A13" s="13"/>
      <c r="B13" s="32" t="s">
        <v>228</v>
      </c>
      <c r="C13" s="81">
        <v>-38.877000000000002</v>
      </c>
      <c r="D13" s="81">
        <v>-38.9</v>
      </c>
      <c r="E13" s="82">
        <f t="shared" si="3"/>
        <v>-27.106460402078543</v>
      </c>
      <c r="F13" s="80"/>
      <c r="G13" s="80"/>
      <c r="H13" s="81">
        <f t="shared" si="1"/>
        <v>11.770539597921459</v>
      </c>
      <c r="I13" s="81" t="str">
        <f t="shared" si="2"/>
        <v/>
      </c>
      <c r="K13" s="2"/>
    </row>
    <row r="14" spans="1:11" x14ac:dyDescent="0.45">
      <c r="A14" s="13"/>
      <c r="B14" s="32" t="s">
        <v>230</v>
      </c>
      <c r="C14" s="81">
        <v>-41.002000000000002</v>
      </c>
      <c r="D14" s="81">
        <v>-41</v>
      </c>
      <c r="E14" s="82">
        <f t="shared" si="3"/>
        <v>-28.623460402078539</v>
      </c>
      <c r="F14" s="80"/>
      <c r="G14" s="80"/>
      <c r="H14" s="81">
        <f t="shared" si="1"/>
        <v>12.378539597921463</v>
      </c>
      <c r="I14" s="81" t="str">
        <f t="shared" si="2"/>
        <v/>
      </c>
      <c r="K14" s="2"/>
    </row>
    <row r="15" spans="1:11" x14ac:dyDescent="0.45">
      <c r="A15" s="13"/>
      <c r="B15" s="32" t="s">
        <v>233</v>
      </c>
      <c r="C15" s="81">
        <v>-21.542000000000002</v>
      </c>
      <c r="D15" s="81">
        <v>-21.5</v>
      </c>
      <c r="E15" s="82">
        <f t="shared" si="3"/>
        <v>-23.379947106143597</v>
      </c>
      <c r="F15" s="80"/>
      <c r="G15" s="80"/>
      <c r="H15" s="81">
        <f t="shared" si="1"/>
        <v>-1.837947106143595</v>
      </c>
      <c r="I15" s="81" t="str">
        <f t="shared" si="2"/>
        <v/>
      </c>
      <c r="K15" s="2"/>
    </row>
    <row r="16" spans="1:11" x14ac:dyDescent="0.45">
      <c r="A16" s="13"/>
      <c r="B16" s="32" t="s">
        <v>237</v>
      </c>
      <c r="C16" s="81">
        <v>-18.123000000000001</v>
      </c>
      <c r="D16" s="81">
        <v>-18.100000000000001</v>
      </c>
      <c r="E16" s="82">
        <f t="shared" si="3"/>
        <v>-12.308925441888352</v>
      </c>
      <c r="F16" s="80"/>
      <c r="G16" s="80"/>
      <c r="H16" s="81">
        <f t="shared" si="1"/>
        <v>5.8140745581116491</v>
      </c>
      <c r="I16" s="81" t="str">
        <f t="shared" si="2"/>
        <v/>
      </c>
      <c r="K16" s="2"/>
    </row>
    <row r="17" spans="1:11" x14ac:dyDescent="0.45">
      <c r="A17" s="13"/>
      <c r="B17" s="32" t="s">
        <v>240</v>
      </c>
      <c r="C17" s="81">
        <v>-24.484999999999999</v>
      </c>
      <c r="D17" s="81">
        <v>-24.5</v>
      </c>
      <c r="E17" s="82">
        <f t="shared" si="3"/>
        <v>-29.027679276090119</v>
      </c>
      <c r="F17" s="80"/>
      <c r="G17" s="80"/>
      <c r="H17" s="81">
        <f t="shared" si="1"/>
        <v>-4.5426792760901193</v>
      </c>
      <c r="I17" s="81" t="str">
        <f t="shared" si="2"/>
        <v/>
      </c>
      <c r="K17" s="2"/>
    </row>
    <row r="18" spans="1:11" x14ac:dyDescent="0.45">
      <c r="A18" s="5" t="s">
        <v>955</v>
      </c>
      <c r="B18" s="32" t="s">
        <v>223</v>
      </c>
      <c r="C18" s="83">
        <v>-8.5199999999999998E-2</v>
      </c>
      <c r="D18" s="83"/>
      <c r="E18" s="24">
        <f t="shared" ref="E18:E23" si="4">INDEX(SumTbl,MATCH("L",SumKeys,0),MATCH($B18,SumHdr,0))</f>
        <v>-4.9920107069848202E-2</v>
      </c>
      <c r="F18" s="80"/>
      <c r="G18" s="80"/>
      <c r="H18" s="83">
        <f t="shared" si="1"/>
        <v>3.5279892930151796E-2</v>
      </c>
      <c r="I18" s="83" t="str">
        <f t="shared" si="2"/>
        <v/>
      </c>
      <c r="K18" s="2"/>
    </row>
    <row r="19" spans="1:11" x14ac:dyDescent="0.45">
      <c r="A19" s="13"/>
      <c r="B19" s="32" t="s">
        <v>228</v>
      </c>
      <c r="C19" s="83">
        <v>-7.9500000000000001E-2</v>
      </c>
      <c r="D19" s="83"/>
      <c r="E19" s="24">
        <f t="shared" si="4"/>
        <v>-4.5621790240405795E-2</v>
      </c>
      <c r="F19" s="80"/>
      <c r="G19" s="80"/>
      <c r="H19" s="83">
        <f t="shared" si="1"/>
        <v>3.3878209759594206E-2</v>
      </c>
      <c r="I19" s="83" t="str">
        <f t="shared" si="2"/>
        <v/>
      </c>
      <c r="K19" s="2"/>
    </row>
    <row r="20" spans="1:11" x14ac:dyDescent="0.45">
      <c r="A20" s="13"/>
      <c r="B20" s="32" t="s">
        <v>230</v>
      </c>
      <c r="C20" s="83">
        <v>-8.3900000000000002E-2</v>
      </c>
      <c r="D20" s="83"/>
      <c r="E20" s="24">
        <f t="shared" si="4"/>
        <v>-4.8174991756505935E-2</v>
      </c>
      <c r="F20" s="80"/>
      <c r="G20" s="80"/>
      <c r="H20" s="83">
        <f t="shared" si="1"/>
        <v>3.5725008243494068E-2</v>
      </c>
      <c r="I20" s="83" t="str">
        <f t="shared" si="2"/>
        <v/>
      </c>
      <c r="K20" s="2"/>
    </row>
    <row r="21" spans="1:11" x14ac:dyDescent="0.45">
      <c r="A21" s="13"/>
      <c r="B21" s="32" t="s">
        <v>233</v>
      </c>
      <c r="C21" s="83">
        <v>-4.41E-2</v>
      </c>
      <c r="D21" s="83"/>
      <c r="E21" s="24">
        <f t="shared" si="4"/>
        <v>-3.9349846010380433E-2</v>
      </c>
      <c r="F21" s="80"/>
      <c r="G21" s="80"/>
      <c r="H21" s="83">
        <f t="shared" si="1"/>
        <v>4.7501539896195669E-3</v>
      </c>
      <c r="I21" s="83" t="str">
        <f t="shared" si="2"/>
        <v/>
      </c>
      <c r="K21" s="2"/>
    </row>
    <row r="22" spans="1:11" x14ac:dyDescent="0.45">
      <c r="A22" s="13"/>
      <c r="B22" s="32" t="s">
        <v>237</v>
      </c>
      <c r="C22" s="83">
        <v>-3.7100000000000001E-2</v>
      </c>
      <c r="D22" s="83"/>
      <c r="E22" s="24">
        <f t="shared" si="4"/>
        <v>-2.071665596558539E-2</v>
      </c>
      <c r="F22" s="80"/>
      <c r="G22" s="80"/>
      <c r="H22" s="83">
        <f t="shared" si="1"/>
        <v>1.6383344034414611E-2</v>
      </c>
      <c r="I22" s="83" t="str">
        <f t="shared" si="2"/>
        <v/>
      </c>
      <c r="K22" s="2"/>
    </row>
    <row r="23" spans="1:11" x14ac:dyDescent="0.45">
      <c r="A23" s="13"/>
      <c r="B23" s="32" t="s">
        <v>240</v>
      </c>
      <c r="C23" s="83">
        <v>-5.0099999999999999E-2</v>
      </c>
      <c r="D23" s="83"/>
      <c r="E23" s="24">
        <f t="shared" si="4"/>
        <v>-4.8855316240331029E-2</v>
      </c>
      <c r="F23" s="80"/>
      <c r="G23" s="80"/>
      <c r="H23" s="83">
        <f t="shared" si="1"/>
        <v>1.24468375966897E-3</v>
      </c>
      <c r="I23" s="83" t="str">
        <f t="shared" si="2"/>
        <v/>
      </c>
      <c r="K23" s="2"/>
    </row>
    <row r="24" spans="1:11" x14ac:dyDescent="0.45">
      <c r="A24" s="5" t="s">
        <v>759</v>
      </c>
      <c r="B24" s="32" t="s">
        <v>223</v>
      </c>
      <c r="C24" s="79">
        <v>1</v>
      </c>
      <c r="D24" s="79">
        <v>1</v>
      </c>
      <c r="E24" s="20">
        <f t="shared" ref="E24:E29" si="5">INDEX(SumTbl,MATCH("M",SumKeys,0),MATCH($B24,SumHdr,0))</f>
        <v>1</v>
      </c>
      <c r="F24" s="79">
        <v>1</v>
      </c>
      <c r="G24" s="79">
        <v>1</v>
      </c>
      <c r="H24" s="79">
        <f t="shared" si="1"/>
        <v>0</v>
      </c>
      <c r="I24" s="79">
        <f t="shared" si="2"/>
        <v>0</v>
      </c>
      <c r="K24" s="2"/>
    </row>
    <row r="25" spans="1:11" x14ac:dyDescent="0.45">
      <c r="A25" s="13"/>
      <c r="B25" s="32" t="s">
        <v>228</v>
      </c>
      <c r="C25" s="79">
        <v>0.44500000000000001</v>
      </c>
      <c r="D25" s="79">
        <v>0.44</v>
      </c>
      <c r="E25" s="20">
        <f t="shared" si="5"/>
        <v>0.44113056794060146</v>
      </c>
      <c r="F25" s="79">
        <v>0.44505846431403112</v>
      </c>
      <c r="G25" s="79">
        <v>0.44505846431403112</v>
      </c>
      <c r="H25" s="79">
        <f t="shared" si="1"/>
        <v>-3.8694320593985476E-3</v>
      </c>
      <c r="I25" s="79">
        <f t="shared" si="2"/>
        <v>-3.9278963734296624E-3</v>
      </c>
      <c r="K25" s="2"/>
    </row>
    <row r="26" spans="1:11" x14ac:dyDescent="0.45">
      <c r="A26" s="13"/>
      <c r="B26" s="32" t="s">
        <v>230</v>
      </c>
      <c r="C26" s="79">
        <v>0.44500000000000001</v>
      </c>
      <c r="D26" s="79">
        <v>0.44</v>
      </c>
      <c r="E26" s="20">
        <f t="shared" si="5"/>
        <v>0.44113056794060146</v>
      </c>
      <c r="F26" s="79">
        <v>0.44505846431403112</v>
      </c>
      <c r="G26" s="79">
        <v>0.44505846431403112</v>
      </c>
      <c r="H26" s="79">
        <f t="shared" si="1"/>
        <v>-3.8694320593985476E-3</v>
      </c>
      <c r="I26" s="79">
        <f t="shared" si="2"/>
        <v>-3.9278963734296624E-3</v>
      </c>
      <c r="K26" s="2"/>
    </row>
    <row r="27" spans="1:11" x14ac:dyDescent="0.45">
      <c r="A27" s="13"/>
      <c r="B27" s="32" t="s">
        <v>233</v>
      </c>
      <c r="C27" s="79">
        <v>1</v>
      </c>
      <c r="D27" s="79">
        <v>1</v>
      </c>
      <c r="E27" s="20">
        <f t="shared" si="5"/>
        <v>1</v>
      </c>
      <c r="F27" s="79">
        <v>1</v>
      </c>
      <c r="G27" s="79">
        <v>1</v>
      </c>
      <c r="H27" s="79">
        <f t="shared" si="1"/>
        <v>0</v>
      </c>
      <c r="I27" s="79">
        <f t="shared" si="2"/>
        <v>0</v>
      </c>
      <c r="K27" s="2"/>
    </row>
    <row r="28" spans="1:11" x14ac:dyDescent="0.45">
      <c r="A28" s="13"/>
      <c r="B28" s="32" t="s">
        <v>237</v>
      </c>
      <c r="C28" s="79">
        <v>1</v>
      </c>
      <c r="D28" s="79">
        <v>1</v>
      </c>
      <c r="E28" s="20">
        <f t="shared" si="5"/>
        <v>1.0000000000000002</v>
      </c>
      <c r="F28" s="79">
        <v>1</v>
      </c>
      <c r="G28" s="79">
        <v>1</v>
      </c>
      <c r="H28" s="79">
        <f t="shared" si="1"/>
        <v>2.2204460492503131E-16</v>
      </c>
      <c r="I28" s="79">
        <f t="shared" si="2"/>
        <v>2.2204460492503131E-16</v>
      </c>
      <c r="K28" s="2"/>
    </row>
    <row r="29" spans="1:11" x14ac:dyDescent="0.45">
      <c r="A29" s="13"/>
      <c r="B29" s="32" t="s">
        <v>240</v>
      </c>
      <c r="C29" s="79">
        <v>1</v>
      </c>
      <c r="D29" s="79">
        <v>1</v>
      </c>
      <c r="E29" s="20">
        <f t="shared" si="5"/>
        <v>1</v>
      </c>
      <c r="F29" s="79">
        <v>1</v>
      </c>
      <c r="G29" s="79">
        <v>1</v>
      </c>
      <c r="H29" s="79">
        <f t="shared" si="1"/>
        <v>0</v>
      </c>
      <c r="I29" s="79">
        <f t="shared" si="2"/>
        <v>0</v>
      </c>
      <c r="K29" s="2"/>
    </row>
    <row r="30" spans="1:11" x14ac:dyDescent="0.45">
      <c r="A30" s="5" t="s">
        <v>956</v>
      </c>
      <c r="B30" s="32" t="s">
        <v>223</v>
      </c>
      <c r="C30" s="83">
        <v>-7.5700000000000003E-2</v>
      </c>
      <c r="D30" s="83">
        <v>-7.5999999999999998E-2</v>
      </c>
      <c r="E30" s="24">
        <f t="shared" ref="E30:E35" si="6">INDEX(SumTbl,MATCH("N",SumKeys,0),MATCH($B30,SumHdr,0))</f>
        <v>-5.7975788371224191E-2</v>
      </c>
      <c r="F30" s="83">
        <v>-1.1045756989641159E-2</v>
      </c>
      <c r="G30" s="83">
        <v>-1.1045756989641159E-2</v>
      </c>
      <c r="H30" s="83">
        <f t="shared" si="1"/>
        <v>1.7724211628775813E-2</v>
      </c>
      <c r="I30" s="83">
        <f t="shared" si="2"/>
        <v>-4.6930031381583033E-2</v>
      </c>
      <c r="K30" s="2"/>
    </row>
    <row r="31" spans="1:11" x14ac:dyDescent="0.45">
      <c r="A31" s="13"/>
      <c r="B31" s="32" t="s">
        <v>228</v>
      </c>
      <c r="C31" s="83">
        <v>-5.4899999999999997E-2</v>
      </c>
      <c r="D31" s="83">
        <v>-5.5E-2</v>
      </c>
      <c r="E31" s="24">
        <f t="shared" si="6"/>
        <v>-2.1477246481384715E-2</v>
      </c>
      <c r="F31" s="83">
        <v>0</v>
      </c>
      <c r="G31" s="83">
        <v>0</v>
      </c>
      <c r="H31" s="83">
        <f t="shared" si="1"/>
        <v>3.3422753518615282E-2</v>
      </c>
      <c r="I31" s="83">
        <f t="shared" si="2"/>
        <v>-2.1477246481384715E-2</v>
      </c>
      <c r="K31" s="2"/>
    </row>
    <row r="32" spans="1:11" x14ac:dyDescent="0.45">
      <c r="A32" s="13"/>
      <c r="B32" s="32" t="s">
        <v>230</v>
      </c>
      <c r="C32" s="83">
        <v>-5.4899999999999997E-2</v>
      </c>
      <c r="D32" s="83">
        <v>-5.5E-2</v>
      </c>
      <c r="E32" s="24">
        <f t="shared" si="6"/>
        <v>-2.1477246481384715E-2</v>
      </c>
      <c r="F32" s="83">
        <v>0</v>
      </c>
      <c r="G32" s="83">
        <v>0</v>
      </c>
      <c r="H32" s="83">
        <f t="shared" si="1"/>
        <v>3.3422753518615282E-2</v>
      </c>
      <c r="I32" s="83">
        <f t="shared" si="2"/>
        <v>-2.1477246481384715E-2</v>
      </c>
      <c r="K32" s="2"/>
    </row>
    <row r="33" spans="1:11" x14ac:dyDescent="0.45">
      <c r="A33" s="13"/>
      <c r="B33" s="32" t="s">
        <v>233</v>
      </c>
      <c r="C33" s="83">
        <v>-7.5700000000000003E-2</v>
      </c>
      <c r="D33" s="83">
        <v>-7.5999999999999998E-2</v>
      </c>
      <c r="E33" s="24">
        <f t="shared" si="6"/>
        <v>-5.7975788371224191E-2</v>
      </c>
      <c r="F33" s="83">
        <v>-1.1045756989641159E-2</v>
      </c>
      <c r="G33" s="83">
        <v>-1.1045756989641159E-2</v>
      </c>
      <c r="H33" s="83">
        <f t="shared" si="1"/>
        <v>1.7724211628775813E-2</v>
      </c>
      <c r="I33" s="83">
        <f t="shared" si="2"/>
        <v>-4.6930031381583033E-2</v>
      </c>
      <c r="K33" s="2"/>
    </row>
    <row r="34" spans="1:11" x14ac:dyDescent="0.45">
      <c r="A34" s="13"/>
      <c r="B34" s="32" t="s">
        <v>237</v>
      </c>
      <c r="C34" s="83">
        <v>-7.5700000000000003E-2</v>
      </c>
      <c r="D34" s="83">
        <v>-7.5999999999999998E-2</v>
      </c>
      <c r="E34" s="24">
        <f t="shared" si="6"/>
        <v>-5.7984149124688633E-2</v>
      </c>
      <c r="F34" s="83">
        <v>-1.1054339904555619E-2</v>
      </c>
      <c r="G34" s="83">
        <v>-1.1054339904555619E-2</v>
      </c>
      <c r="H34" s="83">
        <f t="shared" si="1"/>
        <v>1.771585087531137E-2</v>
      </c>
      <c r="I34" s="83">
        <f t="shared" si="2"/>
        <v>-4.6929809220133012E-2</v>
      </c>
      <c r="K34" s="2"/>
    </row>
    <row r="35" spans="1:11" x14ac:dyDescent="0.45">
      <c r="A35" s="13"/>
      <c r="B35" s="32" t="s">
        <v>240</v>
      </c>
      <c r="C35" s="83">
        <v>-0.13059999999999999</v>
      </c>
      <c r="D35" s="83">
        <v>-0.13100000000000001</v>
      </c>
      <c r="E35" s="24">
        <f t="shared" si="6"/>
        <v>-0.11243623074408593</v>
      </c>
      <c r="F35" s="83">
        <v>-1.1045756989641159E-2</v>
      </c>
      <c r="G35" s="83">
        <v>-1.1045756989641159E-2</v>
      </c>
      <c r="H35" s="83">
        <f t="shared" si="1"/>
        <v>1.8163769255914064E-2</v>
      </c>
      <c r="I35" s="83">
        <f t="shared" si="2"/>
        <v>-0.10139047375444477</v>
      </c>
      <c r="K35" s="2"/>
    </row>
    <row r="36" spans="1:11" x14ac:dyDescent="0.45">
      <c r="A36" s="5" t="s">
        <v>957</v>
      </c>
      <c r="B36" s="32" t="s">
        <v>223</v>
      </c>
      <c r="C36" s="83">
        <v>-0.2606</v>
      </c>
      <c r="D36" s="83">
        <v>-0.26100000000000001</v>
      </c>
      <c r="E36" s="24">
        <f t="shared" ref="E36:E41" si="7">INDEX(SumTbl,MATCH("O",SumKeys,0),MATCH($B36,SumHdr,0))</f>
        <v>-0.44423634846247628</v>
      </c>
      <c r="F36" s="83">
        <v>-0.42067132163307319</v>
      </c>
      <c r="G36" s="83">
        <v>-0.211299904539061</v>
      </c>
      <c r="H36" s="83">
        <f t="shared" si="1"/>
        <v>-0.18363634846247628</v>
      </c>
      <c r="I36" s="83">
        <f t="shared" si="2"/>
        <v>-2.3565026829403091E-2</v>
      </c>
      <c r="K36" s="2"/>
    </row>
    <row r="37" spans="1:11" x14ac:dyDescent="0.45">
      <c r="A37" s="13"/>
      <c r="B37" s="32" t="s">
        <v>228</v>
      </c>
      <c r="C37" s="83">
        <v>-0.13900000000000001</v>
      </c>
      <c r="D37" s="83">
        <v>-0.13900000000000001</v>
      </c>
      <c r="E37" s="24">
        <f t="shared" si="7"/>
        <v>-0.23123966815465757</v>
      </c>
      <c r="F37" s="83">
        <v>-0.225611423397059</v>
      </c>
      <c r="G37" s="83">
        <v>-0.10942154034757361</v>
      </c>
      <c r="H37" s="83">
        <f t="shared" si="1"/>
        <v>-9.2239668154657561E-2</v>
      </c>
      <c r="I37" s="83">
        <f t="shared" si="2"/>
        <v>-5.6282447575985717E-3</v>
      </c>
      <c r="K37" s="2"/>
    </row>
    <row r="38" spans="1:11" x14ac:dyDescent="0.45">
      <c r="A38" s="13"/>
      <c r="B38" s="32" t="s">
        <v>230</v>
      </c>
      <c r="C38" s="83">
        <v>-0.13900000000000001</v>
      </c>
      <c r="D38" s="83">
        <v>-0.13900000000000001</v>
      </c>
      <c r="E38" s="24">
        <f t="shared" si="7"/>
        <v>-0.23123966815465757</v>
      </c>
      <c r="F38" s="83">
        <v>-0.225611423397059</v>
      </c>
      <c r="G38" s="83">
        <v>-0.10942154034757361</v>
      </c>
      <c r="H38" s="83">
        <f t="shared" ref="H38:H69" si="8">IF(ISNUMBER(C38),E38-C38,"")</f>
        <v>-9.2239668154657561E-2</v>
      </c>
      <c r="I38" s="83">
        <f t="shared" ref="I38:I69" si="9">IF(ISNUMBER(F38),E38-IF(Conv="NOPHASE",G38,F38),"")</f>
        <v>-5.6282447575985717E-3</v>
      </c>
      <c r="K38" s="2"/>
    </row>
    <row r="39" spans="1:11" x14ac:dyDescent="0.45">
      <c r="A39" s="13"/>
      <c r="B39" s="32" t="s">
        <v>233</v>
      </c>
      <c r="C39" s="83">
        <v>-0.2606</v>
      </c>
      <c r="D39" s="83">
        <v>-0.26100000000000001</v>
      </c>
      <c r="E39" s="24">
        <f t="shared" si="7"/>
        <v>-0.44423634846247628</v>
      </c>
      <c r="F39" s="83">
        <v>-0.42067132163307319</v>
      </c>
      <c r="G39" s="83">
        <v>-0.211299904539061</v>
      </c>
      <c r="H39" s="83">
        <f t="shared" si="8"/>
        <v>-0.18363634846247628</v>
      </c>
      <c r="I39" s="83">
        <f t="shared" si="9"/>
        <v>-2.3565026829403091E-2</v>
      </c>
      <c r="K39" s="2"/>
    </row>
    <row r="40" spans="1:11" x14ac:dyDescent="0.45">
      <c r="A40" s="13"/>
      <c r="B40" s="32" t="s">
        <v>237</v>
      </c>
      <c r="C40" s="83">
        <v>-7.5700000000000003E-2</v>
      </c>
      <c r="D40" s="83">
        <v>-7.5999999999999998E-2</v>
      </c>
      <c r="E40" s="24">
        <f t="shared" si="7"/>
        <v>-5.4226768436143935E-2</v>
      </c>
      <c r="F40" s="83">
        <v>-1.4124880673826329E-2</v>
      </c>
      <c r="G40" s="83">
        <v>-1.412488067382622E-2</v>
      </c>
      <c r="H40" s="83">
        <f t="shared" si="8"/>
        <v>2.1473231563856068E-2</v>
      </c>
      <c r="I40" s="83">
        <f t="shared" si="9"/>
        <v>-4.0101887762317608E-2</v>
      </c>
      <c r="K40" s="2"/>
    </row>
    <row r="41" spans="1:11" x14ac:dyDescent="0.45">
      <c r="A41" s="13"/>
      <c r="B41" s="32" t="s">
        <v>240</v>
      </c>
      <c r="C41" s="83">
        <v>-0.30449999999999999</v>
      </c>
      <c r="D41" s="83">
        <v>-0.30399999999999999</v>
      </c>
      <c r="E41" s="24">
        <f t="shared" si="7"/>
        <v>-0.47412260837126274</v>
      </c>
      <c r="F41" s="83">
        <v>-0.42067132163307319</v>
      </c>
      <c r="G41" s="83">
        <v>-0.211299904539061</v>
      </c>
      <c r="H41" s="83">
        <f t="shared" si="8"/>
        <v>-0.16962260837126275</v>
      </c>
      <c r="I41" s="83">
        <f t="shared" si="9"/>
        <v>-5.3451286738189552E-2</v>
      </c>
      <c r="K41" s="2"/>
    </row>
    <row r="42" spans="1:11" x14ac:dyDescent="0.45">
      <c r="A42" s="5" t="s">
        <v>958</v>
      </c>
      <c r="B42" s="32" t="s">
        <v>223</v>
      </c>
      <c r="C42" s="81">
        <v>5.7720000000000002</v>
      </c>
      <c r="D42" s="81">
        <v>5.8</v>
      </c>
      <c r="E42" s="82">
        <f t="shared" ref="E42:E47" si="10">INDEX(SumTbl,MATCH("P_net",SumKeys,0),MATCH($B42,SumHdr,0))</f>
        <v>6.8716630856141556</v>
      </c>
      <c r="F42" s="80"/>
      <c r="G42" s="80"/>
      <c r="H42" s="81">
        <f t="shared" si="8"/>
        <v>1.0996630856141554</v>
      </c>
      <c r="I42" s="81" t="str">
        <f t="shared" si="9"/>
        <v/>
      </c>
      <c r="K42" s="2"/>
    </row>
    <row r="43" spans="1:11" x14ac:dyDescent="0.45">
      <c r="A43" s="13"/>
      <c r="B43" s="32" t="s">
        <v>228</v>
      </c>
      <c r="C43" s="81">
        <v>5.1760000000000002</v>
      </c>
      <c r="D43" s="81">
        <v>5.2</v>
      </c>
      <c r="E43" s="82">
        <f t="shared" si="10"/>
        <v>6.23</v>
      </c>
      <c r="F43" s="80"/>
      <c r="G43" s="80"/>
      <c r="H43" s="81">
        <f t="shared" si="8"/>
        <v>1.0540000000000003</v>
      </c>
      <c r="I43" s="81" t="str">
        <f t="shared" si="9"/>
        <v/>
      </c>
      <c r="K43" s="2"/>
    </row>
    <row r="44" spans="1:11" x14ac:dyDescent="0.45">
      <c r="A44" s="13"/>
      <c r="B44" s="32" t="s">
        <v>230</v>
      </c>
      <c r="C44" s="81">
        <v>5.1760000000000002</v>
      </c>
      <c r="D44" s="81">
        <v>5.2</v>
      </c>
      <c r="E44" s="82">
        <f t="shared" si="10"/>
        <v>6.19</v>
      </c>
      <c r="F44" s="80"/>
      <c r="G44" s="80"/>
      <c r="H44" s="81">
        <f t="shared" si="8"/>
        <v>1.0140000000000002</v>
      </c>
      <c r="I44" s="81" t="str">
        <f t="shared" si="9"/>
        <v/>
      </c>
      <c r="K44" s="2"/>
    </row>
    <row r="45" spans="1:11" x14ac:dyDescent="0.45">
      <c r="A45" s="13"/>
      <c r="B45" s="32" t="s">
        <v>233</v>
      </c>
      <c r="C45" s="81">
        <v>2.375</v>
      </c>
      <c r="D45" s="81">
        <v>1.1000000000000001</v>
      </c>
      <c r="E45" s="82">
        <f t="shared" si="10"/>
        <v>2.3723066187745281</v>
      </c>
      <c r="F45" s="80"/>
      <c r="G45" s="80"/>
      <c r="H45" s="81">
        <f t="shared" si="8"/>
        <v>-2.6933812254719136E-3</v>
      </c>
      <c r="I45" s="81" t="str">
        <f t="shared" si="9"/>
        <v/>
      </c>
      <c r="K45" s="2"/>
    </row>
    <row r="46" spans="1:11" x14ac:dyDescent="0.45">
      <c r="A46" s="13"/>
      <c r="B46" s="32" t="s">
        <v>237</v>
      </c>
      <c r="C46" s="81">
        <v>0</v>
      </c>
      <c r="D46" s="81">
        <v>0</v>
      </c>
      <c r="E46" s="82">
        <f t="shared" si="10"/>
        <v>0.19704425446317986</v>
      </c>
      <c r="F46" s="80"/>
      <c r="G46" s="80"/>
      <c r="H46" s="81">
        <f t="shared" si="8"/>
        <v>0.19704425446317986</v>
      </c>
      <c r="I46" s="81" t="str">
        <f t="shared" si="9"/>
        <v/>
      </c>
      <c r="K46" s="2"/>
    </row>
    <row r="47" spans="1:11" x14ac:dyDescent="0.45">
      <c r="A47" s="13"/>
      <c r="B47" s="32" t="s">
        <v>240</v>
      </c>
      <c r="C47" s="81">
        <v>0</v>
      </c>
      <c r="D47" s="81">
        <v>0</v>
      </c>
      <c r="E47" s="82">
        <f t="shared" si="10"/>
        <v>0</v>
      </c>
      <c r="F47" s="80"/>
      <c r="G47" s="80"/>
      <c r="H47" s="81">
        <f t="shared" si="8"/>
        <v>0</v>
      </c>
      <c r="I47" s="81" t="str">
        <f t="shared" si="9"/>
        <v/>
      </c>
      <c r="K47" s="2"/>
    </row>
    <row r="48" spans="1:11" x14ac:dyDescent="0.45">
      <c r="A48" s="5" t="s">
        <v>959</v>
      </c>
      <c r="B48" s="32" t="s">
        <v>223</v>
      </c>
      <c r="C48" s="84">
        <v>1655.6</v>
      </c>
      <c r="D48" s="84">
        <v>1656</v>
      </c>
      <c r="E48" s="19">
        <f t="shared" ref="E48:E53" si="11">INDEX(SumTbl,MATCH("Q_deaths",SumKeys,0),MATCH($B48,SumHdr,0))</f>
        <v>1564</v>
      </c>
      <c r="F48" s="80"/>
      <c r="G48" s="80"/>
      <c r="H48" s="84">
        <f t="shared" si="8"/>
        <v>-91.599999999999909</v>
      </c>
      <c r="I48" s="84" t="str">
        <f t="shared" si="9"/>
        <v/>
      </c>
      <c r="K48" s="2"/>
    </row>
    <row r="49" spans="1:11" x14ac:dyDescent="0.45">
      <c r="A49" s="13"/>
      <c r="B49" s="32" t="s">
        <v>228</v>
      </c>
      <c r="C49" s="84">
        <v>1564</v>
      </c>
      <c r="D49" s="84">
        <v>1564</v>
      </c>
      <c r="E49" s="19">
        <f t="shared" si="11"/>
        <v>1564</v>
      </c>
      <c r="F49" s="80"/>
      <c r="G49" s="80"/>
      <c r="H49" s="84">
        <f t="shared" si="8"/>
        <v>0</v>
      </c>
      <c r="I49" s="84" t="str">
        <f t="shared" si="9"/>
        <v/>
      </c>
      <c r="K49" s="2"/>
    </row>
    <row r="50" spans="1:11" x14ac:dyDescent="0.45">
      <c r="A50" s="13"/>
      <c r="B50" s="32" t="s">
        <v>230</v>
      </c>
      <c r="C50" s="84">
        <v>1631</v>
      </c>
      <c r="D50" s="84">
        <v>1631</v>
      </c>
      <c r="E50" s="19">
        <f t="shared" si="11"/>
        <v>1631</v>
      </c>
      <c r="F50" s="80"/>
      <c r="G50" s="80"/>
      <c r="H50" s="84">
        <f t="shared" si="8"/>
        <v>0</v>
      </c>
      <c r="I50" s="84" t="str">
        <f t="shared" si="9"/>
        <v/>
      </c>
      <c r="K50" s="2"/>
    </row>
    <row r="51" spans="1:11" x14ac:dyDescent="0.45">
      <c r="A51" s="13"/>
      <c r="B51" s="32" t="s">
        <v>233</v>
      </c>
      <c r="C51" s="84">
        <v>546</v>
      </c>
      <c r="D51" s="84">
        <v>546</v>
      </c>
      <c r="E51" s="19">
        <f t="shared" si="11"/>
        <v>850.34181264429321</v>
      </c>
      <c r="F51" s="80"/>
      <c r="G51" s="80"/>
      <c r="H51" s="84">
        <f t="shared" si="8"/>
        <v>304.34181264429321</v>
      </c>
      <c r="I51" s="84" t="str">
        <f t="shared" si="9"/>
        <v/>
      </c>
      <c r="K51" s="2"/>
    </row>
    <row r="52" spans="1:11" x14ac:dyDescent="0.45">
      <c r="A52" s="13"/>
      <c r="B52" s="32" t="s">
        <v>237</v>
      </c>
      <c r="C52" s="84">
        <v>345</v>
      </c>
      <c r="D52" s="84">
        <v>345</v>
      </c>
      <c r="E52" s="19">
        <f t="shared" si="11"/>
        <v>411.77194718945026</v>
      </c>
      <c r="F52" s="80"/>
      <c r="G52" s="80"/>
      <c r="H52" s="84">
        <f t="shared" si="8"/>
        <v>66.771947189450259</v>
      </c>
      <c r="I52" s="84" t="str">
        <f t="shared" si="9"/>
        <v/>
      </c>
      <c r="K52" s="2"/>
    </row>
    <row r="53" spans="1:11" x14ac:dyDescent="0.45">
      <c r="A53" s="13"/>
      <c r="B53" s="32" t="s">
        <v>240</v>
      </c>
      <c r="C53" s="84">
        <v>620.6</v>
      </c>
      <c r="D53" s="84">
        <v>621</v>
      </c>
      <c r="E53" s="19">
        <f t="shared" si="11"/>
        <v>997.39751298511067</v>
      </c>
      <c r="F53" s="80"/>
      <c r="G53" s="80"/>
      <c r="H53" s="84">
        <f t="shared" si="8"/>
        <v>376.79751298511064</v>
      </c>
      <c r="I53" s="84" t="str">
        <f t="shared" si="9"/>
        <v/>
      </c>
      <c r="K53" s="2"/>
    </row>
    <row r="54" spans="1:11" x14ac:dyDescent="0.45">
      <c r="A54" s="5" t="s">
        <v>960</v>
      </c>
      <c r="B54" s="32" t="s">
        <v>223</v>
      </c>
      <c r="C54" s="83">
        <v>0.02</v>
      </c>
      <c r="D54" s="83"/>
      <c r="E54" s="24">
        <f t="shared" ref="E54:E59" si="12">INDEX(SumTbl,MATCH("R",SumKeys,0),MATCH($B54,SumHdr,0))</f>
        <v>1.8922941041245721E-2</v>
      </c>
      <c r="F54" s="80"/>
      <c r="G54" s="80"/>
      <c r="H54" s="83">
        <f t="shared" si="8"/>
        <v>-1.0770589587542796E-3</v>
      </c>
      <c r="I54" s="83" t="str">
        <f t="shared" si="9"/>
        <v/>
      </c>
      <c r="K54" s="2"/>
    </row>
    <row r="55" spans="1:11" x14ac:dyDescent="0.45">
      <c r="A55" s="13"/>
      <c r="B55" s="32" t="s">
        <v>228</v>
      </c>
      <c r="C55" s="83">
        <v>1.89E-2</v>
      </c>
      <c r="D55" s="83"/>
      <c r="E55" s="24">
        <f t="shared" si="12"/>
        <v>1.8922941041245721E-2</v>
      </c>
      <c r="F55" s="80"/>
      <c r="G55" s="80"/>
      <c r="H55" s="83">
        <f t="shared" si="8"/>
        <v>2.2941041245720661E-5</v>
      </c>
      <c r="I55" s="83" t="str">
        <f t="shared" si="9"/>
        <v/>
      </c>
      <c r="K55" s="2"/>
    </row>
    <row r="56" spans="1:11" x14ac:dyDescent="0.45">
      <c r="A56" s="13"/>
      <c r="B56" s="32" t="s">
        <v>230</v>
      </c>
      <c r="C56" s="83">
        <v>1.9699999999999999E-2</v>
      </c>
      <c r="D56" s="83"/>
      <c r="E56" s="24">
        <f t="shared" si="12"/>
        <v>1.9733578541094483E-2</v>
      </c>
      <c r="F56" s="80"/>
      <c r="G56" s="80"/>
      <c r="H56" s="83">
        <f t="shared" si="8"/>
        <v>3.3578541094484576E-5</v>
      </c>
      <c r="I56" s="83" t="str">
        <f t="shared" si="9"/>
        <v/>
      </c>
      <c r="K56" s="2"/>
    </row>
    <row r="57" spans="1:11" x14ac:dyDescent="0.45">
      <c r="A57" s="13"/>
      <c r="B57" s="32" t="s">
        <v>233</v>
      </c>
      <c r="C57" s="83">
        <v>6.6E-3</v>
      </c>
      <c r="D57" s="83"/>
      <c r="E57" s="24">
        <f t="shared" si="12"/>
        <v>1.0288342701773642E-2</v>
      </c>
      <c r="F57" s="80"/>
      <c r="G57" s="80"/>
      <c r="H57" s="83">
        <f t="shared" si="8"/>
        <v>3.6883427017736416E-3</v>
      </c>
      <c r="I57" s="83" t="str">
        <f t="shared" si="9"/>
        <v/>
      </c>
      <c r="K57" s="2"/>
    </row>
    <row r="58" spans="1:11" x14ac:dyDescent="0.45">
      <c r="A58" s="13"/>
      <c r="B58" s="32" t="s">
        <v>237</v>
      </c>
      <c r="C58" s="83">
        <v>2.5999999999999999E-3</v>
      </c>
      <c r="D58" s="83"/>
      <c r="E58" s="24">
        <f t="shared" si="12"/>
        <v>4.9820564444404821E-3</v>
      </c>
      <c r="F58" s="80"/>
      <c r="G58" s="80"/>
      <c r="H58" s="83">
        <f t="shared" si="8"/>
        <v>2.3820564444404823E-3</v>
      </c>
      <c r="I58" s="83" t="str">
        <f t="shared" si="9"/>
        <v/>
      </c>
      <c r="K58" s="2"/>
    </row>
    <row r="59" spans="1:11" x14ac:dyDescent="0.45">
      <c r="A59" s="13"/>
      <c r="B59" s="32" t="s">
        <v>240</v>
      </c>
      <c r="C59" s="83">
        <v>7.4999999999999997E-3</v>
      </c>
      <c r="D59" s="83"/>
      <c r="E59" s="24">
        <f t="shared" si="12"/>
        <v>1.206757949674064E-2</v>
      </c>
      <c r="F59" s="80"/>
      <c r="G59" s="80"/>
      <c r="H59" s="83">
        <f t="shared" si="8"/>
        <v>4.5675794967406404E-3</v>
      </c>
      <c r="I59" s="83" t="str">
        <f t="shared" si="9"/>
        <v/>
      </c>
      <c r="K59" s="2"/>
    </row>
    <row r="60" spans="1:11" x14ac:dyDescent="0.45">
      <c r="A60" s="5" t="s">
        <v>961</v>
      </c>
      <c r="B60" s="32" t="s">
        <v>223</v>
      </c>
      <c r="C60" s="79">
        <v>-0.153</v>
      </c>
      <c r="D60" s="79"/>
      <c r="E60" s="20">
        <f t="shared" ref="E60:E65" si="13">INDEX(SumTbl,MATCH("T",SumKeys,0),MATCH($B60,SumHdr,0))</f>
        <v>-7.1990593673900066E-2</v>
      </c>
      <c r="F60" s="79">
        <v>-6.8127723587673966E-2</v>
      </c>
      <c r="G60" s="79">
        <v>-6.8127723587673966E-2</v>
      </c>
      <c r="H60" s="79">
        <f t="shared" si="8"/>
        <v>8.1009406326099931E-2</v>
      </c>
      <c r="I60" s="79">
        <f t="shared" si="9"/>
        <v>-3.8628700862261001E-3</v>
      </c>
      <c r="K60" s="2"/>
    </row>
    <row r="61" spans="1:11" x14ac:dyDescent="0.45">
      <c r="A61" s="13"/>
      <c r="B61" s="32" t="s">
        <v>228</v>
      </c>
      <c r="C61" s="79">
        <v>-0.13400000000000001</v>
      </c>
      <c r="D61" s="79"/>
      <c r="E61" s="20">
        <f t="shared" si="13"/>
        <v>-2.8478813226086253E-2</v>
      </c>
      <c r="F61" s="79">
        <v>-2.360743578616278E-2</v>
      </c>
      <c r="G61" s="79">
        <v>-2.360743578616278E-2</v>
      </c>
      <c r="H61" s="79">
        <f t="shared" si="8"/>
        <v>0.10552118677391376</v>
      </c>
      <c r="I61" s="79">
        <f t="shared" si="9"/>
        <v>-4.8713774399234723E-3</v>
      </c>
      <c r="K61" s="2"/>
    </row>
    <row r="62" spans="1:11" x14ac:dyDescent="0.45">
      <c r="A62" s="13"/>
      <c r="B62" s="32" t="s">
        <v>230</v>
      </c>
      <c r="C62" s="79">
        <v>-0.13400000000000001</v>
      </c>
      <c r="D62" s="79"/>
      <c r="E62" s="20">
        <f t="shared" si="13"/>
        <v>-2.8478813226086253E-2</v>
      </c>
      <c r="F62" s="79">
        <v>-2.360743578616278E-2</v>
      </c>
      <c r="G62" s="79">
        <v>-2.360743578616278E-2</v>
      </c>
      <c r="H62" s="79">
        <f t="shared" si="8"/>
        <v>0.10552118677391376</v>
      </c>
      <c r="I62" s="79">
        <f t="shared" si="9"/>
        <v>-4.8713774399234723E-3</v>
      </c>
      <c r="K62" s="2"/>
    </row>
    <row r="63" spans="1:11" x14ac:dyDescent="0.45">
      <c r="A63" s="13"/>
      <c r="B63" s="32" t="s">
        <v>233</v>
      </c>
      <c r="C63" s="79">
        <v>-0.18099999999999999</v>
      </c>
      <c r="D63" s="79"/>
      <c r="E63" s="20">
        <f t="shared" si="13"/>
        <v>-7.1990593673900066E-2</v>
      </c>
      <c r="F63" s="79">
        <v>-6.8127723587673966E-2</v>
      </c>
      <c r="G63" s="79">
        <v>-6.8127723587673966E-2</v>
      </c>
      <c r="H63" s="79">
        <f t="shared" si="8"/>
        <v>0.10900940632609993</v>
      </c>
      <c r="I63" s="79">
        <f t="shared" si="9"/>
        <v>-3.8628700862261001E-3</v>
      </c>
      <c r="K63" s="2"/>
    </row>
    <row r="64" spans="1:11" x14ac:dyDescent="0.45">
      <c r="A64" s="13"/>
      <c r="B64" s="32" t="s">
        <v>237</v>
      </c>
      <c r="C64" s="79">
        <v>-0.153</v>
      </c>
      <c r="D64" s="79"/>
      <c r="E64" s="20">
        <f t="shared" si="13"/>
        <v>-5.7984149124688522E-2</v>
      </c>
      <c r="F64" s="79">
        <v>-1.1054339904555521E-2</v>
      </c>
      <c r="G64" s="79">
        <v>-1.1054339904555521E-2</v>
      </c>
      <c r="H64" s="79">
        <f t="shared" si="8"/>
        <v>9.5015850875311475E-2</v>
      </c>
      <c r="I64" s="79">
        <f t="shared" si="9"/>
        <v>-4.6929809220132998E-2</v>
      </c>
      <c r="K64" s="2"/>
    </row>
    <row r="65" spans="1:11" x14ac:dyDescent="0.45">
      <c r="A65" s="13"/>
      <c r="B65" s="32" t="s">
        <v>240</v>
      </c>
      <c r="C65" s="79">
        <v>-0.20599999999999999</v>
      </c>
      <c r="D65" s="79"/>
      <c r="E65" s="20">
        <f t="shared" si="13"/>
        <v>-0.12564081005985911</v>
      </c>
      <c r="F65" s="79">
        <v>-6.8127723587673966E-2</v>
      </c>
      <c r="G65" s="79">
        <v>-6.8127723587673966E-2</v>
      </c>
      <c r="H65" s="79">
        <f t="shared" si="8"/>
        <v>8.0359189940140879E-2</v>
      </c>
      <c r="I65" s="79">
        <f t="shared" si="9"/>
        <v>-5.7513086472185143E-2</v>
      </c>
      <c r="K65" s="2"/>
    </row>
    <row r="66" spans="1:11" x14ac:dyDescent="0.45">
      <c r="A66" s="5" t="s">
        <v>962</v>
      </c>
      <c r="B66" s="32" t="s">
        <v>223</v>
      </c>
      <c r="C66" s="79">
        <v>-8.3000000000000004E-2</v>
      </c>
      <c r="D66" s="79"/>
      <c r="E66" s="20">
        <f t="shared" ref="E66:E71" si="14">INDEX(SumTbl,MATCH("U",SumKeys,0),MATCH($B66,SumHdr,0))</f>
        <v>-1.4877330252949857E-2</v>
      </c>
      <c r="F66" s="79">
        <v>-5.7719522416200167E-2</v>
      </c>
      <c r="G66" s="79">
        <v>-5.7719522416200167E-2</v>
      </c>
      <c r="H66" s="79">
        <f t="shared" si="8"/>
        <v>6.8122669747050141E-2</v>
      </c>
      <c r="I66" s="79">
        <f t="shared" si="9"/>
        <v>4.284219216325031E-2</v>
      </c>
      <c r="K66" s="2"/>
    </row>
    <row r="67" spans="1:11" x14ac:dyDescent="0.45">
      <c r="A67" s="13"/>
      <c r="B67" s="32" t="s">
        <v>228</v>
      </c>
      <c r="C67" s="79">
        <v>-8.3000000000000004E-2</v>
      </c>
      <c r="D67" s="79"/>
      <c r="E67" s="20">
        <f t="shared" si="14"/>
        <v>-7.1552416328847998E-3</v>
      </c>
      <c r="F67" s="79">
        <v>-2.3607435786162791E-2</v>
      </c>
      <c r="G67" s="79">
        <v>-2.3607435786162791E-2</v>
      </c>
      <c r="H67" s="79">
        <f t="shared" si="8"/>
        <v>7.5844758367115211E-2</v>
      </c>
      <c r="I67" s="79">
        <f t="shared" si="9"/>
        <v>1.6452194153277991E-2</v>
      </c>
      <c r="K67" s="2"/>
    </row>
    <row r="68" spans="1:11" x14ac:dyDescent="0.45">
      <c r="A68" s="13"/>
      <c r="B68" s="32" t="s">
        <v>230</v>
      </c>
      <c r="C68" s="79">
        <v>-8.3000000000000004E-2</v>
      </c>
      <c r="D68" s="79"/>
      <c r="E68" s="20">
        <f t="shared" si="14"/>
        <v>-7.1552416328847998E-3</v>
      </c>
      <c r="F68" s="79">
        <v>-2.3607435786162791E-2</v>
      </c>
      <c r="G68" s="79">
        <v>-2.3607435786162791E-2</v>
      </c>
      <c r="H68" s="79">
        <f t="shared" si="8"/>
        <v>7.5844758367115211E-2</v>
      </c>
      <c r="I68" s="79">
        <f t="shared" si="9"/>
        <v>1.6452194153277991E-2</v>
      </c>
      <c r="K68" s="2"/>
    </row>
    <row r="69" spans="1:11" x14ac:dyDescent="0.45">
      <c r="A69" s="13"/>
      <c r="B69" s="32" t="s">
        <v>233</v>
      </c>
      <c r="C69" s="79">
        <v>-0.114</v>
      </c>
      <c r="D69" s="79"/>
      <c r="E69" s="20">
        <f t="shared" si="14"/>
        <v>-1.4877330252949857E-2</v>
      </c>
      <c r="F69" s="79">
        <v>-5.7719522416200167E-2</v>
      </c>
      <c r="G69" s="79">
        <v>-5.7719522416200167E-2</v>
      </c>
      <c r="H69" s="79">
        <f t="shared" si="8"/>
        <v>9.9122669747050141E-2</v>
      </c>
      <c r="I69" s="79">
        <f t="shared" si="9"/>
        <v>4.284219216325031E-2</v>
      </c>
      <c r="K69" s="2"/>
    </row>
    <row r="70" spans="1:11" x14ac:dyDescent="0.45">
      <c r="A70" s="13"/>
      <c r="B70" s="32" t="s">
        <v>237</v>
      </c>
      <c r="C70" s="79">
        <v>-8.3000000000000004E-2</v>
      </c>
      <c r="D70" s="79"/>
      <c r="E70" s="20">
        <f t="shared" si="14"/>
        <v>0</v>
      </c>
      <c r="F70" s="79">
        <v>0</v>
      </c>
      <c r="G70" s="79">
        <v>0</v>
      </c>
      <c r="H70" s="79">
        <f t="shared" ref="H70:H77" si="15">IF(ISNUMBER(C70),E70-C70,"")</f>
        <v>8.3000000000000004E-2</v>
      </c>
      <c r="I70" s="79">
        <f t="shared" ref="I70:I77" si="16">IF(ISNUMBER(F70),E70-IF(Conv="NOPHASE",G70,F70),"")</f>
        <v>0</v>
      </c>
      <c r="K70" s="2"/>
    </row>
    <row r="71" spans="1:11" x14ac:dyDescent="0.45">
      <c r="A71" s="13"/>
      <c r="B71" s="32" t="s">
        <v>240</v>
      </c>
      <c r="C71" s="79">
        <v>-8.6999999999999994E-2</v>
      </c>
      <c r="D71" s="79"/>
      <c r="E71" s="20">
        <f t="shared" si="14"/>
        <v>-1.4877330252949857E-2</v>
      </c>
      <c r="F71" s="79">
        <v>-5.7719522416200167E-2</v>
      </c>
      <c r="G71" s="79">
        <v>-5.7719522416200167E-2</v>
      </c>
      <c r="H71" s="79">
        <f t="shared" si="15"/>
        <v>7.2122669747050144E-2</v>
      </c>
      <c r="I71" s="79">
        <f t="shared" si="16"/>
        <v>4.284219216325031E-2</v>
      </c>
      <c r="K71" s="2"/>
    </row>
    <row r="72" spans="1:11" x14ac:dyDescent="0.45">
      <c r="A72" s="5" t="s">
        <v>963</v>
      </c>
      <c r="B72" s="32" t="s">
        <v>223</v>
      </c>
      <c r="C72" s="81">
        <v>10.62</v>
      </c>
      <c r="D72" s="81"/>
      <c r="E72" s="82">
        <f t="shared" ref="E72:E77" si="17">INDEX(SumTbl,MATCH("AR",SumKeys,0),MATCH($B72,SumHdr,0))</f>
        <v>10.43</v>
      </c>
      <c r="F72" s="80"/>
      <c r="G72" s="80"/>
      <c r="H72" s="81">
        <f t="shared" si="15"/>
        <v>-0.1899999999999995</v>
      </c>
      <c r="I72" s="81" t="str">
        <f t="shared" si="16"/>
        <v/>
      </c>
      <c r="K72" s="2"/>
    </row>
    <row r="73" spans="1:11" x14ac:dyDescent="0.45">
      <c r="A73" s="13"/>
      <c r="B73" s="32" t="s">
        <v>228</v>
      </c>
      <c r="C73" s="81">
        <v>10.62</v>
      </c>
      <c r="D73" s="81"/>
      <c r="E73" s="82">
        <f t="shared" si="17"/>
        <v>10.43</v>
      </c>
      <c r="F73" s="80"/>
      <c r="G73" s="80"/>
      <c r="H73" s="81">
        <f t="shared" si="15"/>
        <v>-0.1899999999999995</v>
      </c>
      <c r="I73" s="81" t="str">
        <f t="shared" si="16"/>
        <v/>
      </c>
      <c r="K73" s="2"/>
    </row>
    <row r="74" spans="1:11" x14ac:dyDescent="0.45">
      <c r="A74" s="13"/>
      <c r="B74" s="32" t="s">
        <v>230</v>
      </c>
      <c r="C74" s="81">
        <v>10.62</v>
      </c>
      <c r="D74" s="81"/>
      <c r="E74" s="82">
        <f t="shared" si="17"/>
        <v>10.619999999999997</v>
      </c>
      <c r="F74" s="80"/>
      <c r="G74" s="80"/>
      <c r="H74" s="81">
        <f t="shared" si="15"/>
        <v>-1.7763568394002505E-15</v>
      </c>
      <c r="I74" s="81" t="str">
        <f t="shared" si="16"/>
        <v/>
      </c>
      <c r="K74" s="2"/>
    </row>
    <row r="75" spans="1:11" x14ac:dyDescent="0.45">
      <c r="A75" s="13"/>
      <c r="B75" s="32" t="s">
        <v>233</v>
      </c>
      <c r="C75" s="81">
        <v>2.69</v>
      </c>
      <c r="D75" s="81"/>
      <c r="E75" s="82">
        <f t="shared" si="17"/>
        <v>2.6899999999999977</v>
      </c>
      <c r="F75" s="80"/>
      <c r="G75" s="80"/>
      <c r="H75" s="81">
        <f t="shared" si="15"/>
        <v>-2.2204460492503131E-15</v>
      </c>
      <c r="I75" s="81" t="str">
        <f t="shared" si="16"/>
        <v/>
      </c>
      <c r="K75" s="2"/>
    </row>
    <row r="76" spans="1:11" x14ac:dyDescent="0.45">
      <c r="A76" s="13"/>
      <c r="B76" s="32" t="s">
        <v>237</v>
      </c>
      <c r="C76" s="81">
        <v>0</v>
      </c>
      <c r="D76" s="81"/>
      <c r="E76" s="82">
        <f t="shared" si="17"/>
        <v>0.50548541533622338</v>
      </c>
      <c r="F76" s="80"/>
      <c r="G76" s="80"/>
      <c r="H76" s="81">
        <f t="shared" si="15"/>
        <v>0.50548541533622338</v>
      </c>
      <c r="I76" s="81" t="str">
        <f t="shared" si="16"/>
        <v/>
      </c>
      <c r="K76" s="2"/>
    </row>
    <row r="77" spans="1:11" x14ac:dyDescent="0.45">
      <c r="A77" s="13"/>
      <c r="B77" s="32" t="s">
        <v>240</v>
      </c>
      <c r="C77" s="81" t="s">
        <v>964</v>
      </c>
      <c r="D77" s="81"/>
      <c r="E77" s="82">
        <f t="shared" si="17"/>
        <v>0.3595064629247231</v>
      </c>
      <c r="F77" s="80"/>
      <c r="G77" s="80"/>
      <c r="H77" s="81" t="str">
        <f t="shared" si="15"/>
        <v/>
      </c>
      <c r="I77" s="81" t="str">
        <f t="shared" si="16"/>
        <v/>
      </c>
      <c r="K77" s="2"/>
    </row>
    <row r="79" spans="1:11" x14ac:dyDescent="0.45">
      <c r="A79" s="93" t="s">
        <v>965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  <row r="80" spans="1:11" ht="26.25" x14ac:dyDescent="0.45">
      <c r="A80" s="4" t="s">
        <v>966</v>
      </c>
      <c r="B80" s="4" t="s">
        <v>214</v>
      </c>
      <c r="C80" s="4" t="s">
        <v>967</v>
      </c>
      <c r="D80" s="4" t="s">
        <v>948</v>
      </c>
      <c r="E80" s="4" t="s">
        <v>949</v>
      </c>
      <c r="F80" s="4" t="s">
        <v>968</v>
      </c>
      <c r="G80" s="4" t="s">
        <v>969</v>
      </c>
      <c r="H80" s="4" t="s">
        <v>970</v>
      </c>
      <c r="I80" s="4"/>
      <c r="J80" s="4"/>
      <c r="K80" s="4" t="s">
        <v>971</v>
      </c>
    </row>
    <row r="81" spans="1:11" x14ac:dyDescent="0.45">
      <c r="A81" s="5" t="s">
        <v>631</v>
      </c>
      <c r="B81" s="32" t="s">
        <v>223</v>
      </c>
      <c r="C81" s="85">
        <f t="shared" ref="C81:C86" si="18">INDEX(SumTbl,MATCH("cbcov",SumKeys,0),MATCH($B81,SumHdr,0))</f>
        <v>1</v>
      </c>
      <c r="D81" s="86">
        <v>1</v>
      </c>
      <c r="E81" s="86">
        <v>1</v>
      </c>
      <c r="F81" s="86">
        <f t="shared" ref="F81:F112" si="19">IF(Conv="NOPHASE",E81,IF(Conv="FULL",D81,NA()))</f>
        <v>1</v>
      </c>
      <c r="G81" s="86">
        <f t="shared" ref="G81:G112" si="20">IFERROR(C81-F81,NA())</f>
        <v>0</v>
      </c>
      <c r="H81" s="10" t="str">
        <f t="shared" ref="H81:H112" si="21">IF(Mode&lt;&gt;"PROTOTYPE","n/a (REBUILD)",IF(Conv="SCALED","n/a (SCALED)",IF(ABS(G81)&lt;0.0000001*MAX(1,ABS(F81)),"PASS","FAIL")))</f>
        <v>n/a (REBUILD)</v>
      </c>
      <c r="K81" s="2" t="s">
        <v>972</v>
      </c>
    </row>
    <row r="82" spans="1:11" x14ac:dyDescent="0.45">
      <c r="A82" s="13"/>
      <c r="B82" s="32" t="s">
        <v>228</v>
      </c>
      <c r="C82" s="85">
        <f t="shared" si="18"/>
        <v>0.44113056794060146</v>
      </c>
      <c r="D82" s="86">
        <v>0.44505846431403112</v>
      </c>
      <c r="E82" s="86">
        <v>0.44505846431403112</v>
      </c>
      <c r="F82" s="86">
        <f t="shared" si="19"/>
        <v>0.44505846431403112</v>
      </c>
      <c r="G82" s="86">
        <f t="shared" si="20"/>
        <v>-3.9278963734296624E-3</v>
      </c>
      <c r="H82" s="10" t="str">
        <f t="shared" si="21"/>
        <v>n/a (REBUILD)</v>
      </c>
      <c r="K82" s="2"/>
    </row>
    <row r="83" spans="1:11" x14ac:dyDescent="0.45">
      <c r="A83" s="13"/>
      <c r="B83" s="32" t="s">
        <v>230</v>
      </c>
      <c r="C83" s="85">
        <f t="shared" si="18"/>
        <v>0.44113056794060146</v>
      </c>
      <c r="D83" s="86">
        <v>0.44505846431403112</v>
      </c>
      <c r="E83" s="86">
        <v>0.44505846431403112</v>
      </c>
      <c r="F83" s="86">
        <f t="shared" si="19"/>
        <v>0.44505846431403112</v>
      </c>
      <c r="G83" s="86">
        <f t="shared" si="20"/>
        <v>-3.9278963734296624E-3</v>
      </c>
      <c r="H83" s="10" t="str">
        <f t="shared" si="21"/>
        <v>n/a (REBUILD)</v>
      </c>
      <c r="K83" s="2"/>
    </row>
    <row r="84" spans="1:11" x14ac:dyDescent="0.45">
      <c r="A84" s="13"/>
      <c r="B84" s="32" t="s">
        <v>233</v>
      </c>
      <c r="C84" s="85">
        <f t="shared" si="18"/>
        <v>1</v>
      </c>
      <c r="D84" s="86">
        <v>1</v>
      </c>
      <c r="E84" s="86">
        <v>1</v>
      </c>
      <c r="F84" s="86">
        <f t="shared" si="19"/>
        <v>1</v>
      </c>
      <c r="G84" s="86">
        <f t="shared" si="20"/>
        <v>0</v>
      </c>
      <c r="H84" s="10" t="str">
        <f t="shared" si="21"/>
        <v>n/a (REBUILD)</v>
      </c>
      <c r="K84" s="2"/>
    </row>
    <row r="85" spans="1:11" x14ac:dyDescent="0.45">
      <c r="A85" s="13"/>
      <c r="B85" s="32" t="s">
        <v>237</v>
      </c>
      <c r="C85" s="85">
        <f t="shared" si="18"/>
        <v>1.0000000000000002</v>
      </c>
      <c r="D85" s="86">
        <v>1</v>
      </c>
      <c r="E85" s="86">
        <v>1</v>
      </c>
      <c r="F85" s="86">
        <f t="shared" si="19"/>
        <v>1</v>
      </c>
      <c r="G85" s="86">
        <f t="shared" si="20"/>
        <v>2.2204460492503131E-16</v>
      </c>
      <c r="H85" s="10" t="str">
        <f t="shared" si="21"/>
        <v>n/a (REBUILD)</v>
      </c>
      <c r="K85" s="2"/>
    </row>
    <row r="86" spans="1:11" x14ac:dyDescent="0.45">
      <c r="A86" s="13"/>
      <c r="B86" s="32" t="s">
        <v>240</v>
      </c>
      <c r="C86" s="85">
        <f t="shared" si="18"/>
        <v>1</v>
      </c>
      <c r="D86" s="86">
        <v>1</v>
      </c>
      <c r="E86" s="86">
        <v>1</v>
      </c>
      <c r="F86" s="86">
        <f t="shared" si="19"/>
        <v>1</v>
      </c>
      <c r="G86" s="86">
        <f t="shared" si="20"/>
        <v>0</v>
      </c>
      <c r="H86" s="10" t="str">
        <f t="shared" si="21"/>
        <v>n/a (REBUILD)</v>
      </c>
      <c r="K86" s="2"/>
    </row>
    <row r="87" spans="1:11" x14ac:dyDescent="0.45">
      <c r="A87" s="5" t="s">
        <v>637</v>
      </c>
      <c r="B87" s="32" t="s">
        <v>223</v>
      </c>
      <c r="C87" s="85">
        <f t="shared" ref="C87:C92" si="22">INDEX(SumTbl,MATCH("cbintch",SumKeys,0),MATCH($B87,SumHdr,0))</f>
        <v>-5.7975788371224191E-2</v>
      </c>
      <c r="D87" s="86">
        <v>-1.1045756989641159E-2</v>
      </c>
      <c r="E87" s="86">
        <v>-1.1045756989641159E-2</v>
      </c>
      <c r="F87" s="86">
        <f t="shared" si="19"/>
        <v>-1.1045756989641159E-2</v>
      </c>
      <c r="G87" s="86">
        <f t="shared" si="20"/>
        <v>-4.6930031381583033E-2</v>
      </c>
      <c r="H87" s="10" t="str">
        <f t="shared" si="21"/>
        <v>n/a (REBUILD)</v>
      </c>
      <c r="K87" s="2" t="s">
        <v>973</v>
      </c>
    </row>
    <row r="88" spans="1:11" x14ac:dyDescent="0.45">
      <c r="A88" s="13"/>
      <c r="B88" s="32" t="s">
        <v>228</v>
      </c>
      <c r="C88" s="85">
        <f t="shared" si="22"/>
        <v>-2.1477246481384715E-2</v>
      </c>
      <c r="D88" s="86">
        <v>0</v>
      </c>
      <c r="E88" s="86">
        <v>0</v>
      </c>
      <c r="F88" s="86">
        <f t="shared" si="19"/>
        <v>0</v>
      </c>
      <c r="G88" s="86">
        <f t="shared" si="20"/>
        <v>-2.1477246481384715E-2</v>
      </c>
      <c r="H88" s="10" t="str">
        <f t="shared" si="21"/>
        <v>n/a (REBUILD)</v>
      </c>
      <c r="K88" s="2"/>
    </row>
    <row r="89" spans="1:11" x14ac:dyDescent="0.45">
      <c r="A89" s="13"/>
      <c r="B89" s="32" t="s">
        <v>230</v>
      </c>
      <c r="C89" s="85">
        <f t="shared" si="22"/>
        <v>-2.1477246481384715E-2</v>
      </c>
      <c r="D89" s="86">
        <v>0</v>
      </c>
      <c r="E89" s="86">
        <v>0</v>
      </c>
      <c r="F89" s="86">
        <f t="shared" si="19"/>
        <v>0</v>
      </c>
      <c r="G89" s="86">
        <f t="shared" si="20"/>
        <v>-2.1477246481384715E-2</v>
      </c>
      <c r="H89" s="10" t="str">
        <f t="shared" si="21"/>
        <v>n/a (REBUILD)</v>
      </c>
      <c r="K89" s="2"/>
    </row>
    <row r="90" spans="1:11" x14ac:dyDescent="0.45">
      <c r="A90" s="13"/>
      <c r="B90" s="32" t="s">
        <v>233</v>
      </c>
      <c r="C90" s="85">
        <f t="shared" si="22"/>
        <v>-5.7975788371224191E-2</v>
      </c>
      <c r="D90" s="86">
        <v>-1.1045756989641159E-2</v>
      </c>
      <c r="E90" s="86">
        <v>-1.1045756989641159E-2</v>
      </c>
      <c r="F90" s="86">
        <f t="shared" si="19"/>
        <v>-1.1045756989641159E-2</v>
      </c>
      <c r="G90" s="86">
        <f t="shared" si="20"/>
        <v>-4.6930031381583033E-2</v>
      </c>
      <c r="H90" s="10" t="str">
        <f t="shared" si="21"/>
        <v>n/a (REBUILD)</v>
      </c>
      <c r="K90" s="2"/>
    </row>
    <row r="91" spans="1:11" x14ac:dyDescent="0.45">
      <c r="A91" s="13"/>
      <c r="B91" s="32" t="s">
        <v>237</v>
      </c>
      <c r="C91" s="85">
        <f t="shared" si="22"/>
        <v>-5.7984149124688633E-2</v>
      </c>
      <c r="D91" s="86">
        <v>-1.1054339904555619E-2</v>
      </c>
      <c r="E91" s="86">
        <v>-1.1054339904555619E-2</v>
      </c>
      <c r="F91" s="86">
        <f t="shared" si="19"/>
        <v>-1.1054339904555619E-2</v>
      </c>
      <c r="G91" s="86">
        <f t="shared" si="20"/>
        <v>-4.6929809220133012E-2</v>
      </c>
      <c r="H91" s="10" t="str">
        <f t="shared" si="21"/>
        <v>n/a (REBUILD)</v>
      </c>
      <c r="K91" s="2"/>
    </row>
    <row r="92" spans="1:11" x14ac:dyDescent="0.45">
      <c r="A92" s="13"/>
      <c r="B92" s="32" t="s">
        <v>240</v>
      </c>
      <c r="C92" s="85">
        <f t="shared" si="22"/>
        <v>-0.11243623074408593</v>
      </c>
      <c r="D92" s="86">
        <v>-1.1045756989641159E-2</v>
      </c>
      <c r="E92" s="86">
        <v>-1.1045756989641159E-2</v>
      </c>
      <c r="F92" s="86">
        <f t="shared" si="19"/>
        <v>-1.1045756989641159E-2</v>
      </c>
      <c r="G92" s="86">
        <f t="shared" si="20"/>
        <v>-0.10139047375444477</v>
      </c>
      <c r="H92" s="10" t="str">
        <f t="shared" si="21"/>
        <v>n/a (REBUILD)</v>
      </c>
      <c r="K92" s="2"/>
    </row>
    <row r="93" spans="1:11" x14ac:dyDescent="0.45">
      <c r="A93" s="5" t="s">
        <v>640</v>
      </c>
      <c r="B93" s="32" t="s">
        <v>223</v>
      </c>
      <c r="C93" s="85">
        <f t="shared" ref="C93:C98" si="23">INDEX(SumTbl,MATCH("cbintchx",SumKeys,0),MATCH($B93,SumHdr,0))</f>
        <v>-5.4226768436143935E-2</v>
      </c>
      <c r="D93" s="86">
        <v>-1.4124880673826329E-2</v>
      </c>
      <c r="E93" s="86">
        <v>-1.4124880673826329E-2</v>
      </c>
      <c r="F93" s="86">
        <f t="shared" si="19"/>
        <v>-1.4124880673826329E-2</v>
      </c>
      <c r="G93" s="86">
        <f t="shared" si="20"/>
        <v>-4.0101887762317608E-2</v>
      </c>
      <c r="H93" s="10" t="str">
        <f t="shared" si="21"/>
        <v>n/a (REBUILD)</v>
      </c>
      <c r="K93" s="2" t="s">
        <v>856</v>
      </c>
    </row>
    <row r="94" spans="1:11" x14ac:dyDescent="0.45">
      <c r="A94" s="13"/>
      <c r="B94" s="32" t="s">
        <v>228</v>
      </c>
      <c r="C94" s="85">
        <f t="shared" si="23"/>
        <v>-2.553018660039541E-2</v>
      </c>
      <c r="D94" s="86">
        <v>0</v>
      </c>
      <c r="E94" s="86">
        <v>0</v>
      </c>
      <c r="F94" s="86">
        <f t="shared" si="19"/>
        <v>0</v>
      </c>
      <c r="G94" s="86">
        <f t="shared" si="20"/>
        <v>-2.553018660039541E-2</v>
      </c>
      <c r="H94" s="10" t="str">
        <f t="shared" si="21"/>
        <v>n/a (REBUILD)</v>
      </c>
      <c r="K94" s="2"/>
    </row>
    <row r="95" spans="1:11" x14ac:dyDescent="0.45">
      <c r="A95" s="13"/>
      <c r="B95" s="32" t="s">
        <v>230</v>
      </c>
      <c r="C95" s="85">
        <f t="shared" si="23"/>
        <v>-2.553018660039541E-2</v>
      </c>
      <c r="D95" s="86">
        <v>0</v>
      </c>
      <c r="E95" s="86">
        <v>0</v>
      </c>
      <c r="F95" s="86">
        <f t="shared" si="19"/>
        <v>0</v>
      </c>
      <c r="G95" s="86">
        <f t="shared" si="20"/>
        <v>-2.553018660039541E-2</v>
      </c>
      <c r="H95" s="10" t="str">
        <f t="shared" si="21"/>
        <v>n/a (REBUILD)</v>
      </c>
      <c r="K95" s="2"/>
    </row>
    <row r="96" spans="1:11" x14ac:dyDescent="0.45">
      <c r="A96" s="13"/>
      <c r="B96" s="32" t="s">
        <v>233</v>
      </c>
      <c r="C96" s="85">
        <f t="shared" si="23"/>
        <v>-5.4226768436143935E-2</v>
      </c>
      <c r="D96" s="86">
        <v>-1.4124880673826329E-2</v>
      </c>
      <c r="E96" s="86">
        <v>-1.4124880673826329E-2</v>
      </c>
      <c r="F96" s="86">
        <f t="shared" si="19"/>
        <v>-1.4124880673826329E-2</v>
      </c>
      <c r="G96" s="86">
        <f t="shared" si="20"/>
        <v>-4.0101887762317608E-2</v>
      </c>
      <c r="H96" s="10" t="str">
        <f t="shared" si="21"/>
        <v>n/a (REBUILD)</v>
      </c>
      <c r="K96" s="2"/>
    </row>
    <row r="97" spans="1:11" x14ac:dyDescent="0.45">
      <c r="A97" s="13"/>
      <c r="B97" s="32" t="s">
        <v>237</v>
      </c>
      <c r="C97" s="85">
        <f t="shared" si="23"/>
        <v>-5.4226768436144046E-2</v>
      </c>
      <c r="D97" s="86">
        <v>-1.4124880673826329E-2</v>
      </c>
      <c r="E97" s="86">
        <v>-1.4124880673826329E-2</v>
      </c>
      <c r="F97" s="86">
        <f t="shared" si="19"/>
        <v>-1.4124880673826329E-2</v>
      </c>
      <c r="G97" s="86">
        <f t="shared" si="20"/>
        <v>-4.0101887762317719E-2</v>
      </c>
      <c r="H97" s="10" t="str">
        <f t="shared" si="21"/>
        <v>n/a (REBUILD)</v>
      </c>
      <c r="K97" s="2"/>
    </row>
    <row r="98" spans="1:11" x14ac:dyDescent="0.45">
      <c r="A98" s="13"/>
      <c r="B98" s="32" t="s">
        <v>240</v>
      </c>
      <c r="C98" s="85">
        <f t="shared" si="23"/>
        <v>-0.10508584231600837</v>
      </c>
      <c r="D98" s="86">
        <v>-1.4124880673826329E-2</v>
      </c>
      <c r="E98" s="86">
        <v>-1.4124880673826329E-2</v>
      </c>
      <c r="F98" s="86">
        <f t="shared" si="19"/>
        <v>-1.4124880673826329E-2</v>
      </c>
      <c r="G98" s="86">
        <f t="shared" si="20"/>
        <v>-9.0960961642182037E-2</v>
      </c>
      <c r="H98" s="10" t="str">
        <f t="shared" si="21"/>
        <v>n/a (REBUILD)</v>
      </c>
      <c r="K98" s="2"/>
    </row>
    <row r="99" spans="1:11" x14ac:dyDescent="0.45">
      <c r="A99" s="5" t="s">
        <v>634</v>
      </c>
      <c r="B99" s="32" t="s">
        <v>223</v>
      </c>
      <c r="C99" s="85">
        <f t="shared" ref="C99:C104" si="24">INDEX(SumTbl,MATCH("cbcovx",SumKeys,0),MATCH($B99,SumHdr,0))</f>
        <v>1</v>
      </c>
      <c r="D99" s="86">
        <v>1</v>
      </c>
      <c r="E99" s="86">
        <v>1</v>
      </c>
      <c r="F99" s="86">
        <f t="shared" si="19"/>
        <v>1</v>
      </c>
      <c r="G99" s="86">
        <f t="shared" si="20"/>
        <v>0</v>
      </c>
      <c r="H99" s="10" t="str">
        <f t="shared" si="21"/>
        <v>n/a (REBUILD)</v>
      </c>
      <c r="K99" s="2" t="s">
        <v>974</v>
      </c>
    </row>
    <row r="100" spans="1:11" x14ac:dyDescent="0.45">
      <c r="A100" s="13"/>
      <c r="B100" s="32" t="s">
        <v>228</v>
      </c>
      <c r="C100" s="85">
        <f t="shared" si="24"/>
        <v>0.52437567936948148</v>
      </c>
      <c r="D100" s="86">
        <v>0.54710770173786794</v>
      </c>
      <c r="E100" s="86">
        <v>0.54710770173786794</v>
      </c>
      <c r="F100" s="86">
        <f t="shared" si="19"/>
        <v>0.54710770173786794</v>
      </c>
      <c r="G100" s="86">
        <f t="shared" si="20"/>
        <v>-2.2732022368386451E-2</v>
      </c>
      <c r="H100" s="10" t="str">
        <f t="shared" si="21"/>
        <v>n/a (REBUILD)</v>
      </c>
      <c r="K100" s="2"/>
    </row>
    <row r="101" spans="1:11" x14ac:dyDescent="0.45">
      <c r="A101" s="13"/>
      <c r="B101" s="32" t="s">
        <v>230</v>
      </c>
      <c r="C101" s="85">
        <f t="shared" si="24"/>
        <v>0.52437567936948148</v>
      </c>
      <c r="D101" s="86">
        <v>0.54710770173786794</v>
      </c>
      <c r="E101" s="86">
        <v>0.54710770173786794</v>
      </c>
      <c r="F101" s="86">
        <f t="shared" si="19"/>
        <v>0.54710770173786794</v>
      </c>
      <c r="G101" s="86">
        <f t="shared" si="20"/>
        <v>-2.2732022368386451E-2</v>
      </c>
      <c r="H101" s="10" t="str">
        <f t="shared" si="21"/>
        <v>n/a (REBUILD)</v>
      </c>
      <c r="K101" s="2"/>
    </row>
    <row r="102" spans="1:11" x14ac:dyDescent="0.45">
      <c r="A102" s="13"/>
      <c r="B102" s="32" t="s">
        <v>233</v>
      </c>
      <c r="C102" s="85">
        <f t="shared" si="24"/>
        <v>1</v>
      </c>
      <c r="D102" s="86">
        <v>1</v>
      </c>
      <c r="E102" s="86">
        <v>1</v>
      </c>
      <c r="F102" s="86">
        <f t="shared" si="19"/>
        <v>1</v>
      </c>
      <c r="G102" s="86">
        <f t="shared" si="20"/>
        <v>0</v>
      </c>
      <c r="H102" s="10" t="str">
        <f t="shared" si="21"/>
        <v>n/a (REBUILD)</v>
      </c>
      <c r="K102" s="2"/>
    </row>
    <row r="103" spans="1:11" x14ac:dyDescent="0.45">
      <c r="A103" s="13"/>
      <c r="B103" s="32" t="s">
        <v>237</v>
      </c>
      <c r="C103" s="85">
        <f t="shared" si="24"/>
        <v>1</v>
      </c>
      <c r="D103" s="86">
        <v>1</v>
      </c>
      <c r="E103" s="86">
        <v>1</v>
      </c>
      <c r="F103" s="86">
        <f t="shared" si="19"/>
        <v>1</v>
      </c>
      <c r="G103" s="86">
        <f t="shared" si="20"/>
        <v>0</v>
      </c>
      <c r="H103" s="10" t="str">
        <f t="shared" si="21"/>
        <v>n/a (REBUILD)</v>
      </c>
      <c r="K103" s="2"/>
    </row>
    <row r="104" spans="1:11" x14ac:dyDescent="0.45">
      <c r="A104" s="13"/>
      <c r="B104" s="32" t="s">
        <v>240</v>
      </c>
      <c r="C104" s="85">
        <f t="shared" si="24"/>
        <v>1</v>
      </c>
      <c r="D104" s="86">
        <v>1</v>
      </c>
      <c r="E104" s="86">
        <v>1</v>
      </c>
      <c r="F104" s="86">
        <f t="shared" si="19"/>
        <v>1</v>
      </c>
      <c r="G104" s="86">
        <f t="shared" si="20"/>
        <v>0</v>
      </c>
      <c r="H104" s="10" t="str">
        <f t="shared" si="21"/>
        <v>n/a (REBUILD)</v>
      </c>
      <c r="K104" s="2"/>
    </row>
    <row r="105" spans="1:11" x14ac:dyDescent="0.45">
      <c r="A105" s="5" t="s">
        <v>643</v>
      </c>
      <c r="B105" s="32" t="s">
        <v>223</v>
      </c>
      <c r="C105" s="85">
        <f t="shared" ref="C105:C110" si="25">INDEX(SumTbl,MATCH("cbqch",SumKeys,0),MATCH($B105,SumHdr,0))</f>
        <v>-1.4877330252949857E-2</v>
      </c>
      <c r="D105" s="86">
        <v>-5.7719522416200167E-2</v>
      </c>
      <c r="E105" s="86">
        <v>-5.7719522416200167E-2</v>
      </c>
      <c r="F105" s="86">
        <f t="shared" si="19"/>
        <v>-5.7719522416200167E-2</v>
      </c>
      <c r="G105" s="86">
        <f t="shared" si="20"/>
        <v>4.284219216325031E-2</v>
      </c>
      <c r="H105" s="10" t="str">
        <f t="shared" si="21"/>
        <v>n/a (REBUILD)</v>
      </c>
      <c r="K105" s="2" t="s">
        <v>975</v>
      </c>
    </row>
    <row r="106" spans="1:11" x14ac:dyDescent="0.45">
      <c r="A106" s="13"/>
      <c r="B106" s="32" t="s">
        <v>228</v>
      </c>
      <c r="C106" s="85">
        <f t="shared" si="25"/>
        <v>-7.1552416328847998E-3</v>
      </c>
      <c r="D106" s="86">
        <v>-2.3607435786162791E-2</v>
      </c>
      <c r="E106" s="86">
        <v>-2.3607435786162791E-2</v>
      </c>
      <c r="F106" s="86">
        <f t="shared" si="19"/>
        <v>-2.3607435786162791E-2</v>
      </c>
      <c r="G106" s="86">
        <f t="shared" si="20"/>
        <v>1.6452194153277991E-2</v>
      </c>
      <c r="H106" s="10" t="str">
        <f t="shared" si="21"/>
        <v>n/a (REBUILD)</v>
      </c>
      <c r="K106" s="2"/>
    </row>
    <row r="107" spans="1:11" x14ac:dyDescent="0.45">
      <c r="A107" s="13"/>
      <c r="B107" s="32" t="s">
        <v>230</v>
      </c>
      <c r="C107" s="85">
        <f t="shared" si="25"/>
        <v>-7.1552416328847998E-3</v>
      </c>
      <c r="D107" s="86">
        <v>-2.3607435786162791E-2</v>
      </c>
      <c r="E107" s="86">
        <v>-2.3607435786162791E-2</v>
      </c>
      <c r="F107" s="86">
        <f t="shared" si="19"/>
        <v>-2.3607435786162791E-2</v>
      </c>
      <c r="G107" s="86">
        <f t="shared" si="20"/>
        <v>1.6452194153277991E-2</v>
      </c>
      <c r="H107" s="10" t="str">
        <f t="shared" si="21"/>
        <v>n/a (REBUILD)</v>
      </c>
      <c r="K107" s="2"/>
    </row>
    <row r="108" spans="1:11" x14ac:dyDescent="0.45">
      <c r="A108" s="13"/>
      <c r="B108" s="32" t="s">
        <v>233</v>
      </c>
      <c r="C108" s="85">
        <f t="shared" si="25"/>
        <v>-1.4877330252949857E-2</v>
      </c>
      <c r="D108" s="86">
        <v>-5.7719522416200167E-2</v>
      </c>
      <c r="E108" s="86">
        <v>-5.7719522416200167E-2</v>
      </c>
      <c r="F108" s="86">
        <f t="shared" si="19"/>
        <v>-5.7719522416200167E-2</v>
      </c>
      <c r="G108" s="86">
        <f t="shared" si="20"/>
        <v>4.284219216325031E-2</v>
      </c>
      <c r="H108" s="10" t="str">
        <f t="shared" si="21"/>
        <v>n/a (REBUILD)</v>
      </c>
      <c r="K108" s="2"/>
    </row>
    <row r="109" spans="1:11" x14ac:dyDescent="0.45">
      <c r="A109" s="13"/>
      <c r="B109" s="32" t="s">
        <v>237</v>
      </c>
      <c r="C109" s="85">
        <f t="shared" si="25"/>
        <v>0</v>
      </c>
      <c r="D109" s="86">
        <v>0</v>
      </c>
      <c r="E109" s="86">
        <v>0</v>
      </c>
      <c r="F109" s="86">
        <f t="shared" si="19"/>
        <v>0</v>
      </c>
      <c r="G109" s="86">
        <f t="shared" si="20"/>
        <v>0</v>
      </c>
      <c r="H109" s="10" t="str">
        <f t="shared" si="21"/>
        <v>n/a (REBUILD)</v>
      </c>
      <c r="K109" s="2"/>
    </row>
    <row r="110" spans="1:11" x14ac:dyDescent="0.45">
      <c r="A110" s="13"/>
      <c r="B110" s="32" t="s">
        <v>240</v>
      </c>
      <c r="C110" s="85">
        <f t="shared" si="25"/>
        <v>-1.4877330252949857E-2</v>
      </c>
      <c r="D110" s="86">
        <v>-5.7719522416200167E-2</v>
      </c>
      <c r="E110" s="86">
        <v>-5.7719522416200167E-2</v>
      </c>
      <c r="F110" s="86">
        <f t="shared" si="19"/>
        <v>-5.7719522416200167E-2</v>
      </c>
      <c r="G110" s="86">
        <f t="shared" si="20"/>
        <v>4.284219216325031E-2</v>
      </c>
      <c r="H110" s="10" t="str">
        <f t="shared" si="21"/>
        <v>n/a (REBUILD)</v>
      </c>
      <c r="K110" s="2"/>
    </row>
    <row r="111" spans="1:11" x14ac:dyDescent="0.45">
      <c r="A111" s="5" t="s">
        <v>596</v>
      </c>
      <c r="B111" s="32" t="s">
        <v>223</v>
      </c>
      <c r="C111" s="85">
        <f t="shared" ref="C111:C116" si="26">INDEX(SumTbl,MATCH("emrq",SumKeys,0),MATCH($B111,SumHdr,0))</f>
        <v>-0.92869665992700123</v>
      </c>
      <c r="D111" s="86">
        <v>-3.5299662045785229</v>
      </c>
      <c r="E111" s="86">
        <v>-3.5299662045785229</v>
      </c>
      <c r="F111" s="86">
        <f t="shared" si="19"/>
        <v>-3.5299662045785229</v>
      </c>
      <c r="G111" s="86">
        <f t="shared" si="20"/>
        <v>2.6012695446515215</v>
      </c>
      <c r="H111" s="10" t="str">
        <f t="shared" si="21"/>
        <v>n/a (REBUILD)</v>
      </c>
      <c r="K111" s="2" t="s">
        <v>976</v>
      </c>
    </row>
    <row r="112" spans="1:11" x14ac:dyDescent="0.45">
      <c r="A112" s="13"/>
      <c r="B112" s="32" t="s">
        <v>228</v>
      </c>
      <c r="C112" s="85">
        <f t="shared" si="26"/>
        <v>-0.44665601236573776</v>
      </c>
      <c r="D112" s="86">
        <v>-1.443765419627294</v>
      </c>
      <c r="E112" s="86">
        <v>-1.443765419627294</v>
      </c>
      <c r="F112" s="86">
        <f t="shared" si="19"/>
        <v>-1.443765419627294</v>
      </c>
      <c r="G112" s="86">
        <f t="shared" si="20"/>
        <v>0.99710940726155628</v>
      </c>
      <c r="H112" s="10" t="str">
        <f t="shared" si="21"/>
        <v>n/a (REBUILD)</v>
      </c>
      <c r="K112" s="2"/>
    </row>
    <row r="113" spans="1:11" x14ac:dyDescent="0.45">
      <c r="A113" s="13"/>
      <c r="B113" s="32" t="s">
        <v>230</v>
      </c>
      <c r="C113" s="85">
        <f t="shared" si="26"/>
        <v>-0.44665601236573776</v>
      </c>
      <c r="D113" s="86">
        <v>-1.443765419627294</v>
      </c>
      <c r="E113" s="86">
        <v>-1.443765419627294</v>
      </c>
      <c r="F113" s="86">
        <f t="shared" ref="F113:F144" si="27">IF(Conv="NOPHASE",E113,IF(Conv="FULL",D113,NA()))</f>
        <v>-1.443765419627294</v>
      </c>
      <c r="G113" s="86">
        <f t="shared" ref="G113:G144" si="28">IFERROR(C113-F113,NA())</f>
        <v>0.99710940726155628</v>
      </c>
      <c r="H113" s="10" t="str">
        <f t="shared" ref="H113:H144" si="29">IF(Mode&lt;&gt;"PROTOTYPE","n/a (REBUILD)",IF(Conv="SCALED","n/a (SCALED)",IF(ABS(G113)&lt;0.0000001*MAX(1,ABS(F113)),"PASS","FAIL")))</f>
        <v>n/a (REBUILD)</v>
      </c>
      <c r="K113" s="2"/>
    </row>
    <row r="114" spans="1:11" x14ac:dyDescent="0.45">
      <c r="A114" s="13"/>
      <c r="B114" s="32" t="s">
        <v>233</v>
      </c>
      <c r="C114" s="85">
        <f t="shared" si="26"/>
        <v>-0.92869665992700123</v>
      </c>
      <c r="D114" s="86">
        <v>-3.5299662045785229</v>
      </c>
      <c r="E114" s="86">
        <v>-3.5299662045785229</v>
      </c>
      <c r="F114" s="86">
        <f t="shared" si="27"/>
        <v>-3.5299662045785229</v>
      </c>
      <c r="G114" s="86">
        <f t="shared" si="28"/>
        <v>2.6012695446515215</v>
      </c>
      <c r="H114" s="10" t="str">
        <f t="shared" si="29"/>
        <v>n/a (REBUILD)</v>
      </c>
      <c r="K114" s="2"/>
    </row>
    <row r="115" spans="1:11" x14ac:dyDescent="0.45">
      <c r="A115" s="13"/>
      <c r="B115" s="32" t="s">
        <v>237</v>
      </c>
      <c r="C115" s="85">
        <f t="shared" si="26"/>
        <v>0</v>
      </c>
      <c r="D115" s="86">
        <v>0</v>
      </c>
      <c r="E115" s="86">
        <v>0</v>
      </c>
      <c r="F115" s="86">
        <f t="shared" si="27"/>
        <v>0</v>
      </c>
      <c r="G115" s="86">
        <f t="shared" si="28"/>
        <v>0</v>
      </c>
      <c r="H115" s="10" t="str">
        <f t="shared" si="29"/>
        <v>n/a (REBUILD)</v>
      </c>
      <c r="K115" s="2"/>
    </row>
    <row r="116" spans="1:11" x14ac:dyDescent="0.45">
      <c r="A116" s="13"/>
      <c r="B116" s="32" t="s">
        <v>240</v>
      </c>
      <c r="C116" s="85">
        <f t="shared" si="26"/>
        <v>-0.92869665992700123</v>
      </c>
      <c r="D116" s="86">
        <v>-3.5299662045785229</v>
      </c>
      <c r="E116" s="86">
        <v>-3.5299662045785229</v>
      </c>
      <c r="F116" s="86">
        <f t="shared" si="27"/>
        <v>-3.5299662045785229</v>
      </c>
      <c r="G116" s="86">
        <f t="shared" si="28"/>
        <v>2.6012695446515215</v>
      </c>
      <c r="H116" s="10" t="str">
        <f t="shared" si="29"/>
        <v>n/a (REBUILD)</v>
      </c>
      <c r="K116" s="2"/>
    </row>
    <row r="117" spans="1:11" x14ac:dyDescent="0.45">
      <c r="A117" s="5" t="s">
        <v>627</v>
      </c>
      <c r="B117" s="32" t="s">
        <v>223</v>
      </c>
      <c r="C117" s="85">
        <f t="shared" ref="C117:C122" si="30">INDEX(SumTbl,MATCH("emrt",SumKeys,0),MATCH($B117,SumHdr,0))</f>
        <v>-4.4939127353079025</v>
      </c>
      <c r="D117" s="86">
        <v>-4.1665029749424622</v>
      </c>
      <c r="E117" s="86">
        <v>-4.1665029749424622</v>
      </c>
      <c r="F117" s="86">
        <f t="shared" si="27"/>
        <v>-4.1665029749424622</v>
      </c>
      <c r="G117" s="86">
        <f t="shared" si="28"/>
        <v>-0.32740976036544023</v>
      </c>
      <c r="H117" s="10" t="str">
        <f t="shared" si="29"/>
        <v>n/a (REBUILD)</v>
      </c>
      <c r="K117" s="2" t="s">
        <v>977</v>
      </c>
    </row>
    <row r="118" spans="1:11" x14ac:dyDescent="0.45">
      <c r="A118" s="13"/>
      <c r="B118" s="32" t="s">
        <v>228</v>
      </c>
      <c r="C118" s="85">
        <f t="shared" si="30"/>
        <v>-1.7777503269786661</v>
      </c>
      <c r="D118" s="86">
        <v>-1.443765419627294</v>
      </c>
      <c r="E118" s="86">
        <v>-1.443765419627294</v>
      </c>
      <c r="F118" s="86">
        <f t="shared" si="27"/>
        <v>-1.443765419627294</v>
      </c>
      <c r="G118" s="86">
        <f t="shared" si="28"/>
        <v>-0.3339849073513721</v>
      </c>
      <c r="H118" s="10" t="str">
        <f t="shared" si="29"/>
        <v>n/a (REBUILD)</v>
      </c>
      <c r="K118" s="2"/>
    </row>
    <row r="119" spans="1:11" x14ac:dyDescent="0.45">
      <c r="A119" s="13"/>
      <c r="B119" s="32" t="s">
        <v>230</v>
      </c>
      <c r="C119" s="85">
        <f t="shared" si="30"/>
        <v>-1.7777503269786661</v>
      </c>
      <c r="D119" s="86">
        <v>-1.443765419627294</v>
      </c>
      <c r="E119" s="86">
        <v>-1.443765419627294</v>
      </c>
      <c r="F119" s="86">
        <f t="shared" si="27"/>
        <v>-1.443765419627294</v>
      </c>
      <c r="G119" s="86">
        <f t="shared" si="28"/>
        <v>-0.3339849073513721</v>
      </c>
      <c r="H119" s="10" t="str">
        <f t="shared" si="29"/>
        <v>n/a (REBUILD)</v>
      </c>
      <c r="K119" s="2"/>
    </row>
    <row r="120" spans="1:11" x14ac:dyDescent="0.45">
      <c r="A120" s="13"/>
      <c r="B120" s="32" t="s">
        <v>233</v>
      </c>
      <c r="C120" s="85">
        <f t="shared" si="30"/>
        <v>-4.4939127353079025</v>
      </c>
      <c r="D120" s="86">
        <v>-4.1665029749424622</v>
      </c>
      <c r="E120" s="86">
        <v>-4.1665029749424622</v>
      </c>
      <c r="F120" s="86">
        <f t="shared" si="27"/>
        <v>-4.1665029749424622</v>
      </c>
      <c r="G120" s="86">
        <f t="shared" si="28"/>
        <v>-0.32740976036544023</v>
      </c>
      <c r="H120" s="10" t="str">
        <f t="shared" si="29"/>
        <v>n/a (REBUILD)</v>
      </c>
      <c r="K120" s="2"/>
    </row>
    <row r="121" spans="1:11" x14ac:dyDescent="0.45">
      <c r="A121" s="13"/>
      <c r="B121" s="32" t="s">
        <v>237</v>
      </c>
      <c r="C121" s="85">
        <f t="shared" si="30"/>
        <v>-3.6195799048105517</v>
      </c>
      <c r="D121" s="86">
        <v>-0.67605282655721677</v>
      </c>
      <c r="E121" s="86">
        <v>-0.67605282655721677</v>
      </c>
      <c r="F121" s="86">
        <f t="shared" si="27"/>
        <v>-0.67605282655721677</v>
      </c>
      <c r="G121" s="86">
        <f t="shared" si="28"/>
        <v>-2.9435270782533349</v>
      </c>
      <c r="H121" s="10" t="str">
        <f t="shared" si="29"/>
        <v>n/a (REBUILD)</v>
      </c>
      <c r="K121" s="2"/>
    </row>
    <row r="122" spans="1:11" x14ac:dyDescent="0.45">
      <c r="A122" s="13"/>
      <c r="B122" s="32" t="s">
        <v>240</v>
      </c>
      <c r="C122" s="85">
        <f t="shared" si="30"/>
        <v>-7.8429529135429616</v>
      </c>
      <c r="D122" s="86">
        <v>-4.1665029749424622</v>
      </c>
      <c r="E122" s="86">
        <v>-4.1665029749424622</v>
      </c>
      <c r="F122" s="86">
        <f t="shared" si="27"/>
        <v>-4.1665029749424622</v>
      </c>
      <c r="G122" s="86">
        <f t="shared" si="28"/>
        <v>-3.6764499386004994</v>
      </c>
      <c r="H122" s="10" t="str">
        <f t="shared" si="29"/>
        <v>n/a (REBUILD)</v>
      </c>
      <c r="K122" s="2"/>
    </row>
    <row r="123" spans="1:11" x14ac:dyDescent="0.45">
      <c r="A123" s="5" t="s">
        <v>593</v>
      </c>
      <c r="B123" s="32" t="s">
        <v>223</v>
      </c>
      <c r="C123" s="85">
        <f t="shared" ref="C123:C128" si="31">INDEX(SumTbl,MATCH("emis",SumKeys,0),MATCH($B123,SumHdr,0))</f>
        <v>57.929697155509736</v>
      </c>
      <c r="D123" s="86">
        <v>56.990728700068161</v>
      </c>
      <c r="E123" s="86">
        <v>56.990728700068161</v>
      </c>
      <c r="F123" s="86">
        <f t="shared" si="27"/>
        <v>56.990728700068161</v>
      </c>
      <c r="G123" s="86">
        <f t="shared" si="28"/>
        <v>0.93896845544157514</v>
      </c>
      <c r="H123" s="10" t="str">
        <f t="shared" si="29"/>
        <v>n/a (REBUILD)</v>
      </c>
      <c r="K123" s="2" t="s">
        <v>978</v>
      </c>
    </row>
    <row r="124" spans="1:11" x14ac:dyDescent="0.45">
      <c r="A124" s="13"/>
      <c r="B124" s="32" t="s">
        <v>228</v>
      </c>
      <c r="C124" s="85">
        <f t="shared" si="31"/>
        <v>60.645859563838968</v>
      </c>
      <c r="D124" s="86">
        <v>59.713466255383317</v>
      </c>
      <c r="E124" s="86">
        <v>59.713466255383317</v>
      </c>
      <c r="F124" s="86">
        <f t="shared" si="27"/>
        <v>59.713466255383317</v>
      </c>
      <c r="G124" s="86">
        <f t="shared" si="28"/>
        <v>0.93239330845565149</v>
      </c>
      <c r="H124" s="10" t="str">
        <f t="shared" si="29"/>
        <v>n/a (REBUILD)</v>
      </c>
      <c r="K124" s="2"/>
    </row>
    <row r="125" spans="1:11" x14ac:dyDescent="0.45">
      <c r="A125" s="13"/>
      <c r="B125" s="32" t="s">
        <v>230</v>
      </c>
      <c r="C125" s="85">
        <f t="shared" si="31"/>
        <v>60.645859563838968</v>
      </c>
      <c r="D125" s="86">
        <v>59.713466255383317</v>
      </c>
      <c r="E125" s="86">
        <v>59.713466255383317</v>
      </c>
      <c r="F125" s="86">
        <f t="shared" si="27"/>
        <v>59.713466255383317</v>
      </c>
      <c r="G125" s="86">
        <f t="shared" si="28"/>
        <v>0.93239330845565149</v>
      </c>
      <c r="H125" s="10" t="str">
        <f t="shared" si="29"/>
        <v>n/a (REBUILD)</v>
      </c>
      <c r="K125" s="2"/>
    </row>
    <row r="126" spans="1:11" x14ac:dyDescent="0.45">
      <c r="A126" s="13"/>
      <c r="B126" s="32" t="s">
        <v>233</v>
      </c>
      <c r="C126" s="85">
        <f t="shared" si="31"/>
        <v>57.929697155509736</v>
      </c>
      <c r="D126" s="86">
        <v>56.990728700068161</v>
      </c>
      <c r="E126" s="86">
        <v>56.990728700068161</v>
      </c>
      <c r="F126" s="86">
        <f t="shared" si="27"/>
        <v>56.990728700068161</v>
      </c>
      <c r="G126" s="86">
        <f t="shared" si="28"/>
        <v>0.93896845544157514</v>
      </c>
      <c r="H126" s="10" t="str">
        <f t="shared" si="29"/>
        <v>n/a (REBUILD)</v>
      </c>
      <c r="K126" s="2"/>
    </row>
    <row r="127" spans="1:11" x14ac:dyDescent="0.45">
      <c r="A127" s="13"/>
      <c r="B127" s="32" t="s">
        <v>237</v>
      </c>
      <c r="C127" s="85">
        <f t="shared" si="31"/>
        <v>58.804029986007087</v>
      </c>
      <c r="D127" s="86">
        <v>60.481178848453403</v>
      </c>
      <c r="E127" s="86">
        <v>60.481178848453403</v>
      </c>
      <c r="F127" s="86">
        <f t="shared" si="27"/>
        <v>60.481178848453403</v>
      </c>
      <c r="G127" s="86">
        <f t="shared" si="28"/>
        <v>-1.677148862446316</v>
      </c>
      <c r="H127" s="10" t="str">
        <f t="shared" si="29"/>
        <v>n/a (REBUILD)</v>
      </c>
      <c r="K127" s="2"/>
    </row>
    <row r="128" spans="1:11" x14ac:dyDescent="0.45">
      <c r="A128" s="13"/>
      <c r="B128" s="32" t="s">
        <v>240</v>
      </c>
      <c r="C128" s="85">
        <f t="shared" si="31"/>
        <v>54.580656977274685</v>
      </c>
      <c r="D128" s="86">
        <v>56.990728700068161</v>
      </c>
      <c r="E128" s="86">
        <v>56.990728700068161</v>
      </c>
      <c r="F128" s="86">
        <f t="shared" si="27"/>
        <v>56.990728700068161</v>
      </c>
      <c r="G128" s="86">
        <f t="shared" si="28"/>
        <v>-2.4100717227934751</v>
      </c>
      <c r="H128" s="10" t="str">
        <f t="shared" si="29"/>
        <v>n/a (REBUILD)</v>
      </c>
      <c r="K128" s="2"/>
    </row>
    <row r="129" spans="1:11" x14ac:dyDescent="0.45">
      <c r="A129" s="5" t="s">
        <v>979</v>
      </c>
      <c r="B129" s="32" t="s">
        <v>223</v>
      </c>
      <c r="C129" s="85">
        <f t="shared" ref="C129:C134" si="32">INDEX(SumTbl,MATCH("ERp",SumKeys,0),MATCH($B129,SumHdr,0))</f>
        <v>-2.242427612552663</v>
      </c>
      <c r="D129" s="86">
        <v>-0.63653677036393996</v>
      </c>
      <c r="E129" s="86">
        <v>-0.63653677036393996</v>
      </c>
      <c r="F129" s="86">
        <f t="shared" si="27"/>
        <v>-0.63653677036393996</v>
      </c>
      <c r="G129" s="86">
        <f t="shared" si="28"/>
        <v>-1.605890842188723</v>
      </c>
      <c r="H129" s="10" t="str">
        <f t="shared" si="29"/>
        <v>n/a (REBUILD)</v>
      </c>
      <c r="K129" s="2" t="s">
        <v>980</v>
      </c>
    </row>
    <row r="130" spans="1:11" x14ac:dyDescent="0.45">
      <c r="A130" s="13"/>
      <c r="B130" s="32" t="s">
        <v>228</v>
      </c>
      <c r="C130" s="85">
        <f t="shared" si="32"/>
        <v>0</v>
      </c>
      <c r="D130" s="86">
        <v>0</v>
      </c>
      <c r="E130" s="86">
        <v>0</v>
      </c>
      <c r="F130" s="86">
        <f t="shared" si="27"/>
        <v>0</v>
      </c>
      <c r="G130" s="86">
        <f t="shared" si="28"/>
        <v>0</v>
      </c>
      <c r="H130" s="10" t="str">
        <f t="shared" si="29"/>
        <v>n/a (REBUILD)</v>
      </c>
      <c r="K130" s="2"/>
    </row>
    <row r="131" spans="1:11" x14ac:dyDescent="0.45">
      <c r="A131" s="13"/>
      <c r="B131" s="32" t="s">
        <v>230</v>
      </c>
      <c r="C131" s="85">
        <f t="shared" si="32"/>
        <v>0</v>
      </c>
      <c r="D131" s="86">
        <v>0</v>
      </c>
      <c r="E131" s="86">
        <v>0</v>
      </c>
      <c r="F131" s="86">
        <f t="shared" si="27"/>
        <v>0</v>
      </c>
      <c r="G131" s="86">
        <f t="shared" si="28"/>
        <v>0</v>
      </c>
      <c r="H131" s="10" t="str">
        <f t="shared" si="29"/>
        <v>n/a (REBUILD)</v>
      </c>
      <c r="K131" s="2"/>
    </row>
    <row r="132" spans="1:11" x14ac:dyDescent="0.45">
      <c r="A132" s="13"/>
      <c r="B132" s="32" t="s">
        <v>233</v>
      </c>
      <c r="C132" s="85">
        <f t="shared" si="32"/>
        <v>-2.242427612552663</v>
      </c>
      <c r="D132" s="86">
        <v>-0.63653677036393996</v>
      </c>
      <c r="E132" s="86">
        <v>-0.63653677036393996</v>
      </c>
      <c r="F132" s="86">
        <f t="shared" si="27"/>
        <v>-0.63653677036393996</v>
      </c>
      <c r="G132" s="86">
        <f t="shared" si="28"/>
        <v>-1.605890842188723</v>
      </c>
      <c r="H132" s="10" t="str">
        <f t="shared" si="29"/>
        <v>n/a (REBUILD)</v>
      </c>
      <c r="K132" s="2"/>
    </row>
    <row r="133" spans="1:11" x14ac:dyDescent="0.45">
      <c r="A133" s="13"/>
      <c r="B133" s="32" t="s">
        <v>237</v>
      </c>
      <c r="C133" s="85">
        <f t="shared" si="32"/>
        <v>-2.2757201185714711</v>
      </c>
      <c r="D133" s="86">
        <v>-0.67605282655721677</v>
      </c>
      <c r="E133" s="86">
        <v>-0.67605282655721677</v>
      </c>
      <c r="F133" s="86">
        <f t="shared" si="27"/>
        <v>-0.67605282655721677</v>
      </c>
      <c r="G133" s="86">
        <f t="shared" si="28"/>
        <v>-1.5996672920142543</v>
      </c>
      <c r="H133" s="10" t="str">
        <f t="shared" si="29"/>
        <v>n/a (REBUILD)</v>
      </c>
      <c r="K133" s="2"/>
    </row>
    <row r="134" spans="1:11" x14ac:dyDescent="0.45">
      <c r="A134" s="13"/>
      <c r="B134" s="32" t="s">
        <v>240</v>
      </c>
      <c r="C134" s="85">
        <f t="shared" si="32"/>
        <v>-4.333081697515337</v>
      </c>
      <c r="D134" s="86">
        <v>-0.63653677036393996</v>
      </c>
      <c r="E134" s="86">
        <v>-0.63653677036393996</v>
      </c>
      <c r="F134" s="86">
        <f t="shared" si="27"/>
        <v>-0.63653677036393996</v>
      </c>
      <c r="G134" s="86">
        <f t="shared" si="28"/>
        <v>-3.6965449271513968</v>
      </c>
      <c r="H134" s="10" t="str">
        <f t="shared" si="29"/>
        <v>n/a (REBUILD)</v>
      </c>
      <c r="K134" s="2"/>
    </row>
    <row r="135" spans="1:11" x14ac:dyDescent="0.45">
      <c r="A135" s="5" t="s">
        <v>981</v>
      </c>
      <c r="B135" s="32" t="s">
        <v>223</v>
      </c>
      <c r="C135" s="85">
        <f t="shared" ref="C135:C140" si="33">INDEX(SumTbl,MATCH("ERf",SumKeys,0),MATCH($B135,SumHdr,0))</f>
        <v>-1.3227884628282383</v>
      </c>
      <c r="D135" s="86">
        <v>0</v>
      </c>
      <c r="E135" s="86">
        <v>0</v>
      </c>
      <c r="F135" s="86">
        <f t="shared" si="27"/>
        <v>0</v>
      </c>
      <c r="G135" s="86">
        <f t="shared" si="28"/>
        <v>-1.3227884628282383</v>
      </c>
      <c r="H135" s="10" t="str">
        <f t="shared" si="29"/>
        <v>n/a (REBUILD)</v>
      </c>
      <c r="K135" s="2" t="s">
        <v>982</v>
      </c>
    </row>
    <row r="136" spans="1:11" x14ac:dyDescent="0.45">
      <c r="A136" s="13"/>
      <c r="B136" s="32" t="s">
        <v>228</v>
      </c>
      <c r="C136" s="85">
        <f t="shared" si="33"/>
        <v>-1.3310943146129284</v>
      </c>
      <c r="D136" s="86">
        <v>0</v>
      </c>
      <c r="E136" s="86">
        <v>0</v>
      </c>
      <c r="F136" s="86">
        <f t="shared" si="27"/>
        <v>0</v>
      </c>
      <c r="G136" s="86">
        <f t="shared" si="28"/>
        <v>-1.3310943146129284</v>
      </c>
      <c r="H136" s="10" t="str">
        <f t="shared" si="29"/>
        <v>n/a (REBUILD)</v>
      </c>
      <c r="K136" s="2"/>
    </row>
    <row r="137" spans="1:11" x14ac:dyDescent="0.45">
      <c r="A137" s="13"/>
      <c r="B137" s="32" t="s">
        <v>230</v>
      </c>
      <c r="C137" s="85">
        <f t="shared" si="33"/>
        <v>-1.3310943146129284</v>
      </c>
      <c r="D137" s="86">
        <v>0</v>
      </c>
      <c r="E137" s="86">
        <v>0</v>
      </c>
      <c r="F137" s="86">
        <f t="shared" si="27"/>
        <v>0</v>
      </c>
      <c r="G137" s="86">
        <f t="shared" si="28"/>
        <v>-1.3310943146129284</v>
      </c>
      <c r="H137" s="10" t="str">
        <f t="shared" si="29"/>
        <v>n/a (REBUILD)</v>
      </c>
      <c r="K137" s="2"/>
    </row>
    <row r="138" spans="1:11" x14ac:dyDescent="0.45">
      <c r="A138" s="13"/>
      <c r="B138" s="32" t="s">
        <v>233</v>
      </c>
      <c r="C138" s="85">
        <f t="shared" si="33"/>
        <v>-1.3227884628282383</v>
      </c>
      <c r="D138" s="86">
        <v>0</v>
      </c>
      <c r="E138" s="86">
        <v>0</v>
      </c>
      <c r="F138" s="86">
        <f t="shared" si="27"/>
        <v>0</v>
      </c>
      <c r="G138" s="86">
        <f t="shared" si="28"/>
        <v>-1.3227884628282383</v>
      </c>
      <c r="H138" s="10" t="str">
        <f t="shared" si="29"/>
        <v>n/a (REBUILD)</v>
      </c>
      <c r="K138" s="2"/>
    </row>
    <row r="139" spans="1:11" x14ac:dyDescent="0.45">
      <c r="A139" s="13"/>
      <c r="B139" s="32" t="s">
        <v>237</v>
      </c>
      <c r="C139" s="85">
        <f t="shared" si="33"/>
        <v>-1.3438597862390809</v>
      </c>
      <c r="D139" s="86">
        <v>0</v>
      </c>
      <c r="E139" s="86">
        <v>0</v>
      </c>
      <c r="F139" s="86">
        <f t="shared" si="27"/>
        <v>0</v>
      </c>
      <c r="G139" s="86">
        <f t="shared" si="28"/>
        <v>-1.3438597862390809</v>
      </c>
      <c r="H139" s="10" t="str">
        <f t="shared" si="29"/>
        <v>n/a (REBUILD)</v>
      </c>
      <c r="K139" s="2"/>
    </row>
    <row r="140" spans="1:11" x14ac:dyDescent="0.45">
      <c r="A140" s="13"/>
      <c r="B140" s="32" t="s">
        <v>240</v>
      </c>
      <c r="C140" s="85">
        <f t="shared" si="33"/>
        <v>-2.5811745561006232</v>
      </c>
      <c r="D140" s="86">
        <v>0</v>
      </c>
      <c r="E140" s="86">
        <v>0</v>
      </c>
      <c r="F140" s="86">
        <f t="shared" si="27"/>
        <v>0</v>
      </c>
      <c r="G140" s="86">
        <f t="shared" si="28"/>
        <v>-2.5811745561006232</v>
      </c>
      <c r="H140" s="10" t="str">
        <f t="shared" si="29"/>
        <v>n/a (REBUILD)</v>
      </c>
      <c r="K140" s="2"/>
    </row>
    <row r="141" spans="1:11" x14ac:dyDescent="0.45">
      <c r="A141" s="5" t="s">
        <v>624</v>
      </c>
      <c r="B141" s="32" t="s">
        <v>223</v>
      </c>
      <c r="C141" s="85">
        <f t="shared" ref="C141:C146" si="34">INDEX(SumTbl,MATCH("emr",SumKeys,0),MATCH($B141,SumHdr,0))</f>
        <v>-3.565216075380901</v>
      </c>
      <c r="D141" s="86">
        <v>-0.63653677036393996</v>
      </c>
      <c r="E141" s="86">
        <v>-0.63653677036393996</v>
      </c>
      <c r="F141" s="86">
        <f t="shared" si="27"/>
        <v>-0.63653677036393996</v>
      </c>
      <c r="G141" s="86">
        <f t="shared" si="28"/>
        <v>-2.9286793050169608</v>
      </c>
      <c r="H141" s="10" t="str">
        <f t="shared" si="29"/>
        <v>n/a (REBUILD)</v>
      </c>
      <c r="K141" s="2" t="s">
        <v>983</v>
      </c>
    </row>
    <row r="142" spans="1:11" x14ac:dyDescent="0.45">
      <c r="A142" s="13"/>
      <c r="B142" s="32" t="s">
        <v>228</v>
      </c>
      <c r="C142" s="85">
        <f t="shared" si="34"/>
        <v>-1.3310943146129284</v>
      </c>
      <c r="D142" s="86">
        <v>0</v>
      </c>
      <c r="E142" s="86">
        <v>0</v>
      </c>
      <c r="F142" s="86">
        <f t="shared" si="27"/>
        <v>0</v>
      </c>
      <c r="G142" s="86">
        <f t="shared" si="28"/>
        <v>-1.3310943146129284</v>
      </c>
      <c r="H142" s="10" t="str">
        <f t="shared" si="29"/>
        <v>n/a (REBUILD)</v>
      </c>
      <c r="K142" s="2"/>
    </row>
    <row r="143" spans="1:11" x14ac:dyDescent="0.45">
      <c r="A143" s="13"/>
      <c r="B143" s="32" t="s">
        <v>230</v>
      </c>
      <c r="C143" s="85">
        <f t="shared" si="34"/>
        <v>-1.3310943146129284</v>
      </c>
      <c r="D143" s="86">
        <v>0</v>
      </c>
      <c r="E143" s="86">
        <v>0</v>
      </c>
      <c r="F143" s="86">
        <f t="shared" si="27"/>
        <v>0</v>
      </c>
      <c r="G143" s="86">
        <f t="shared" si="28"/>
        <v>-1.3310943146129284</v>
      </c>
      <c r="H143" s="10" t="str">
        <f t="shared" si="29"/>
        <v>n/a (REBUILD)</v>
      </c>
      <c r="K143" s="2"/>
    </row>
    <row r="144" spans="1:11" x14ac:dyDescent="0.45">
      <c r="A144" s="13"/>
      <c r="B144" s="32" t="s">
        <v>233</v>
      </c>
      <c r="C144" s="85">
        <f t="shared" si="34"/>
        <v>-3.565216075380901</v>
      </c>
      <c r="D144" s="86">
        <v>-0.63653677036393996</v>
      </c>
      <c r="E144" s="86">
        <v>-0.63653677036393996</v>
      </c>
      <c r="F144" s="86">
        <f t="shared" si="27"/>
        <v>-0.63653677036393996</v>
      </c>
      <c r="G144" s="86">
        <f t="shared" si="28"/>
        <v>-2.9286793050169608</v>
      </c>
      <c r="H144" s="10" t="str">
        <f t="shared" si="29"/>
        <v>n/a (REBUILD)</v>
      </c>
      <c r="K144" s="2"/>
    </row>
    <row r="145" spans="1:11" x14ac:dyDescent="0.45">
      <c r="A145" s="13"/>
      <c r="B145" s="32" t="s">
        <v>237</v>
      </c>
      <c r="C145" s="85">
        <f t="shared" si="34"/>
        <v>-3.6195799048105517</v>
      </c>
      <c r="D145" s="86">
        <v>-0.67605282655721677</v>
      </c>
      <c r="E145" s="86">
        <v>-0.67605282655721677</v>
      </c>
      <c r="F145" s="86">
        <f t="shared" ref="F145:F176" si="35">IF(Conv="NOPHASE",E145,IF(Conv="FULL",D145,NA()))</f>
        <v>-0.67605282655721677</v>
      </c>
      <c r="G145" s="86">
        <f t="shared" ref="G145:G176" si="36">IFERROR(C145-F145,NA())</f>
        <v>-2.9435270782533349</v>
      </c>
      <c r="H145" s="10" t="str">
        <f t="shared" ref="H145:H176" si="37">IF(Mode&lt;&gt;"PROTOTYPE","n/a (REBUILD)",IF(Conv="SCALED","n/a (SCALED)",IF(ABS(G145)&lt;0.0000001*MAX(1,ABS(F145)),"PASS","FAIL")))</f>
        <v>n/a (REBUILD)</v>
      </c>
      <c r="K145" s="2"/>
    </row>
    <row r="146" spans="1:11" x14ac:dyDescent="0.45">
      <c r="A146" s="13"/>
      <c r="B146" s="32" t="s">
        <v>240</v>
      </c>
      <c r="C146" s="85">
        <f t="shared" si="34"/>
        <v>-6.9142562536159602</v>
      </c>
      <c r="D146" s="86">
        <v>-0.63653677036393996</v>
      </c>
      <c r="E146" s="86">
        <v>-0.63653677036393996</v>
      </c>
      <c r="F146" s="86">
        <f t="shared" si="35"/>
        <v>-0.63653677036393996</v>
      </c>
      <c r="G146" s="86">
        <f t="shared" si="36"/>
        <v>-6.27771948325202</v>
      </c>
      <c r="H146" s="10" t="str">
        <f t="shared" si="37"/>
        <v>n/a (REBUILD)</v>
      </c>
      <c r="K146" s="2"/>
    </row>
    <row r="147" spans="1:11" x14ac:dyDescent="0.45">
      <c r="A147" s="5" t="s">
        <v>602</v>
      </c>
      <c r="B147" s="32" t="s">
        <v>223</v>
      </c>
      <c r="C147" s="85">
        <f t="shared" ref="C147:C152" si="38">INDEX(SumTbl,MATCH("revf",SumKeys,0),MATCH($B147,SumHdr,0))</f>
        <v>516.93085749603927</v>
      </c>
      <c r="D147" s="86">
        <v>516.88017663747053</v>
      </c>
      <c r="E147" s="86">
        <v>516.88017663747053</v>
      </c>
      <c r="F147" s="86">
        <f t="shared" si="35"/>
        <v>516.88017663747053</v>
      </c>
      <c r="G147" s="86">
        <f t="shared" si="36"/>
        <v>5.0680858568739495E-2</v>
      </c>
      <c r="H147" s="10" t="str">
        <f t="shared" si="37"/>
        <v>n/a (REBUILD)</v>
      </c>
      <c r="K147" s="2" t="s">
        <v>984</v>
      </c>
    </row>
    <row r="148" spans="1:11" x14ac:dyDescent="0.45">
      <c r="A148" s="13"/>
      <c r="B148" s="32" t="s">
        <v>228</v>
      </c>
      <c r="C148" s="85">
        <f t="shared" si="38"/>
        <v>520.17669098034037</v>
      </c>
      <c r="D148" s="86">
        <v>531.51967180977238</v>
      </c>
      <c r="E148" s="86">
        <v>531.51967180977238</v>
      </c>
      <c r="F148" s="86">
        <f t="shared" si="35"/>
        <v>531.51967180977238</v>
      </c>
      <c r="G148" s="86">
        <f t="shared" si="36"/>
        <v>-11.342980829432008</v>
      </c>
      <c r="H148" s="10" t="str">
        <f t="shared" si="37"/>
        <v>n/a (REBUILD)</v>
      </c>
      <c r="K148" s="2"/>
    </row>
    <row r="149" spans="1:11" x14ac:dyDescent="0.45">
      <c r="A149" s="13"/>
      <c r="B149" s="32" t="s">
        <v>230</v>
      </c>
      <c r="C149" s="85">
        <f t="shared" si="38"/>
        <v>520.17669098034037</v>
      </c>
      <c r="D149" s="86">
        <v>531.51967180977238</v>
      </c>
      <c r="E149" s="86">
        <v>531.51967180977238</v>
      </c>
      <c r="F149" s="86">
        <f t="shared" si="35"/>
        <v>531.51967180977238</v>
      </c>
      <c r="G149" s="86">
        <f t="shared" si="36"/>
        <v>-11.342980829432008</v>
      </c>
      <c r="H149" s="10" t="str">
        <f t="shared" si="37"/>
        <v>n/a (REBUILD)</v>
      </c>
      <c r="K149" s="2"/>
    </row>
    <row r="150" spans="1:11" x14ac:dyDescent="0.45">
      <c r="A150" s="13"/>
      <c r="B150" s="32" t="s">
        <v>233</v>
      </c>
      <c r="C150" s="85">
        <f t="shared" si="38"/>
        <v>516.93085749603927</v>
      </c>
      <c r="D150" s="86">
        <v>516.88017663747053</v>
      </c>
      <c r="E150" s="86">
        <v>516.88017663747053</v>
      </c>
      <c r="F150" s="86">
        <f t="shared" si="35"/>
        <v>516.88017663747053</v>
      </c>
      <c r="G150" s="86">
        <f t="shared" si="36"/>
        <v>5.0680858568739495E-2</v>
      </c>
      <c r="H150" s="10" t="str">
        <f t="shared" si="37"/>
        <v>n/a (REBUILD)</v>
      </c>
      <c r="K150" s="2"/>
    </row>
    <row r="151" spans="1:11" x14ac:dyDescent="0.45">
      <c r="A151" s="13"/>
      <c r="B151" s="32" t="s">
        <v>237</v>
      </c>
      <c r="C151" s="85">
        <f t="shared" si="38"/>
        <v>525.16529375356038</v>
      </c>
      <c r="D151" s="86">
        <v>544.16439410279168</v>
      </c>
      <c r="E151" s="86">
        <v>544.16439410279168</v>
      </c>
      <c r="F151" s="86">
        <f t="shared" si="35"/>
        <v>544.16439410279168</v>
      </c>
      <c r="G151" s="86">
        <f t="shared" si="36"/>
        <v>-18.999100349231298</v>
      </c>
      <c r="H151" s="10" t="str">
        <f t="shared" si="37"/>
        <v>n/a (REBUILD)</v>
      </c>
      <c r="K151" s="2"/>
    </row>
    <row r="152" spans="1:11" x14ac:dyDescent="0.45">
      <c r="A152" s="13"/>
      <c r="B152" s="32" t="s">
        <v>240</v>
      </c>
      <c r="C152" s="85">
        <f t="shared" si="38"/>
        <v>491.76313563059159</v>
      </c>
      <c r="D152" s="86">
        <v>516.88017663747053</v>
      </c>
      <c r="E152" s="86">
        <v>516.88017663747053</v>
      </c>
      <c r="F152" s="86">
        <f t="shared" si="35"/>
        <v>516.88017663747053</v>
      </c>
      <c r="G152" s="86">
        <f t="shared" si="36"/>
        <v>-25.117041006878935</v>
      </c>
      <c r="H152" s="10" t="str">
        <f t="shared" si="37"/>
        <v>n/a (REBUILD)</v>
      </c>
      <c r="K152" s="2"/>
    </row>
    <row r="153" spans="1:11" x14ac:dyDescent="0.45">
      <c r="A153" s="5" t="s">
        <v>606</v>
      </c>
      <c r="B153" s="32" t="s">
        <v>223</v>
      </c>
      <c r="C153" s="85">
        <f t="shared" ref="C153:C158" si="39">INDEX(SumTbl,MATCH("revp",SumKeys,0),MATCH($B153,SumHdr,0))</f>
        <v>641.66308561415553</v>
      </c>
      <c r="D153" s="86">
        <v>622.93439736389246</v>
      </c>
      <c r="E153" s="86">
        <v>622.93439736389246</v>
      </c>
      <c r="F153" s="86">
        <f t="shared" si="35"/>
        <v>622.93439736389246</v>
      </c>
      <c r="G153" s="86">
        <f t="shared" si="36"/>
        <v>18.728688250263076</v>
      </c>
      <c r="H153" s="10" t="str">
        <f t="shared" si="37"/>
        <v>n/a (REBUILD)</v>
      </c>
      <c r="K153" s="2" t="s">
        <v>985</v>
      </c>
    </row>
    <row r="154" spans="1:11" x14ac:dyDescent="0.45">
      <c r="A154" s="13"/>
      <c r="B154" s="32" t="s">
        <v>228</v>
      </c>
      <c r="C154" s="85">
        <f t="shared" si="39"/>
        <v>0</v>
      </c>
      <c r="D154" s="86">
        <v>0</v>
      </c>
      <c r="E154" s="86">
        <v>0</v>
      </c>
      <c r="F154" s="86">
        <f t="shared" si="35"/>
        <v>0</v>
      </c>
      <c r="G154" s="86">
        <f t="shared" si="36"/>
        <v>0</v>
      </c>
      <c r="H154" s="10" t="str">
        <f t="shared" si="37"/>
        <v>n/a (REBUILD)</v>
      </c>
      <c r="K154" s="2"/>
    </row>
    <row r="155" spans="1:11" x14ac:dyDescent="0.45">
      <c r="A155" s="13"/>
      <c r="B155" s="32" t="s">
        <v>230</v>
      </c>
      <c r="C155" s="85">
        <f t="shared" si="39"/>
        <v>0</v>
      </c>
      <c r="D155" s="86">
        <v>0</v>
      </c>
      <c r="E155" s="86">
        <v>0</v>
      </c>
      <c r="F155" s="86">
        <f t="shared" si="35"/>
        <v>0</v>
      </c>
      <c r="G155" s="86">
        <f t="shared" si="36"/>
        <v>0</v>
      </c>
      <c r="H155" s="10" t="str">
        <f t="shared" si="37"/>
        <v>n/a (REBUILD)</v>
      </c>
      <c r="K155" s="2"/>
    </row>
    <row r="156" spans="1:11" x14ac:dyDescent="0.45">
      <c r="A156" s="13"/>
      <c r="B156" s="32" t="s">
        <v>233</v>
      </c>
      <c r="C156" s="85">
        <f t="shared" si="39"/>
        <v>641.66308561415553</v>
      </c>
      <c r="D156" s="86">
        <v>622.93439736389246</v>
      </c>
      <c r="E156" s="86">
        <v>622.93439736389246</v>
      </c>
      <c r="F156" s="86">
        <f t="shared" si="35"/>
        <v>622.93439736389246</v>
      </c>
      <c r="G156" s="86">
        <f t="shared" si="36"/>
        <v>18.728688250263076</v>
      </c>
      <c r="H156" s="10" t="str">
        <f t="shared" si="37"/>
        <v>n/a (REBUILD)</v>
      </c>
      <c r="K156" s="2"/>
    </row>
    <row r="157" spans="1:11" x14ac:dyDescent="0.45">
      <c r="A157" s="13"/>
      <c r="B157" s="32" t="s">
        <v>237</v>
      </c>
      <c r="C157" s="85">
        <f t="shared" si="39"/>
        <v>650.91530596658163</v>
      </c>
      <c r="D157" s="86">
        <v>665.45918286627648</v>
      </c>
      <c r="E157" s="86">
        <v>665.45918286627648</v>
      </c>
      <c r="F157" s="86">
        <f t="shared" si="35"/>
        <v>665.45918286627648</v>
      </c>
      <c r="G157" s="86">
        <f t="shared" si="36"/>
        <v>-14.543876899694851</v>
      </c>
      <c r="H157" s="10" t="str">
        <f t="shared" si="37"/>
        <v>n/a (REBUILD)</v>
      </c>
      <c r="K157" s="2"/>
    </row>
    <row r="158" spans="1:11" x14ac:dyDescent="0.45">
      <c r="A158" s="13"/>
      <c r="B158" s="32" t="s">
        <v>240</v>
      </c>
      <c r="C158" s="85">
        <f t="shared" si="39"/>
        <v>599.850003914902</v>
      </c>
      <c r="D158" s="86">
        <v>622.93439736389246</v>
      </c>
      <c r="E158" s="86">
        <v>622.93439736389246</v>
      </c>
      <c r="F158" s="86">
        <f t="shared" si="35"/>
        <v>622.93439736389246</v>
      </c>
      <c r="G158" s="86">
        <f t="shared" si="36"/>
        <v>-23.084393448990454</v>
      </c>
      <c r="H158" s="10" t="str">
        <f t="shared" si="37"/>
        <v>n/a (REBUILD)</v>
      </c>
      <c r="K158" s="2"/>
    </row>
    <row r="159" spans="1:11" x14ac:dyDescent="0.45">
      <c r="A159" s="5" t="s">
        <v>609</v>
      </c>
      <c r="B159" s="32" t="s">
        <v>223</v>
      </c>
      <c r="C159" s="85">
        <f t="shared" ref="C159:C164" si="40">INDEX(SumTbl,MATCH("rev",SumKeys,0),MATCH($B159,SumHdr,0))</f>
        <v>1158.5939431101945</v>
      </c>
      <c r="D159" s="86">
        <v>1139.8145740013631</v>
      </c>
      <c r="E159" s="86">
        <v>1139.8145740013631</v>
      </c>
      <c r="F159" s="86">
        <f t="shared" si="35"/>
        <v>1139.8145740013631</v>
      </c>
      <c r="G159" s="86">
        <f t="shared" si="36"/>
        <v>18.779369108831361</v>
      </c>
      <c r="H159" s="10" t="str">
        <f t="shared" si="37"/>
        <v>n/a (REBUILD)</v>
      </c>
      <c r="K159" s="2" t="s">
        <v>986</v>
      </c>
    </row>
    <row r="160" spans="1:11" x14ac:dyDescent="0.45">
      <c r="A160" s="13"/>
      <c r="B160" s="32" t="s">
        <v>228</v>
      </c>
      <c r="C160" s="85">
        <f t="shared" si="40"/>
        <v>520.17669098034037</v>
      </c>
      <c r="D160" s="86">
        <v>531.51967180977238</v>
      </c>
      <c r="E160" s="86">
        <v>531.51967180977238</v>
      </c>
      <c r="F160" s="86">
        <f t="shared" si="35"/>
        <v>531.51967180977238</v>
      </c>
      <c r="G160" s="86">
        <f t="shared" si="36"/>
        <v>-11.342980829432008</v>
      </c>
      <c r="H160" s="10" t="str">
        <f t="shared" si="37"/>
        <v>n/a (REBUILD)</v>
      </c>
      <c r="K160" s="2"/>
    </row>
    <row r="161" spans="1:11" x14ac:dyDescent="0.45">
      <c r="A161" s="13"/>
      <c r="B161" s="32" t="s">
        <v>230</v>
      </c>
      <c r="C161" s="85">
        <f t="shared" si="40"/>
        <v>520.17669098034037</v>
      </c>
      <c r="D161" s="86">
        <v>531.51967180977238</v>
      </c>
      <c r="E161" s="86">
        <v>531.51967180977238</v>
      </c>
      <c r="F161" s="86">
        <f t="shared" si="35"/>
        <v>531.51967180977238</v>
      </c>
      <c r="G161" s="86">
        <f t="shared" si="36"/>
        <v>-11.342980829432008</v>
      </c>
      <c r="H161" s="10" t="str">
        <f t="shared" si="37"/>
        <v>n/a (REBUILD)</v>
      </c>
      <c r="K161" s="2"/>
    </row>
    <row r="162" spans="1:11" x14ac:dyDescent="0.45">
      <c r="A162" s="13"/>
      <c r="B162" s="32" t="s">
        <v>233</v>
      </c>
      <c r="C162" s="85">
        <f t="shared" si="40"/>
        <v>1158.5939431101945</v>
      </c>
      <c r="D162" s="86">
        <v>1139.8145740013631</v>
      </c>
      <c r="E162" s="86">
        <v>1139.8145740013631</v>
      </c>
      <c r="F162" s="86">
        <f t="shared" si="35"/>
        <v>1139.8145740013631</v>
      </c>
      <c r="G162" s="86">
        <f t="shared" si="36"/>
        <v>18.779369108831361</v>
      </c>
      <c r="H162" s="10" t="str">
        <f t="shared" si="37"/>
        <v>n/a (REBUILD)</v>
      </c>
      <c r="K162" s="2"/>
    </row>
    <row r="163" spans="1:11" x14ac:dyDescent="0.45">
      <c r="A163" s="13"/>
      <c r="B163" s="32" t="s">
        <v>237</v>
      </c>
      <c r="C163" s="85">
        <f t="shared" si="40"/>
        <v>1176.0805997201417</v>
      </c>
      <c r="D163" s="86">
        <v>1209.6235769690679</v>
      </c>
      <c r="E163" s="86">
        <v>1209.6235769690679</v>
      </c>
      <c r="F163" s="86">
        <f t="shared" si="35"/>
        <v>1209.6235769690679</v>
      </c>
      <c r="G163" s="86">
        <f t="shared" si="36"/>
        <v>-33.542977248926263</v>
      </c>
      <c r="H163" s="10" t="str">
        <f t="shared" si="37"/>
        <v>n/a (REBUILD)</v>
      </c>
      <c r="K163" s="2"/>
    </row>
    <row r="164" spans="1:11" x14ac:dyDescent="0.45">
      <c r="A164" s="13"/>
      <c r="B164" s="32" t="s">
        <v>240</v>
      </c>
      <c r="C164" s="85">
        <f t="shared" si="40"/>
        <v>1091.6131395454938</v>
      </c>
      <c r="D164" s="86">
        <v>1139.8145740013631</v>
      </c>
      <c r="E164" s="86">
        <v>1139.8145740013631</v>
      </c>
      <c r="F164" s="86">
        <f t="shared" si="35"/>
        <v>1139.8145740013631</v>
      </c>
      <c r="G164" s="86">
        <f t="shared" si="36"/>
        <v>-48.201434455869276</v>
      </c>
      <c r="H164" s="10" t="str">
        <f t="shared" si="37"/>
        <v>n/a (REBUILD)</v>
      </c>
      <c r="K164" s="2"/>
    </row>
    <row r="165" spans="1:11" x14ac:dyDescent="0.45">
      <c r="A165" s="5" t="s">
        <v>615</v>
      </c>
      <c r="B165" s="32" t="s">
        <v>223</v>
      </c>
      <c r="C165" s="85">
        <f t="shared" ref="C165:C170" si="41">INDEX(SumTbl,MATCH("cbobl",SumKeys,0),MATCH($B165,SumHdr,0))</f>
        <v>65.86163924362458</v>
      </c>
      <c r="D165" s="86">
        <v>69.031933029055594</v>
      </c>
      <c r="E165" s="86">
        <v>193.77384709910339</v>
      </c>
      <c r="F165" s="86">
        <f t="shared" si="35"/>
        <v>69.031933029055594</v>
      </c>
      <c r="G165" s="86">
        <f t="shared" si="36"/>
        <v>-3.1702937854310136</v>
      </c>
      <c r="H165" s="10" t="str">
        <f t="shared" si="37"/>
        <v>n/a (REBUILD)</v>
      </c>
      <c r="K165" s="2" t="s">
        <v>987</v>
      </c>
    </row>
    <row r="166" spans="1:11" x14ac:dyDescent="0.45">
      <c r="A166" s="13"/>
      <c r="B166" s="32" t="s">
        <v>228</v>
      </c>
      <c r="C166" s="85">
        <f t="shared" si="41"/>
        <v>92.428684000535881</v>
      </c>
      <c r="D166" s="86">
        <v>94.43051486508115</v>
      </c>
      <c r="E166" s="86">
        <v>223.0412900433565</v>
      </c>
      <c r="F166" s="86">
        <f t="shared" si="35"/>
        <v>94.43051486508115</v>
      </c>
      <c r="G166" s="86">
        <f t="shared" si="36"/>
        <v>-2.0018308645452692</v>
      </c>
      <c r="H166" s="10" t="str">
        <f t="shared" si="37"/>
        <v>n/a (REBUILD)</v>
      </c>
      <c r="K166" s="2"/>
    </row>
    <row r="167" spans="1:11" x14ac:dyDescent="0.45">
      <c r="A167" s="13"/>
      <c r="B167" s="32" t="s">
        <v>230</v>
      </c>
      <c r="C167" s="85">
        <f t="shared" si="41"/>
        <v>92.428684000535881</v>
      </c>
      <c r="D167" s="86">
        <v>94.43051486508115</v>
      </c>
      <c r="E167" s="86">
        <v>223.0412900433565</v>
      </c>
      <c r="F167" s="86">
        <f t="shared" si="35"/>
        <v>94.43051486508115</v>
      </c>
      <c r="G167" s="86">
        <f t="shared" si="36"/>
        <v>-2.0018308645452692</v>
      </c>
      <c r="H167" s="10" t="str">
        <f t="shared" si="37"/>
        <v>n/a (REBUILD)</v>
      </c>
      <c r="K167" s="2"/>
    </row>
    <row r="168" spans="1:11" x14ac:dyDescent="0.45">
      <c r="A168" s="13"/>
      <c r="B168" s="32" t="s">
        <v>233</v>
      </c>
      <c r="C168" s="85">
        <f t="shared" si="41"/>
        <v>65.86163924362458</v>
      </c>
      <c r="D168" s="86">
        <v>69.031933029055594</v>
      </c>
      <c r="E168" s="86">
        <v>193.77384709910339</v>
      </c>
      <c r="F168" s="86">
        <f t="shared" si="35"/>
        <v>69.031933029055594</v>
      </c>
      <c r="G168" s="86">
        <f t="shared" si="36"/>
        <v>-3.1702937854310136</v>
      </c>
      <c r="H168" s="10" t="str">
        <f t="shared" si="37"/>
        <v>n/a (REBUILD)</v>
      </c>
      <c r="K168" s="2"/>
    </row>
    <row r="169" spans="1:11" x14ac:dyDescent="0.45">
      <c r="A169" s="13"/>
      <c r="B169" s="32" t="s">
        <v>237</v>
      </c>
      <c r="C169" s="85">
        <f t="shared" si="41"/>
        <v>113.58180827461508</v>
      </c>
      <c r="D169" s="86">
        <v>121.1865559485688</v>
      </c>
      <c r="E169" s="86">
        <v>249.86918752282219</v>
      </c>
      <c r="F169" s="86">
        <f t="shared" si="35"/>
        <v>121.1865559485688</v>
      </c>
      <c r="G169" s="86">
        <f t="shared" si="36"/>
        <v>-7.6047476739537103</v>
      </c>
      <c r="H169" s="10" t="str">
        <f t="shared" si="37"/>
        <v>n/a (REBUILD)</v>
      </c>
      <c r="K169" s="2"/>
    </row>
    <row r="170" spans="1:11" x14ac:dyDescent="0.45">
      <c r="A170" s="13"/>
      <c r="B170" s="32" t="s">
        <v>240</v>
      </c>
      <c r="C170" s="85">
        <f t="shared" si="41"/>
        <v>62.36240276070972</v>
      </c>
      <c r="D170" s="86">
        <v>69.031933029055594</v>
      </c>
      <c r="E170" s="86">
        <v>193.77384709910339</v>
      </c>
      <c r="F170" s="86">
        <f t="shared" si="35"/>
        <v>69.031933029055594</v>
      </c>
      <c r="G170" s="86">
        <f t="shared" si="36"/>
        <v>-6.6695302683458735</v>
      </c>
      <c r="H170" s="10" t="str">
        <f t="shared" si="37"/>
        <v>n/a (REBUILD)</v>
      </c>
      <c r="K170" s="2"/>
    </row>
    <row r="171" spans="1:11" x14ac:dyDescent="0.45">
      <c r="A171" s="5" t="s">
        <v>618</v>
      </c>
      <c r="B171" s="32" t="s">
        <v>223</v>
      </c>
      <c r="C171" s="85">
        <f t="shared" ref="C171:C176" si="42">INDEX(SumTbl,MATCH("cbobl0",SumKeys,0),MATCH($B171,SumHdr,0))</f>
        <v>120.0155796747419</v>
      </c>
      <c r="D171" s="86">
        <v>122.87441471836949</v>
      </c>
      <c r="E171" s="86">
        <v>253.34930869766899</v>
      </c>
      <c r="F171" s="86">
        <f t="shared" si="35"/>
        <v>122.87441471836949</v>
      </c>
      <c r="G171" s="86">
        <f t="shared" si="36"/>
        <v>-2.8588350436275931</v>
      </c>
      <c r="H171" s="10" t="str">
        <f t="shared" si="37"/>
        <v>n/a (REBUILD)</v>
      </c>
      <c r="K171" s="2" t="s">
        <v>988</v>
      </c>
    </row>
    <row r="172" spans="1:11" x14ac:dyDescent="0.45">
      <c r="A172" s="13"/>
      <c r="B172" s="32" t="s">
        <v>228</v>
      </c>
      <c r="C172" s="85">
        <f t="shared" si="42"/>
        <v>120.0155796747419</v>
      </c>
      <c r="D172" s="86">
        <v>122.87441471836949</v>
      </c>
      <c r="E172" s="86">
        <v>253.34930869766899</v>
      </c>
      <c r="F172" s="86">
        <f t="shared" si="35"/>
        <v>122.87441471836949</v>
      </c>
      <c r="G172" s="86">
        <f t="shared" si="36"/>
        <v>-2.8588350436275931</v>
      </c>
      <c r="H172" s="10" t="str">
        <f t="shared" si="37"/>
        <v>n/a (REBUILD)</v>
      </c>
      <c r="K172" s="2"/>
    </row>
    <row r="173" spans="1:11" x14ac:dyDescent="0.45">
      <c r="A173" s="13"/>
      <c r="B173" s="32" t="s">
        <v>230</v>
      </c>
      <c r="C173" s="85">
        <f t="shared" si="42"/>
        <v>120.0155796747419</v>
      </c>
      <c r="D173" s="86">
        <v>122.87441471836949</v>
      </c>
      <c r="E173" s="86">
        <v>253.34930869766899</v>
      </c>
      <c r="F173" s="86">
        <f t="shared" si="35"/>
        <v>122.87441471836949</v>
      </c>
      <c r="G173" s="86">
        <f t="shared" si="36"/>
        <v>-2.8588350436275931</v>
      </c>
      <c r="H173" s="10" t="str">
        <f t="shared" si="37"/>
        <v>n/a (REBUILD)</v>
      </c>
      <c r="K173" s="2"/>
    </row>
    <row r="174" spans="1:11" x14ac:dyDescent="0.45">
      <c r="A174" s="13"/>
      <c r="B174" s="32" t="s">
        <v>233</v>
      </c>
      <c r="C174" s="85">
        <f t="shared" si="42"/>
        <v>120.0155796747419</v>
      </c>
      <c r="D174" s="86">
        <v>122.87441471836949</v>
      </c>
      <c r="E174" s="86">
        <v>253.34930869766899</v>
      </c>
      <c r="F174" s="86">
        <f t="shared" si="35"/>
        <v>122.87441471836949</v>
      </c>
      <c r="G174" s="86">
        <f t="shared" si="36"/>
        <v>-2.8588350436275931</v>
      </c>
      <c r="H174" s="10" t="str">
        <f t="shared" si="37"/>
        <v>n/a (REBUILD)</v>
      </c>
      <c r="K174" s="2"/>
    </row>
    <row r="175" spans="1:11" x14ac:dyDescent="0.45">
      <c r="A175" s="13"/>
      <c r="B175" s="32" t="s">
        <v>237</v>
      </c>
      <c r="C175" s="85">
        <f t="shared" si="42"/>
        <v>120.0155796747419</v>
      </c>
      <c r="D175" s="86">
        <v>122.87441471836949</v>
      </c>
      <c r="E175" s="86">
        <v>253.34930869766899</v>
      </c>
      <c r="F175" s="86">
        <f t="shared" si="35"/>
        <v>122.87441471836949</v>
      </c>
      <c r="G175" s="86">
        <f t="shared" si="36"/>
        <v>-2.8588350436275931</v>
      </c>
      <c r="H175" s="10" t="str">
        <f t="shared" si="37"/>
        <v>n/a (REBUILD)</v>
      </c>
      <c r="K175" s="2"/>
    </row>
    <row r="176" spans="1:11" x14ac:dyDescent="0.45">
      <c r="A176" s="13"/>
      <c r="B176" s="32" t="s">
        <v>240</v>
      </c>
      <c r="C176" s="85">
        <f t="shared" si="42"/>
        <v>120.0155796747419</v>
      </c>
      <c r="D176" s="86">
        <v>122.87441471836949</v>
      </c>
      <c r="E176" s="86">
        <v>253.34930869766899</v>
      </c>
      <c r="F176" s="86">
        <f t="shared" si="35"/>
        <v>122.87441471836949</v>
      </c>
      <c r="G176" s="86">
        <f t="shared" si="36"/>
        <v>-2.8588350436275931</v>
      </c>
      <c r="H176" s="10" t="str">
        <f t="shared" si="37"/>
        <v>n/a (REBUILD)</v>
      </c>
      <c r="K176" s="2"/>
    </row>
    <row r="177" spans="1:11" x14ac:dyDescent="0.45">
      <c r="A177" s="5" t="s">
        <v>652</v>
      </c>
      <c r="B177" s="32" t="s">
        <v>223</v>
      </c>
      <c r="C177" s="85">
        <f t="shared" ref="C177:C182" si="43">INDEX(SumTbl,MATCH("cbobch",SumKeys,0),MATCH($B177,SumHdr,0))</f>
        <v>-0.45122425420001022</v>
      </c>
      <c r="D177" s="86">
        <v>-0.4381911548691555</v>
      </c>
      <c r="E177" s="86">
        <v>-0.23515146697976241</v>
      </c>
      <c r="F177" s="86">
        <f t="shared" ref="F177:F208" si="44">IF(Conv="NOPHASE",E177,IF(Conv="FULL",D177,NA()))</f>
        <v>-0.4381911548691555</v>
      </c>
      <c r="G177" s="86">
        <f t="shared" ref="G177:G208" si="45">IFERROR(C177-F177,NA())</f>
        <v>-1.3033099330854725E-2</v>
      </c>
      <c r="H177" s="10" t="str">
        <f t="shared" ref="H177:H208" si="46">IF(Mode&lt;&gt;"PROTOTYPE","n/a (REBUILD)",IF(Conv="SCALED","n/a (SCALED)",IF(ABS(G177)&lt;0.0000001*MAX(1,ABS(F177)),"PASS","FAIL")))</f>
        <v>n/a (REBUILD)</v>
      </c>
      <c r="K177" s="2" t="s">
        <v>989</v>
      </c>
    </row>
    <row r="178" spans="1:11" x14ac:dyDescent="0.45">
      <c r="A178" s="13"/>
      <c r="B178" s="32" t="s">
        <v>228</v>
      </c>
      <c r="C178" s="85">
        <f t="shared" si="43"/>
        <v>-0.2298609542941854</v>
      </c>
      <c r="D178" s="86">
        <v>-0.23148757142389889</v>
      </c>
      <c r="E178" s="86">
        <v>-0.1196293718349164</v>
      </c>
      <c r="F178" s="86">
        <f t="shared" si="44"/>
        <v>-0.23148757142389889</v>
      </c>
      <c r="G178" s="86">
        <f t="shared" si="45"/>
        <v>1.6266171297134868E-3</v>
      </c>
      <c r="H178" s="10" t="str">
        <f t="shared" si="46"/>
        <v>n/a (REBUILD)</v>
      </c>
      <c r="K178" s="2"/>
    </row>
    <row r="179" spans="1:11" x14ac:dyDescent="0.45">
      <c r="A179" s="13"/>
      <c r="B179" s="32" t="s">
        <v>230</v>
      </c>
      <c r="C179" s="85">
        <f t="shared" si="43"/>
        <v>-0.2298609542941854</v>
      </c>
      <c r="D179" s="86">
        <v>-0.23148757142389889</v>
      </c>
      <c r="E179" s="86">
        <v>-0.1196293718349164</v>
      </c>
      <c r="F179" s="86">
        <f t="shared" si="44"/>
        <v>-0.23148757142389889</v>
      </c>
      <c r="G179" s="86">
        <f t="shared" si="45"/>
        <v>1.6266171297134868E-3</v>
      </c>
      <c r="H179" s="10" t="str">
        <f t="shared" si="46"/>
        <v>n/a (REBUILD)</v>
      </c>
      <c r="K179" s="2"/>
    </row>
    <row r="180" spans="1:11" x14ac:dyDescent="0.45">
      <c r="A180" s="13"/>
      <c r="B180" s="32" t="s">
        <v>233</v>
      </c>
      <c r="C180" s="85">
        <f t="shared" si="43"/>
        <v>-0.45122425420001022</v>
      </c>
      <c r="D180" s="86">
        <v>-0.4381911548691555</v>
      </c>
      <c r="E180" s="86">
        <v>-0.23515146697976241</v>
      </c>
      <c r="F180" s="86">
        <f t="shared" si="44"/>
        <v>-0.4381911548691555</v>
      </c>
      <c r="G180" s="86">
        <f t="shared" si="45"/>
        <v>-1.3033099330854725E-2</v>
      </c>
      <c r="H180" s="10" t="str">
        <f t="shared" si="46"/>
        <v>n/a (REBUILD)</v>
      </c>
      <c r="K180" s="2"/>
    </row>
    <row r="181" spans="1:11" x14ac:dyDescent="0.45">
      <c r="A181" s="13"/>
      <c r="B181" s="32" t="s">
        <v>237</v>
      </c>
      <c r="C181" s="85">
        <f t="shared" si="43"/>
        <v>-5.3607801733434823E-2</v>
      </c>
      <c r="D181" s="86">
        <v>-1.3736454197314511E-2</v>
      </c>
      <c r="E181" s="86">
        <v>-1.3736454197314171E-2</v>
      </c>
      <c r="F181" s="86">
        <f t="shared" si="44"/>
        <v>-1.3736454197314511E-2</v>
      </c>
      <c r="G181" s="86">
        <f t="shared" si="45"/>
        <v>-3.9871347536120316E-2</v>
      </c>
      <c r="H181" s="10" t="str">
        <f t="shared" si="46"/>
        <v>n/a (REBUILD)</v>
      </c>
      <c r="K181" s="2"/>
    </row>
    <row r="182" spans="1:11" x14ac:dyDescent="0.45">
      <c r="A182" s="13"/>
      <c r="B182" s="32" t="s">
        <v>240</v>
      </c>
      <c r="C182" s="85">
        <f t="shared" si="43"/>
        <v>-0.48038077281532876</v>
      </c>
      <c r="D182" s="86">
        <v>-0.4381911548691555</v>
      </c>
      <c r="E182" s="86">
        <v>-0.23515146697976241</v>
      </c>
      <c r="F182" s="86">
        <f t="shared" si="44"/>
        <v>-0.4381911548691555</v>
      </c>
      <c r="G182" s="86">
        <f t="shared" si="45"/>
        <v>-4.2189617946173263E-2</v>
      </c>
      <c r="H182" s="10" t="str">
        <f t="shared" si="46"/>
        <v>n/a (REBUILD)</v>
      </c>
      <c r="K182" s="2"/>
    </row>
    <row r="183" spans="1:11" x14ac:dyDescent="0.45">
      <c r="A183" s="5" t="s">
        <v>654</v>
      </c>
      <c r="B183" s="32" t="s">
        <v>223</v>
      </c>
      <c r="C183" s="85">
        <f t="shared" ref="C183:C188" si="47">INDEX(SumTbl,MATCH("cbobchu",SumKeys,0),MATCH($B183,SumHdr,0))</f>
        <v>-0.44423634846247628</v>
      </c>
      <c r="D183" s="86">
        <v>-0.42067132163307319</v>
      </c>
      <c r="E183" s="86">
        <v>-0.211299904539061</v>
      </c>
      <c r="F183" s="86">
        <f t="shared" si="44"/>
        <v>-0.42067132163307319</v>
      </c>
      <c r="G183" s="86">
        <f t="shared" si="45"/>
        <v>-2.3565026829403091E-2</v>
      </c>
      <c r="H183" s="10" t="str">
        <f t="shared" si="46"/>
        <v>n/a (REBUILD)</v>
      </c>
      <c r="K183" s="2" t="s">
        <v>990</v>
      </c>
    </row>
    <row r="184" spans="1:11" x14ac:dyDescent="0.45">
      <c r="A184" s="13"/>
      <c r="B184" s="32" t="s">
        <v>228</v>
      </c>
      <c r="C184" s="85">
        <f t="shared" si="47"/>
        <v>-0.23123966815465757</v>
      </c>
      <c r="D184" s="86">
        <v>-0.225611423397059</v>
      </c>
      <c r="E184" s="86">
        <v>-0.10942154034757361</v>
      </c>
      <c r="F184" s="86">
        <f t="shared" si="44"/>
        <v>-0.225611423397059</v>
      </c>
      <c r="G184" s="86">
        <f t="shared" si="45"/>
        <v>-5.6282447575985717E-3</v>
      </c>
      <c r="H184" s="10" t="str">
        <f t="shared" si="46"/>
        <v>n/a (REBUILD)</v>
      </c>
      <c r="K184" s="2"/>
    </row>
    <row r="185" spans="1:11" x14ac:dyDescent="0.45">
      <c r="A185" s="13"/>
      <c r="B185" s="32" t="s">
        <v>230</v>
      </c>
      <c r="C185" s="85">
        <f t="shared" si="47"/>
        <v>-0.23123966815465757</v>
      </c>
      <c r="D185" s="86">
        <v>-0.225611423397059</v>
      </c>
      <c r="E185" s="86">
        <v>-0.10942154034757361</v>
      </c>
      <c r="F185" s="86">
        <f t="shared" si="44"/>
        <v>-0.225611423397059</v>
      </c>
      <c r="G185" s="86">
        <f t="shared" si="45"/>
        <v>-5.6282447575985717E-3</v>
      </c>
      <c r="H185" s="10" t="str">
        <f t="shared" si="46"/>
        <v>n/a (REBUILD)</v>
      </c>
      <c r="K185" s="2"/>
    </row>
    <row r="186" spans="1:11" x14ac:dyDescent="0.45">
      <c r="A186" s="13"/>
      <c r="B186" s="32" t="s">
        <v>233</v>
      </c>
      <c r="C186" s="85">
        <f t="shared" si="47"/>
        <v>-0.44423634846247628</v>
      </c>
      <c r="D186" s="86">
        <v>-0.42067132163307319</v>
      </c>
      <c r="E186" s="86">
        <v>-0.211299904539061</v>
      </c>
      <c r="F186" s="86">
        <f t="shared" si="44"/>
        <v>-0.42067132163307319</v>
      </c>
      <c r="G186" s="86">
        <f t="shared" si="45"/>
        <v>-2.3565026829403091E-2</v>
      </c>
      <c r="H186" s="10" t="str">
        <f t="shared" si="46"/>
        <v>n/a (REBUILD)</v>
      </c>
      <c r="K186" s="2"/>
    </row>
    <row r="187" spans="1:11" x14ac:dyDescent="0.45">
      <c r="A187" s="13"/>
      <c r="B187" s="32" t="s">
        <v>237</v>
      </c>
      <c r="C187" s="85">
        <f t="shared" si="47"/>
        <v>-5.4226768436143935E-2</v>
      </c>
      <c r="D187" s="86">
        <v>-1.4124880673826329E-2</v>
      </c>
      <c r="E187" s="86">
        <v>-1.412488067382622E-2</v>
      </c>
      <c r="F187" s="86">
        <f t="shared" si="44"/>
        <v>-1.4124880673826329E-2</v>
      </c>
      <c r="G187" s="86">
        <f t="shared" si="45"/>
        <v>-4.0101887762317608E-2</v>
      </c>
      <c r="H187" s="10" t="str">
        <f t="shared" si="46"/>
        <v>n/a (REBUILD)</v>
      </c>
      <c r="K187" s="2"/>
    </row>
    <row r="188" spans="1:11" x14ac:dyDescent="0.45">
      <c r="A188" s="13"/>
      <c r="B188" s="32" t="s">
        <v>240</v>
      </c>
      <c r="C188" s="85">
        <f t="shared" si="47"/>
        <v>-0.47412260837126274</v>
      </c>
      <c r="D188" s="86">
        <v>-0.42067132163307319</v>
      </c>
      <c r="E188" s="86">
        <v>-0.211299904539061</v>
      </c>
      <c r="F188" s="86">
        <f t="shared" si="44"/>
        <v>-0.42067132163307319</v>
      </c>
      <c r="G188" s="86">
        <f t="shared" si="45"/>
        <v>-5.3451286738189552E-2</v>
      </c>
      <c r="H188" s="10" t="str">
        <f t="shared" si="46"/>
        <v>n/a (REBUILD)</v>
      </c>
      <c r="K188" s="2"/>
    </row>
    <row r="189" spans="1:11" x14ac:dyDescent="0.45">
      <c r="A189" s="5" t="s">
        <v>649</v>
      </c>
      <c r="B189" s="32" t="s">
        <v>223</v>
      </c>
      <c r="C189" s="85">
        <f t="shared" ref="C189:C194" si="48">INDEX(SumTbl,MATCH("cbint",SumKeys,0),MATCH($B189,SumHdr,0))</f>
        <v>0.73439781419105565</v>
      </c>
      <c r="D189" s="86">
        <v>0.75335353920186843</v>
      </c>
      <c r="E189" s="86">
        <v>0.75335353920186843</v>
      </c>
      <c r="F189" s="86">
        <f t="shared" si="44"/>
        <v>0.75335353920186843</v>
      </c>
      <c r="G189" s="86">
        <f t="shared" si="45"/>
        <v>-1.8955725010812774E-2</v>
      </c>
      <c r="H189" s="10" t="str">
        <f t="shared" si="46"/>
        <v>n/a (REBUILD)</v>
      </c>
      <c r="K189" s="2" t="s">
        <v>991</v>
      </c>
    </row>
    <row r="190" spans="1:11" x14ac:dyDescent="0.45">
      <c r="A190" s="13"/>
      <c r="B190" s="32" t="s">
        <v>228</v>
      </c>
      <c r="C190" s="85">
        <f t="shared" si="48"/>
        <v>0.76343613841639635</v>
      </c>
      <c r="D190" s="86">
        <v>0.76361826079913087</v>
      </c>
      <c r="E190" s="86">
        <v>0.76361826079913087</v>
      </c>
      <c r="F190" s="86">
        <f t="shared" si="44"/>
        <v>0.76361826079913087</v>
      </c>
      <c r="G190" s="86">
        <f t="shared" si="45"/>
        <v>-1.8212238273451753E-4</v>
      </c>
      <c r="H190" s="10" t="str">
        <f t="shared" si="46"/>
        <v>n/a (REBUILD)</v>
      </c>
      <c r="K190" s="2"/>
    </row>
    <row r="191" spans="1:11" x14ac:dyDescent="0.45">
      <c r="A191" s="13"/>
      <c r="B191" s="32" t="s">
        <v>230</v>
      </c>
      <c r="C191" s="85">
        <f t="shared" si="48"/>
        <v>0.76343613841639635</v>
      </c>
      <c r="D191" s="86">
        <v>0.76361826079913087</v>
      </c>
      <c r="E191" s="86">
        <v>0.76361826079913087</v>
      </c>
      <c r="F191" s="86">
        <f t="shared" si="44"/>
        <v>0.76361826079913087</v>
      </c>
      <c r="G191" s="86">
        <f t="shared" si="45"/>
        <v>-1.8212238273451753E-4</v>
      </c>
      <c r="H191" s="10" t="str">
        <f t="shared" si="46"/>
        <v>n/a (REBUILD)</v>
      </c>
      <c r="K191" s="2"/>
    </row>
    <row r="192" spans="1:11" x14ac:dyDescent="0.45">
      <c r="A192" s="13"/>
      <c r="B192" s="32" t="s">
        <v>233</v>
      </c>
      <c r="C192" s="85">
        <f t="shared" si="48"/>
        <v>0.73439781419105565</v>
      </c>
      <c r="D192" s="86">
        <v>0.75335353920186843</v>
      </c>
      <c r="E192" s="86">
        <v>0.75335353920186843</v>
      </c>
      <c r="F192" s="86">
        <f t="shared" si="44"/>
        <v>0.75335353920186843</v>
      </c>
      <c r="G192" s="86">
        <f t="shared" si="45"/>
        <v>-1.8955725010812774E-2</v>
      </c>
      <c r="H192" s="10" t="str">
        <f t="shared" si="46"/>
        <v>n/a (REBUILD)</v>
      </c>
      <c r="K192" s="2"/>
    </row>
    <row r="193" spans="1:11" x14ac:dyDescent="0.45">
      <c r="A193" s="13"/>
      <c r="B193" s="32" t="s">
        <v>237</v>
      </c>
      <c r="C193" s="85">
        <f t="shared" si="48"/>
        <v>0.7360260172600227</v>
      </c>
      <c r="D193" s="86">
        <v>0.75701820432394118</v>
      </c>
      <c r="E193" s="86">
        <v>0.75701820432394118</v>
      </c>
      <c r="F193" s="86">
        <f t="shared" si="44"/>
        <v>0.75701820432394118</v>
      </c>
      <c r="G193" s="86">
        <f t="shared" si="45"/>
        <v>-2.0992187063918477E-2</v>
      </c>
      <c r="H193" s="10" t="str">
        <f t="shared" si="46"/>
        <v>n/a (REBUILD)</v>
      </c>
      <c r="K193" s="2"/>
    </row>
    <row r="194" spans="1:11" x14ac:dyDescent="0.45">
      <c r="A194" s="13"/>
      <c r="B194" s="32" t="s">
        <v>240</v>
      </c>
      <c r="C194" s="85">
        <f t="shared" si="48"/>
        <v>0.69194069966599014</v>
      </c>
      <c r="D194" s="86">
        <v>0.75335353920186843</v>
      </c>
      <c r="E194" s="86">
        <v>0.75335353920186843</v>
      </c>
      <c r="F194" s="86">
        <f t="shared" si="44"/>
        <v>0.75335353920186843</v>
      </c>
      <c r="G194" s="86">
        <f t="shared" si="45"/>
        <v>-6.1412839535878283E-2</v>
      </c>
      <c r="H194" s="10" t="str">
        <f t="shared" si="46"/>
        <v>n/a (REBUILD)</v>
      </c>
      <c r="K194" s="2"/>
    </row>
    <row r="195" spans="1:11" x14ac:dyDescent="0.45">
      <c r="A195" s="5" t="s">
        <v>587</v>
      </c>
      <c r="B195" s="32" t="s">
        <v>223</v>
      </c>
      <c r="C195" s="85">
        <f t="shared" ref="C195:C200" si="49">INDEX(SumTbl,MATCH("emisf",SumKeys,0),MATCH($B195,SumHdr,0))</f>
        <v>25.846542874801969</v>
      </c>
      <c r="D195" s="86">
        <v>25.844008831873531</v>
      </c>
      <c r="E195" s="86">
        <v>25.844008831873531</v>
      </c>
      <c r="F195" s="86">
        <f t="shared" si="44"/>
        <v>25.844008831873531</v>
      </c>
      <c r="G195" s="86">
        <f t="shared" si="45"/>
        <v>2.5340429284383958E-3</v>
      </c>
      <c r="H195" s="10" t="str">
        <f t="shared" si="46"/>
        <v>n/a (REBUILD)</v>
      </c>
      <c r="K195" s="2" t="s">
        <v>992</v>
      </c>
    </row>
    <row r="196" spans="1:11" x14ac:dyDescent="0.45">
      <c r="A196" s="13"/>
      <c r="B196" s="32" t="s">
        <v>228</v>
      </c>
      <c r="C196" s="85">
        <f t="shared" si="49"/>
        <v>26.008834549017021</v>
      </c>
      <c r="D196" s="86">
        <v>26.575983590488619</v>
      </c>
      <c r="E196" s="86">
        <v>26.575983590488619</v>
      </c>
      <c r="F196" s="86">
        <f t="shared" si="44"/>
        <v>26.575983590488619</v>
      </c>
      <c r="G196" s="86">
        <f t="shared" si="45"/>
        <v>-0.56714904147159828</v>
      </c>
      <c r="H196" s="10" t="str">
        <f t="shared" si="46"/>
        <v>n/a (REBUILD)</v>
      </c>
      <c r="K196" s="2"/>
    </row>
    <row r="197" spans="1:11" x14ac:dyDescent="0.45">
      <c r="A197" s="13"/>
      <c r="B197" s="32" t="s">
        <v>230</v>
      </c>
      <c r="C197" s="85">
        <f t="shared" si="49"/>
        <v>26.008834549017021</v>
      </c>
      <c r="D197" s="86">
        <v>26.575983590488619</v>
      </c>
      <c r="E197" s="86">
        <v>26.575983590488619</v>
      </c>
      <c r="F197" s="86">
        <f t="shared" si="44"/>
        <v>26.575983590488619</v>
      </c>
      <c r="G197" s="86">
        <f t="shared" si="45"/>
        <v>-0.56714904147159828</v>
      </c>
      <c r="H197" s="10" t="str">
        <f t="shared" si="46"/>
        <v>n/a (REBUILD)</v>
      </c>
      <c r="K197" s="2"/>
    </row>
    <row r="198" spans="1:11" x14ac:dyDescent="0.45">
      <c r="A198" s="13"/>
      <c r="B198" s="32" t="s">
        <v>233</v>
      </c>
      <c r="C198" s="85">
        <f t="shared" si="49"/>
        <v>25.846542874801969</v>
      </c>
      <c r="D198" s="86">
        <v>25.844008831873531</v>
      </c>
      <c r="E198" s="86">
        <v>25.844008831873531</v>
      </c>
      <c r="F198" s="86">
        <f t="shared" si="44"/>
        <v>25.844008831873531</v>
      </c>
      <c r="G198" s="86">
        <f t="shared" si="45"/>
        <v>2.5340429284383958E-3</v>
      </c>
      <c r="H198" s="10" t="str">
        <f t="shared" si="46"/>
        <v>n/a (REBUILD)</v>
      </c>
      <c r="K198" s="2"/>
    </row>
    <row r="199" spans="1:11" x14ac:dyDescent="0.45">
      <c r="A199" s="13"/>
      <c r="B199" s="32" t="s">
        <v>237</v>
      </c>
      <c r="C199" s="85">
        <f t="shared" si="49"/>
        <v>26.258264687678018</v>
      </c>
      <c r="D199" s="86">
        <v>27.20821970513958</v>
      </c>
      <c r="E199" s="86">
        <v>27.20821970513958</v>
      </c>
      <c r="F199" s="86">
        <f t="shared" si="44"/>
        <v>27.20821970513958</v>
      </c>
      <c r="G199" s="86">
        <f t="shared" si="45"/>
        <v>-0.94995501746156208</v>
      </c>
      <c r="H199" s="10" t="str">
        <f t="shared" si="46"/>
        <v>n/a (REBUILD)</v>
      </c>
      <c r="K199" s="2"/>
    </row>
    <row r="200" spans="1:11" x14ac:dyDescent="0.45">
      <c r="A200" s="13"/>
      <c r="B200" s="32" t="s">
        <v>240</v>
      </c>
      <c r="C200" s="85">
        <f t="shared" si="49"/>
        <v>24.588156781529584</v>
      </c>
      <c r="D200" s="86">
        <v>25.844008831873531</v>
      </c>
      <c r="E200" s="86">
        <v>25.844008831873531</v>
      </c>
      <c r="F200" s="86">
        <f t="shared" si="44"/>
        <v>25.844008831873531</v>
      </c>
      <c r="G200" s="86">
        <f t="shared" si="45"/>
        <v>-1.2558520503439468</v>
      </c>
      <c r="H200" s="10" t="str">
        <f t="shared" si="46"/>
        <v>n/a (REBUILD)</v>
      </c>
      <c r="K200" s="2"/>
    </row>
    <row r="201" spans="1:11" x14ac:dyDescent="0.45">
      <c r="A201" s="5" t="s">
        <v>590</v>
      </c>
      <c r="B201" s="32" t="s">
        <v>223</v>
      </c>
      <c r="C201" s="85">
        <f t="shared" ref="C201:C206" si="50">INDEX(SumTbl,MATCH("emisp",SumKeys,0),MATCH($B201,SumHdr,0))</f>
        <v>32.083154280707774</v>
      </c>
      <c r="D201" s="86">
        <v>31.14671986819463</v>
      </c>
      <c r="E201" s="86">
        <v>31.14671986819463</v>
      </c>
      <c r="F201" s="86">
        <f t="shared" si="44"/>
        <v>31.14671986819463</v>
      </c>
      <c r="G201" s="86">
        <f t="shared" si="45"/>
        <v>0.93643441251314385</v>
      </c>
      <c r="H201" s="10" t="str">
        <f t="shared" si="46"/>
        <v>n/a (REBUILD)</v>
      </c>
      <c r="K201" s="2" t="s">
        <v>993</v>
      </c>
    </row>
    <row r="202" spans="1:11" x14ac:dyDescent="0.45">
      <c r="A202" s="13"/>
      <c r="B202" s="32" t="s">
        <v>228</v>
      </c>
      <c r="C202" s="85">
        <f t="shared" si="50"/>
        <v>34.637025014821951</v>
      </c>
      <c r="D202" s="86">
        <v>33.137482664894698</v>
      </c>
      <c r="E202" s="86">
        <v>33.137482664894698</v>
      </c>
      <c r="F202" s="86">
        <f t="shared" si="44"/>
        <v>33.137482664894698</v>
      </c>
      <c r="G202" s="86">
        <f t="shared" si="45"/>
        <v>1.4995423499272533</v>
      </c>
      <c r="H202" s="10" t="str">
        <f t="shared" si="46"/>
        <v>n/a (REBUILD)</v>
      </c>
      <c r="K202" s="2"/>
    </row>
    <row r="203" spans="1:11" x14ac:dyDescent="0.45">
      <c r="A203" s="13"/>
      <c r="B203" s="32" t="s">
        <v>230</v>
      </c>
      <c r="C203" s="85">
        <f t="shared" si="50"/>
        <v>34.637025014821951</v>
      </c>
      <c r="D203" s="86">
        <v>33.137482664894698</v>
      </c>
      <c r="E203" s="86">
        <v>33.137482664894698</v>
      </c>
      <c r="F203" s="86">
        <f t="shared" si="44"/>
        <v>33.137482664894698</v>
      </c>
      <c r="G203" s="86">
        <f t="shared" si="45"/>
        <v>1.4995423499272533</v>
      </c>
      <c r="H203" s="10" t="str">
        <f t="shared" si="46"/>
        <v>n/a (REBUILD)</v>
      </c>
      <c r="K203" s="2"/>
    </row>
    <row r="204" spans="1:11" x14ac:dyDescent="0.45">
      <c r="A204" s="13"/>
      <c r="B204" s="32" t="s">
        <v>233</v>
      </c>
      <c r="C204" s="85">
        <f t="shared" si="50"/>
        <v>32.083154280707774</v>
      </c>
      <c r="D204" s="86">
        <v>31.14671986819463</v>
      </c>
      <c r="E204" s="86">
        <v>31.14671986819463</v>
      </c>
      <c r="F204" s="86">
        <f t="shared" si="44"/>
        <v>31.14671986819463</v>
      </c>
      <c r="G204" s="86">
        <f t="shared" si="45"/>
        <v>0.93643441251314385</v>
      </c>
      <c r="H204" s="10" t="str">
        <f t="shared" si="46"/>
        <v>n/a (REBUILD)</v>
      </c>
      <c r="K204" s="2"/>
    </row>
    <row r="205" spans="1:11" x14ac:dyDescent="0.45">
      <c r="A205" s="13"/>
      <c r="B205" s="32" t="s">
        <v>237</v>
      </c>
      <c r="C205" s="85">
        <f t="shared" si="50"/>
        <v>32.545765298329073</v>
      </c>
      <c r="D205" s="86">
        <v>33.27295914331382</v>
      </c>
      <c r="E205" s="86">
        <v>33.27295914331382</v>
      </c>
      <c r="F205" s="86">
        <f t="shared" si="44"/>
        <v>33.27295914331382</v>
      </c>
      <c r="G205" s="86">
        <f t="shared" si="45"/>
        <v>-0.72719384498474682</v>
      </c>
      <c r="H205" s="10" t="str">
        <f t="shared" si="46"/>
        <v>n/a (REBUILD)</v>
      </c>
      <c r="K205" s="2"/>
    </row>
    <row r="206" spans="1:11" x14ac:dyDescent="0.45">
      <c r="A206" s="13"/>
      <c r="B206" s="32" t="s">
        <v>240</v>
      </c>
      <c r="C206" s="85">
        <f t="shared" si="50"/>
        <v>29.992500195745105</v>
      </c>
      <c r="D206" s="86">
        <v>31.14671986819463</v>
      </c>
      <c r="E206" s="86">
        <v>31.14671986819463</v>
      </c>
      <c r="F206" s="86">
        <f t="shared" si="44"/>
        <v>31.14671986819463</v>
      </c>
      <c r="G206" s="86">
        <f t="shared" si="45"/>
        <v>-1.1542196724495248</v>
      </c>
      <c r="H206" s="10" t="str">
        <f t="shared" si="46"/>
        <v>n/a (REBUILD)</v>
      </c>
      <c r="K206" s="2"/>
    </row>
    <row r="208" spans="1:11" x14ac:dyDescent="0.45">
      <c r="A208" s="5" t="s">
        <v>994</v>
      </c>
      <c r="C208" s="87">
        <f>COUNTIF(H81:H206,"PASS")</f>
        <v>0</v>
      </c>
      <c r="D208" s="87">
        <f>COUNTIF(H81:H206,"FAIL")</f>
        <v>0</v>
      </c>
    </row>
  </sheetData>
  <mergeCells count="4">
    <mergeCell ref="A2:K2"/>
    <mergeCell ref="A1:K1"/>
    <mergeCell ref="A4:K4"/>
    <mergeCell ref="A79:K79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46" customWidth="1"/>
    <col min="3" max="3" width="52" customWidth="1"/>
    <col min="4" max="4" width="70" customWidth="1"/>
    <col min="5" max="5" width="26" customWidth="1"/>
    <col min="6" max="6" width="14" customWidth="1"/>
    <col min="7" max="7" width="52" customWidth="1"/>
  </cols>
  <sheetData>
    <row r="1" spans="1:7" ht="22.05" customHeight="1" x14ac:dyDescent="0.45">
      <c r="A1" s="90" t="s">
        <v>995</v>
      </c>
      <c r="B1" s="91"/>
      <c r="C1" s="91"/>
      <c r="D1" s="91"/>
      <c r="E1" s="91"/>
      <c r="F1" s="91"/>
      <c r="G1" s="91"/>
    </row>
    <row r="3" spans="1:7" x14ac:dyDescent="0.45">
      <c r="A3" s="4" t="s">
        <v>996</v>
      </c>
      <c r="B3" s="4" t="s">
        <v>997</v>
      </c>
      <c r="C3" s="4" t="s">
        <v>998</v>
      </c>
      <c r="D3" s="4" t="s">
        <v>999</v>
      </c>
      <c r="E3" s="4" t="s">
        <v>1000</v>
      </c>
      <c r="F3" s="4" t="s">
        <v>1001</v>
      </c>
      <c r="G3" s="4" t="s">
        <v>1002</v>
      </c>
    </row>
    <row r="4" spans="1:7" ht="64.05" customHeight="1" x14ac:dyDescent="0.45">
      <c r="A4" s="10">
        <v>1</v>
      </c>
      <c r="B4" s="2" t="s">
        <v>1003</v>
      </c>
      <c r="C4" s="2" t="s">
        <v>1004</v>
      </c>
      <c r="D4" s="2" t="s">
        <v>1005</v>
      </c>
      <c r="E4" s="2" t="s">
        <v>1006</v>
      </c>
      <c r="F4" s="9" t="s">
        <v>1007</v>
      </c>
      <c r="G4" s="2" t="s">
        <v>1008</v>
      </c>
    </row>
    <row r="5" spans="1:7" ht="64.05" customHeight="1" x14ac:dyDescent="0.45">
      <c r="A5" s="10">
        <v>2</v>
      </c>
      <c r="B5" s="2" t="s">
        <v>1009</v>
      </c>
      <c r="C5" s="2" t="s">
        <v>1010</v>
      </c>
      <c r="D5" s="2" t="s">
        <v>1011</v>
      </c>
      <c r="E5" s="2" t="s">
        <v>1012</v>
      </c>
      <c r="F5" s="9" t="s">
        <v>1007</v>
      </c>
      <c r="G5" s="2" t="s">
        <v>1013</v>
      </c>
    </row>
    <row r="6" spans="1:7" ht="64.05" customHeight="1" x14ac:dyDescent="0.45">
      <c r="A6" s="10">
        <v>3</v>
      </c>
      <c r="B6" s="2" t="s">
        <v>1014</v>
      </c>
      <c r="C6" s="2" t="s">
        <v>1015</v>
      </c>
      <c r="D6" s="2" t="s">
        <v>1016</v>
      </c>
      <c r="E6" s="2" t="s">
        <v>1017</v>
      </c>
      <c r="F6" s="9" t="s">
        <v>1007</v>
      </c>
      <c r="G6" s="2"/>
    </row>
    <row r="7" spans="1:7" ht="64.05" customHeight="1" x14ac:dyDescent="0.45">
      <c r="A7" s="10">
        <v>4</v>
      </c>
      <c r="B7" s="2" t="s">
        <v>1018</v>
      </c>
      <c r="C7" s="2" t="s">
        <v>1019</v>
      </c>
      <c r="D7" s="2" t="s">
        <v>1020</v>
      </c>
      <c r="E7" s="2" t="s">
        <v>1021</v>
      </c>
      <c r="F7" s="9" t="s">
        <v>1007</v>
      </c>
      <c r="G7" s="2"/>
    </row>
    <row r="8" spans="1:7" ht="64.05" customHeight="1" x14ac:dyDescent="0.45">
      <c r="A8" s="10">
        <v>5</v>
      </c>
      <c r="B8" s="2" t="s">
        <v>1022</v>
      </c>
      <c r="C8" s="2" t="s">
        <v>1023</v>
      </c>
      <c r="D8" s="2" t="s">
        <v>1024</v>
      </c>
      <c r="E8" s="2" t="s">
        <v>1025</v>
      </c>
      <c r="F8" s="9" t="s">
        <v>1007</v>
      </c>
      <c r="G8" s="2"/>
    </row>
    <row r="9" spans="1:7" ht="64.05" customHeight="1" x14ac:dyDescent="0.45">
      <c r="A9" s="10">
        <v>6</v>
      </c>
      <c r="B9" s="2" t="s">
        <v>1026</v>
      </c>
      <c r="C9" s="2" t="s">
        <v>1027</v>
      </c>
      <c r="D9" s="2" t="s">
        <v>1028</v>
      </c>
      <c r="E9" s="2" t="s">
        <v>1029</v>
      </c>
      <c r="F9" s="9" t="s">
        <v>1007</v>
      </c>
      <c r="G9" s="2" t="s">
        <v>1030</v>
      </c>
    </row>
    <row r="10" spans="1:7" ht="64.05" customHeight="1" x14ac:dyDescent="0.45">
      <c r="A10" s="10">
        <v>7</v>
      </c>
      <c r="B10" s="2" t="s">
        <v>1031</v>
      </c>
      <c r="C10" s="2" t="s">
        <v>1032</v>
      </c>
      <c r="D10" s="2" t="s">
        <v>1033</v>
      </c>
      <c r="E10" s="2" t="s">
        <v>1034</v>
      </c>
      <c r="F10" s="9" t="s">
        <v>1007</v>
      </c>
      <c r="G10" s="2"/>
    </row>
    <row r="11" spans="1:7" ht="64.05" customHeight="1" x14ac:dyDescent="0.45">
      <c r="A11" s="10">
        <v>8</v>
      </c>
      <c r="B11" s="2" t="s">
        <v>1035</v>
      </c>
      <c r="C11" s="2" t="s">
        <v>1036</v>
      </c>
      <c r="D11" s="2" t="s">
        <v>1037</v>
      </c>
      <c r="E11" s="2" t="s">
        <v>1038</v>
      </c>
      <c r="F11" s="9" t="s">
        <v>1039</v>
      </c>
      <c r="G11" s="2" t="s">
        <v>1040</v>
      </c>
    </row>
    <row r="12" spans="1:7" ht="64.05" customHeight="1" x14ac:dyDescent="0.45">
      <c r="A12" s="10">
        <v>9</v>
      </c>
      <c r="B12" s="2" t="s">
        <v>1041</v>
      </c>
      <c r="C12" s="2" t="s">
        <v>1042</v>
      </c>
      <c r="D12" s="2" t="s">
        <v>1043</v>
      </c>
      <c r="E12" s="2" t="s">
        <v>1044</v>
      </c>
      <c r="F12" s="9" t="s">
        <v>1007</v>
      </c>
      <c r="G12" s="2" t="s">
        <v>1045</v>
      </c>
    </row>
    <row r="13" spans="1:7" ht="64.05" customHeight="1" x14ac:dyDescent="0.45">
      <c r="A13" s="10">
        <v>10</v>
      </c>
      <c r="B13" s="2" t="s">
        <v>1046</v>
      </c>
      <c r="C13" s="2" t="s">
        <v>1047</v>
      </c>
      <c r="D13" s="2" t="s">
        <v>1048</v>
      </c>
      <c r="E13" s="2" t="s">
        <v>1049</v>
      </c>
      <c r="F13" s="9" t="s">
        <v>1007</v>
      </c>
      <c r="G13" s="2" t="s">
        <v>1050</v>
      </c>
    </row>
    <row r="14" spans="1:7" ht="64.05" customHeight="1" x14ac:dyDescent="0.45">
      <c r="A14" s="10">
        <v>11</v>
      </c>
      <c r="B14" s="2" t="s">
        <v>1051</v>
      </c>
      <c r="C14" s="2" t="s">
        <v>1052</v>
      </c>
      <c r="D14" s="2" t="s">
        <v>1053</v>
      </c>
      <c r="E14" s="2" t="s">
        <v>1054</v>
      </c>
      <c r="F14" s="9" t="s">
        <v>1007</v>
      </c>
      <c r="G14" s="2"/>
    </row>
    <row r="15" spans="1:7" ht="64.05" customHeight="1" x14ac:dyDescent="0.45">
      <c r="A15" s="10">
        <v>12</v>
      </c>
      <c r="B15" s="2" t="s">
        <v>1055</v>
      </c>
      <c r="C15" s="2" t="s">
        <v>1056</v>
      </c>
      <c r="D15" s="2" t="s">
        <v>1057</v>
      </c>
      <c r="E15" s="2" t="s">
        <v>1058</v>
      </c>
      <c r="F15" s="9" t="s">
        <v>1007</v>
      </c>
      <c r="G15" s="2" t="s">
        <v>1059</v>
      </c>
    </row>
    <row r="16" spans="1:7" ht="64.05" customHeight="1" x14ac:dyDescent="0.45">
      <c r="A16" s="10">
        <v>13</v>
      </c>
      <c r="B16" s="2" t="s">
        <v>1060</v>
      </c>
      <c r="C16" s="2" t="s">
        <v>1061</v>
      </c>
      <c r="D16" s="2" t="s">
        <v>1062</v>
      </c>
      <c r="E16" s="2" t="s">
        <v>1063</v>
      </c>
      <c r="F16" s="7" t="s">
        <v>1064</v>
      </c>
      <c r="G16" s="2" t="s">
        <v>1065</v>
      </c>
    </row>
    <row r="17" spans="1:7" ht="64.05" customHeight="1" x14ac:dyDescent="0.45">
      <c r="A17" s="10">
        <v>14</v>
      </c>
      <c r="B17" s="2" t="s">
        <v>1066</v>
      </c>
      <c r="C17" s="2" t="s">
        <v>1067</v>
      </c>
      <c r="D17" s="2" t="s">
        <v>1068</v>
      </c>
      <c r="E17" s="2" t="s">
        <v>1069</v>
      </c>
      <c r="F17" s="9" t="s">
        <v>1007</v>
      </c>
      <c r="G17" s="2" t="s">
        <v>1070</v>
      </c>
    </row>
    <row r="18" spans="1:7" ht="64.05" customHeight="1" x14ac:dyDescent="0.45">
      <c r="A18" s="10">
        <v>15</v>
      </c>
      <c r="B18" s="2" t="s">
        <v>1071</v>
      </c>
      <c r="C18" s="2" t="s">
        <v>1067</v>
      </c>
      <c r="D18" s="2" t="s">
        <v>1072</v>
      </c>
      <c r="E18" s="2" t="s">
        <v>1073</v>
      </c>
      <c r="F18" s="9" t="s">
        <v>1007</v>
      </c>
      <c r="G18" s="2"/>
    </row>
    <row r="19" spans="1:7" ht="64.05" customHeight="1" x14ac:dyDescent="0.45">
      <c r="A19" s="10">
        <v>16</v>
      </c>
      <c r="B19" s="2" t="s">
        <v>1074</v>
      </c>
      <c r="C19" s="2" t="s">
        <v>1067</v>
      </c>
      <c r="D19" s="2" t="s">
        <v>1075</v>
      </c>
      <c r="E19" s="2" t="s">
        <v>1076</v>
      </c>
      <c r="F19" s="9" t="s">
        <v>1007</v>
      </c>
      <c r="G19" s="2"/>
    </row>
    <row r="20" spans="1:7" ht="64.05" customHeight="1" x14ac:dyDescent="0.45">
      <c r="A20" s="10">
        <v>17</v>
      </c>
      <c r="B20" s="2" t="s">
        <v>1077</v>
      </c>
      <c r="C20" s="2" t="s">
        <v>1078</v>
      </c>
      <c r="D20" s="2" t="s">
        <v>1079</v>
      </c>
      <c r="E20" s="2" t="s">
        <v>1080</v>
      </c>
      <c r="F20" s="9" t="s">
        <v>1007</v>
      </c>
      <c r="G20" s="2" t="s">
        <v>1081</v>
      </c>
    </row>
    <row r="21" spans="1:7" ht="64.05" customHeight="1" x14ac:dyDescent="0.45">
      <c r="A21" s="10">
        <v>18</v>
      </c>
      <c r="B21" s="2" t="s">
        <v>1082</v>
      </c>
      <c r="C21" s="2" t="s">
        <v>1083</v>
      </c>
      <c r="D21" s="2" t="s">
        <v>1084</v>
      </c>
      <c r="E21" s="2" t="s">
        <v>1085</v>
      </c>
      <c r="F21" s="9" t="s">
        <v>1007</v>
      </c>
      <c r="G21" s="2"/>
    </row>
    <row r="22" spans="1:7" ht="64.05" customHeight="1" x14ac:dyDescent="0.45">
      <c r="A22" s="10">
        <v>19</v>
      </c>
      <c r="B22" s="2" t="s">
        <v>1086</v>
      </c>
      <c r="C22" s="2" t="s">
        <v>1087</v>
      </c>
      <c r="D22" s="2" t="s">
        <v>1088</v>
      </c>
      <c r="E22" s="2" t="s">
        <v>1012</v>
      </c>
      <c r="F22" s="9" t="s">
        <v>1007</v>
      </c>
      <c r="G22" s="2"/>
    </row>
  </sheetData>
  <mergeCells count="1">
    <mergeCell ref="A1:G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defaultRowHeight="14.25" x14ac:dyDescent="0.45"/>
  <cols>
    <col min="1" max="1" width="4" customWidth="1"/>
    <col min="2" max="2" width="84" customWidth="1"/>
    <col min="3" max="3" width="16" customWidth="1"/>
    <col min="4" max="4" width="12" customWidth="1"/>
  </cols>
  <sheetData>
    <row r="1" spans="1:4" ht="22.05" customHeight="1" x14ac:dyDescent="0.45">
      <c r="A1" s="90" t="s">
        <v>1089</v>
      </c>
      <c r="B1" s="91"/>
      <c r="C1" s="91"/>
      <c r="D1" s="91"/>
    </row>
    <row r="3" spans="1:4" x14ac:dyDescent="0.45">
      <c r="A3" s="4" t="s">
        <v>996</v>
      </c>
      <c r="B3" s="4" t="s">
        <v>970</v>
      </c>
      <c r="C3" s="4" t="s">
        <v>1090</v>
      </c>
      <c r="D3" s="4" t="s">
        <v>1091</v>
      </c>
    </row>
    <row r="4" spans="1:4" x14ac:dyDescent="0.45">
      <c r="A4" s="10">
        <v>1</v>
      </c>
      <c r="B4" s="2" t="s">
        <v>1092</v>
      </c>
      <c r="C4" s="13" t="str">
        <f>Mode</f>
        <v>REBUILD</v>
      </c>
      <c r="D4" s="10" t="str">
        <f>IF(OR(Mode="REBUILD",Mode="PROTOTYPE"),"PASS","FAIL")</f>
        <v>PASS</v>
      </c>
    </row>
    <row r="5" spans="1:4" x14ac:dyDescent="0.45">
      <c r="A5" s="10">
        <v>2</v>
      </c>
      <c r="B5" s="2" t="s">
        <v>1093</v>
      </c>
      <c r="C5" s="13" t="str">
        <f>Conv</f>
        <v>FULL</v>
      </c>
      <c r="D5" s="10" t="str">
        <f>IF(OR(Conv="FULL",Conv="NOPHASE",Conv="SCALED"),"PASS","FAIL")</f>
        <v>PASS</v>
      </c>
    </row>
    <row r="6" spans="1:4" x14ac:dyDescent="0.45">
      <c r="A6" s="10">
        <v>3</v>
      </c>
      <c r="B6" s="2" t="s">
        <v>1094</v>
      </c>
      <c r="C6" s="13">
        <f>Yr</f>
        <v>2030</v>
      </c>
      <c r="D6" s="10" t="str">
        <f>IF(ISNUMBER(MATCH(Yr,CPO_Years,0)),"PASS","FAIL")</f>
        <v>PASS</v>
      </c>
    </row>
    <row r="7" spans="1:4" x14ac:dyDescent="0.45">
      <c r="A7" s="10">
        <v>4</v>
      </c>
      <c r="B7" s="2" t="s">
        <v>1095</v>
      </c>
      <c r="C7" s="13">
        <f>SUMPRODUCT(--ISERROR(Inputs!$C$41:$F$70))</f>
        <v>0</v>
      </c>
      <c r="D7" s="10" t="str">
        <f>IF(C7=0,"PASS","FAIL")</f>
        <v>PASS</v>
      </c>
    </row>
    <row r="8" spans="1:4" x14ac:dyDescent="0.45">
      <c r="A8" s="10">
        <v>5</v>
      </c>
      <c r="B8" s="2" t="s">
        <v>1096</v>
      </c>
      <c r="C8" s="13">
        <f>SUMPRODUCT(--ISERROR(SumTbl))</f>
        <v>0</v>
      </c>
      <c r="D8" s="10" t="str">
        <f>IF(C8=0,"PASS","FAIL")</f>
        <v>PASS</v>
      </c>
    </row>
    <row r="9" spans="1:4" x14ac:dyDescent="0.45">
      <c r="A9" s="10">
        <v>6</v>
      </c>
      <c r="B9" s="2" t="s">
        <v>1097</v>
      </c>
      <c r="C9" s="13">
        <f>SUMPRODUCT(--ISERROR(CBAM_Products!$A$4:$AV$100))</f>
        <v>0</v>
      </c>
      <c r="D9" s="10" t="str">
        <f>IF(C9=0,"PASS","FAIL")</f>
        <v>PASS</v>
      </c>
    </row>
    <row r="10" spans="1:4" x14ac:dyDescent="0.45">
      <c r="A10" s="10">
        <v>7</v>
      </c>
      <c r="B10" s="2" t="s">
        <v>1098</v>
      </c>
      <c r="C10" s="13">
        <f>SUMPRODUCT(--ISERROR(PolicyMatrix!$A$7:$AU$12))</f>
        <v>0</v>
      </c>
      <c r="D10" s="10" t="str">
        <f>IF(C10=0,"PASS","FAIL")</f>
        <v>PASS</v>
      </c>
    </row>
    <row r="11" spans="1:4" x14ac:dyDescent="0.45">
      <c r="A11" s="10">
        <v>8</v>
      </c>
      <c r="B11" s="2" t="s">
        <v>1099</v>
      </c>
      <c r="C11" s="13">
        <f>INDEX(SumTbl,MATCH("Ebase",SumKeys,0),MATCH("1A",SumHdr,0))</f>
        <v>62.423609890817644</v>
      </c>
      <c r="D11" s="10" t="str">
        <f>IF(OR(Yr&lt;&gt;2030,EFSet&lt;&gt;"PROTOTYPE"),"n/a",IF(ABS(C11-61.1572316750106)&lt;0.000001,"PASS","FAIL"))</f>
        <v>n/a</v>
      </c>
    </row>
    <row r="12" spans="1:4" x14ac:dyDescent="0.45">
      <c r="A12" s="10">
        <v>9</v>
      </c>
      <c r="B12" s="2" t="s">
        <v>1100</v>
      </c>
      <c r="C12" s="13">
        <f>ABS(PolicyMatrix!$K$7-Results!$C$84)+ABS(PolicyMatrix!$K$8-Results!$D$84)+ABS(PolicyMatrix!$K$9-Results!$E$84)+ABS(PolicyMatrix!$K$10-Results!$F$84)+ABS(PolicyMatrix!$K$11-Results!$G$84)+ABS(PolicyMatrix!$K$12-Results!$H$84)</f>
        <v>0</v>
      </c>
      <c r="D12" s="10" t="str">
        <f>IF(C12&lt;0.000000001,"PASS","FAIL")</f>
        <v>PASS</v>
      </c>
    </row>
    <row r="13" spans="1:4" x14ac:dyDescent="0.45">
      <c r="A13" s="10">
        <v>10</v>
      </c>
      <c r="B13" s="2" t="s">
        <v>1101</v>
      </c>
      <c r="C13" s="13">
        <f>SUMPRODUCT(ABS(INDEX(SumTbl,MATCH("K_check",SumKeys,0),0)))</f>
        <v>0</v>
      </c>
      <c r="D13" s="10" t="str">
        <f>IF(C13&lt;0.000000001,"PASS","FAIL")</f>
        <v>PASS</v>
      </c>
    </row>
    <row r="14" spans="1:4" x14ac:dyDescent="0.45">
      <c r="A14" s="10">
        <v>11</v>
      </c>
      <c r="B14" s="2" t="s">
        <v>1102</v>
      </c>
      <c r="C14" s="13" t="str">
        <f>MIN(INDEX(SumTbl,MATCH("J",SumKeys,0),0))&amp;" / "&amp;MAX(INDEX(SumTbl,MATCH("J",SumKeys,0),0))</f>
        <v>0.208353505505121 / 0.631957744122588</v>
      </c>
      <c r="D14" s="10" t="str">
        <f>IF(AND(MIN(INDEX(SumTbl,MATCH("J",SumKeys,0),0))&gt;=0,MAX(INDEX(SumTbl,MATCH("J",SumKeys,0),0))&lt;=1),"PASS","FAIL")</f>
        <v>PASS</v>
      </c>
    </row>
    <row r="15" spans="1:4" x14ac:dyDescent="0.45">
      <c r="A15" s="10">
        <v>12</v>
      </c>
      <c r="B15" s="2" t="s">
        <v>1103</v>
      </c>
      <c r="C15" s="13">
        <f>MAX(INDEX(SumTbl,MATCH("M",SumKeys,0),0))</f>
        <v>1.0000000000000002</v>
      </c>
      <c r="D15" s="10" t="str">
        <f>IF(AND(MIN(INDEX(SumTbl,MATCH("M",SumKeys,0),0))&gt;=0,C15&lt;=1),"PASS","FAIL")</f>
        <v>PASS</v>
      </c>
    </row>
    <row r="16" spans="1:4" x14ac:dyDescent="0.45">
      <c r="A16" s="10">
        <v>13</v>
      </c>
      <c r="B16" s="2" t="s">
        <v>1104</v>
      </c>
      <c r="C16" s="13">
        <f>MAX(MAX(INDEX(SumTbl,MATCH("N",SumKeys,0),0)),MAX(INDEX(SumTbl,MATCH("U",SumKeys,0),0)))</f>
        <v>0</v>
      </c>
      <c r="D16" s="10" t="str">
        <f>IF(C16&lt;=0.000000000001,"PASS","FAIL")</f>
        <v>PASS</v>
      </c>
    </row>
    <row r="17" spans="1:4" x14ac:dyDescent="0.45">
      <c r="A17" s="10">
        <v>14</v>
      </c>
      <c r="B17" s="2" t="s">
        <v>1105</v>
      </c>
      <c r="C17" s="13">
        <f>MAX(INDEX(SumTbl,MATCH("K",SumKeys,0),0))</f>
        <v>-12.308925441888352</v>
      </c>
      <c r="D17" s="10" t="str">
        <f>IF(C17&lt;=0,"PASS","FAIL")</f>
        <v>PASS</v>
      </c>
    </row>
    <row r="18" spans="1:4" x14ac:dyDescent="0.45">
      <c r="A18" s="10">
        <v>15</v>
      </c>
      <c r="B18" s="2" t="s">
        <v>1106</v>
      </c>
      <c r="C18" s="13">
        <f>ProtoFail</f>
        <v>0</v>
      </c>
      <c r="D18" s="10" t="str">
        <f>IF(Mode&lt;&gt;"PROTOTYPE","n/a",IF(ProtoFail=0,"PASS","FAIL"))</f>
        <v>n/a</v>
      </c>
    </row>
    <row r="19" spans="1:4" x14ac:dyDescent="0.45">
      <c r="A19" s="10">
        <v>16</v>
      </c>
      <c r="B19" s="2" t="s">
        <v>1107</v>
      </c>
      <c r="C19" s="13">
        <f>INDEX(SumTbl,MATCH("fund_outlay",SumKeys,0),MATCH("3C",SumHdr,0))-INDEX(SumTbl,MATCH("fund_budget",SumKeys,0),MATCH("3C",SumHdr,0))</f>
        <v>-2.1210668503032784</v>
      </c>
      <c r="D19" s="10" t="str">
        <f>IF(C19&lt;=0.000000001,"PASS","FAIL")</f>
        <v>PASS</v>
      </c>
    </row>
    <row r="20" spans="1:4" x14ac:dyDescent="0.45">
      <c r="A20" s="10">
        <v>17</v>
      </c>
      <c r="B20" s="2" t="s">
        <v>1108</v>
      </c>
      <c r="C20" s="13">
        <f>MIN(INDEX(SumTbl,MATCH("P_net",SumKeys,0),0))</f>
        <v>0</v>
      </c>
      <c r="D20" s="10" t="str">
        <f>IF(C20&gt;=-0.001,"PASS","FAIL")</f>
        <v>PASS</v>
      </c>
    </row>
    <row r="21" spans="1:4" x14ac:dyDescent="0.45">
      <c r="A21" s="10">
        <v>18</v>
      </c>
      <c r="B21" s="2" t="s">
        <v>1109</v>
      </c>
      <c r="C21" s="13">
        <f>INDEX(YV_FLAT,MATCH(Yr,YV_Years,0))-INDEX(YV_EG1,MATCH(Yr,YV_Years,0))</f>
        <v>0</v>
      </c>
      <c r="D21" s="10" t="str">
        <f>IF(ABS(C21)&lt;0.000000001,"PASS","FAIL")</f>
        <v>PASS</v>
      </c>
    </row>
    <row r="22" spans="1:4" x14ac:dyDescent="0.45">
      <c r="A22" s="10">
        <v>19</v>
      </c>
      <c r="B22" s="2" t="s">
        <v>1110</v>
      </c>
      <c r="C22" s="13">
        <f>INDEX(SumTbl,MATCH("Epbase",SumKeys,0),MATCH("1A",SumHdr,0))-INDEX(SumTbl,MATCH("ippu0",SumKeys,0),MATCH("1A",SumHdr,0))</f>
        <v>-51.148514583099448</v>
      </c>
      <c r="D22" s="10" t="str">
        <f>IF(C22&lt;0,"PASS","FAIL")</f>
        <v>PASS</v>
      </c>
    </row>
    <row r="23" spans="1:4" x14ac:dyDescent="0.45">
      <c r="B23" s="88" t="s">
        <v>1111</v>
      </c>
      <c r="D23" s="89" t="str">
        <f>IF(COUNTIF(D4:D22,"FAIL")=0,"PASS","FAIL")</f>
        <v>PASS</v>
      </c>
    </row>
  </sheetData>
  <mergeCells count="1">
    <mergeCell ref="A1:D1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83</vt:i4>
      </vt:variant>
    </vt:vector>
  </HeadingPairs>
  <TitlesOfParts>
    <vt:vector size="92" baseType="lpstr">
      <vt:lpstr>ReadMe</vt:lpstr>
      <vt:lpstr>Inputs</vt:lpstr>
      <vt:lpstr>CPAT_Outputs</vt:lpstr>
      <vt:lpstr>CBAM_Products</vt:lpstr>
      <vt:lpstr>Results</vt:lpstr>
      <vt:lpstr>PolicyMatrix</vt:lpstr>
      <vt:lpstr>Comparison</vt:lpstr>
      <vt:lpstr>Issues resolved</vt:lpstr>
      <vt:lpstr>Checks</vt:lpstr>
      <vt:lpstr>BaseYr</vt:lpstr>
      <vt:lpstr>BetaSet</vt:lpstr>
      <vt:lpstr>Bf</vt:lpstr>
      <vt:lpstr>BfScen</vt:lpstr>
      <vt:lpstr>BT_Code</vt:lpstr>
      <vt:lpstr>BT_Flag</vt:lpstr>
      <vt:lpstr>BT_Phi</vt:lpstr>
      <vt:lpstr>BT_Recyc</vt:lpstr>
      <vt:lpstr>BT_Scen</vt:lpstr>
      <vt:lpstr>BT_Scope</vt:lpstr>
      <vt:lpstr>BT_Tau</vt:lpstr>
      <vt:lpstr>BT_Theta</vt:lpstr>
      <vt:lpstr>BT_Traj</vt:lpstr>
      <vt:lpstr>CBFsel</vt:lpstr>
      <vt:lpstr>CBFyr</vt:lpstr>
      <vt:lpstr>ChecksOverall</vt:lpstr>
      <vt:lpstr>Conv</vt:lpstr>
      <vt:lpstr>CPO_Data</vt:lpstr>
      <vt:lpstr>CPO_Keys</vt:lpstr>
      <vt:lpstr>CPO_Years</vt:lpstr>
      <vt:lpstr>CV_cptraj</vt:lpstr>
      <vt:lpstr>CV_deaths</vt:lpstr>
      <vt:lpstr>CV_denr</vt:lpstr>
      <vt:lpstr>CV_dghg</vt:lpstr>
      <vt:lpstr>CV_dind</vt:lpstr>
      <vt:lpstr>CV_dippu</vt:lpstr>
      <vt:lpstr>CV_drev</vt:lpstr>
      <vt:lpstr>CV_effcp</vt:lpstr>
      <vt:lpstr>CV_enr0</vt:lpstr>
      <vt:lpstr>CV_enr1</vt:lpstr>
      <vt:lpstr>CV_ghg0</vt:lpstr>
      <vt:lpstr>CV_ghg1</vt:lpstr>
      <vt:lpstr>CV_Hdr</vt:lpstr>
      <vt:lpstr>CV_ind0</vt:lpstr>
      <vt:lpstr>CV_ind1</vt:lpstr>
      <vt:lpstr>CV_ippu0</vt:lpstr>
      <vt:lpstr>CV_ippu1</vt:lpstr>
      <vt:lpstr>CV_kappa</vt:lpstr>
      <vt:lpstr>CV_mort</vt:lpstr>
      <vt:lpstr>CV_revctax</vt:lpstr>
      <vt:lpstr>CV_revnew0</vt:lpstr>
      <vt:lpstr>CV_revnew1</vt:lpstr>
      <vt:lpstr>EFSet</vt:lpstr>
      <vt:lpstr>EpsF</vt:lpstr>
      <vt:lpstr>EpsQ</vt:lpstr>
      <vt:lpstr>EpsQ1</vt:lpstr>
      <vt:lpstr>EpsQ2</vt:lpstr>
      <vt:lpstr>EpsQ3</vt:lpstr>
      <vt:lpstr>EpsQ4</vt:lpstr>
      <vt:lpstr>EpsQ5</vt:lpstr>
      <vt:lpstr>EpsQ6</vt:lpstr>
      <vt:lpstr>EpsQ7</vt:lpstr>
      <vt:lpstr>EpsQ8</vt:lpstr>
      <vt:lpstr>EpsU</vt:lpstr>
      <vt:lpstr>IppuOther</vt:lpstr>
      <vt:lpstr>KappaMode</vt:lpstr>
      <vt:lpstr>Mode</vt:lpstr>
      <vt:lpstr>PEU</vt:lpstr>
      <vt:lpstr>ProtoFail</vt:lpstr>
      <vt:lpstr>ProtoPass</vt:lpstr>
      <vt:lpstr>PStar</vt:lpstr>
      <vt:lpstr>PT_Beta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SigmaEff</vt:lpstr>
      <vt:lpstr>SInt</vt:lpstr>
      <vt:lpstr>Ssel</vt:lpstr>
      <vt:lpstr>SumHdr</vt:lpstr>
      <vt:lpstr>SumKeys</vt:lpstr>
      <vt:lpstr>SumTbl</vt:lpstr>
      <vt:lpstr>ThetaOther</vt:lpstr>
      <vt:lpstr>Yr</vt:lpstr>
      <vt:lpstr>YV_CBF</vt:lpstr>
      <vt:lpstr>YV_EG1</vt:lpstr>
      <vt:lpstr>YV_FLAT</vt:lpstr>
      <vt:lpstr>YV_RAMP</vt:lpstr>
      <vt:lpstr>YV_Years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2026-10-04T17:00:41Z</dcterms:created>
  <dcterms:modified xsi:type="dcterms:W3CDTF">2026-10-04T17:00:56Z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2026-10-04T17:00:56Z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38420fd1-40f7-43f4-b2e3-7d9dead35a22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