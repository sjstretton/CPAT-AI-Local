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egypt+mitigation\EmissionFactors\"/>
    </mc:Choice>
  </mc:AlternateContent>
  <xr:revisionPtr revIDLastSave="0" documentId="13_ncr:1_{CD57E5DF-64EE-4BA9-9055-3459588CE07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adMe" sheetId="1" r:id="rId1"/>
    <sheet name="Sources" sheetId="2" r:id="rId2"/>
    <sheet name="Settings" sheetId="3" r:id="rId3"/>
    <sheet name="Factors" sheetId="4" r:id="rId4"/>
    <sheet name="Egypt_Inputs" sheetId="5" r:id="rId5"/>
    <sheet name="Derivation" sheetId="6" r:id="rId6"/>
    <sheet name="Products" sheetId="7" r:id="rId7"/>
    <sheet name="Summary" sheetId="8" r:id="rId8"/>
    <sheet name="Checks" sheetId="9" r:id="rId9"/>
  </sheets>
  <definedNames>
    <definedName name="al_anode_ash">Egypt_Inputs!$D$52</definedName>
    <definedName name="al_anode_co2">Derivation!$D$58</definedName>
    <definedName name="al_anode_net">Egypt_Inputs!$D$50</definedName>
    <definedName name="al_anode_s">Egypt_Inputs!$D$51</definedName>
    <definedName name="al_bake_np">Egypt_Inputs!$D$53</definedName>
    <definedName name="al_c2f6">Egypt_Inputs!$D$56</definedName>
    <definedName name="al_cf4">Egypt_Inputs!$D$55</definedName>
    <definedName name="al_ng_total">Egypt_Inputs!$D$54</definedName>
    <definedName name="an_fuel">Egypt_Inputs!$D$46</definedName>
    <definedName name="an_hno3_in">Egypt_Inputs!$D$47</definedName>
    <definedName name="an_nh3_in">Egypt_Inputs!$D$48</definedName>
    <definedName name="bf_coke">Egypt_Inputs!$D$16</definedName>
    <definedName name="bf_flux">Egypt_Inputs!$D$21</definedName>
    <definedName name="bf_pci">Egypt_Inputs!$D$17</definedName>
    <definedName name="bof_other_fuel">Egypt_Inputs!$D$20</definedName>
    <definedName name="c_to_co2">Factors!$D$35</definedName>
    <definedName name="cc_charge_carbon">Factors!$D$46</definedName>
    <definedName name="cc_coke">Factors!$D$50</definedName>
    <definedName name="cc_dri">Factors!$D$47</definedName>
    <definedName name="cc_electrode">Factors!$D$45</definedName>
    <definedName name="cc_pci_coal">Factors!$D$51</definedName>
    <definedName name="cc_pig_iron">Factors!$D$49</definedName>
    <definedName name="cc_steel">Factors!$D$48</definedName>
    <definedName name="clk_af_fossil">Egypt_Inputs!$D$29</definedName>
    <definedName name="clk_cao">Egypt_Inputs!$D$30</definedName>
    <definedName name="clk_cement_memo">Derivation!$D$34</definedName>
    <definedName name="clk_ckd">Egypt_Inputs!$D$32</definedName>
    <definedName name="clk_ef_mix">Derivation!$D$29</definedName>
    <definedName name="clk_mgo">Egypt_Inputs!$D$31</definedName>
    <definedName name="clk_ratio">Egypt_Inputs!$D$33</definedName>
    <definedName name="clk_sh_af">Egypt_Inputs!$D$28</definedName>
    <definedName name="clk_sh_coal">Egypt_Inputs!$D$24</definedName>
    <definedName name="clk_sh_hfo">Egypt_Inputs!$D$27</definedName>
    <definedName name="clk_sh_ng">Egypt_Inputs!$D$26</definedName>
    <definedName name="clk_sh_petcoke">Egypt_Inputs!$D$25</definedName>
    <definedName name="clk_thermal">Egypt_Inputs!$D$23</definedName>
    <definedName name="co2_per_urea">Factors!$D$39</definedName>
    <definedName name="dri_c_retained">Derivation!$D$7</definedName>
    <definedName name="dri_check">Derivation!$D$12</definedName>
    <definedName name="dri_co2_total">Derivation!$D$6</definedName>
    <definedName name="dri_feed_share">Egypt_Inputs!$D$7</definedName>
    <definedName name="dri_ng_total">Egypt_Inputs!$D$6</definedName>
    <definedName name="dri_per_steel">Egypt_Inputs!$D$8</definedName>
    <definedName name="eaf_charge_c_dri">Egypt_Inputs!$D$12</definedName>
    <definedName name="eaf_charge_c_scrap">Egypt_Inputs!$D$13</definedName>
    <definedName name="eaf_electrode">Egypt_Inputs!$D$11</definedName>
    <definedName name="eaf_limestone">Egypt_Inputs!$D$14</definedName>
    <definedName name="eaf_ng_dri">Egypt_Inputs!$D$9</definedName>
    <definedName name="eaf_ng_scrap">Egypt_Inputs!$D$10</definedName>
    <definedName name="ef_af_fossil">Factors!$D$13</definedName>
    <definedName name="ef_al_fc">Derivation!$D$60</definedName>
    <definedName name="ef_al_fp">Derivation!$D$61</definedName>
    <definedName name="ef_al_no">Derivation!$D$62</definedName>
    <definedName name="ef_al_np">Derivation!$D$59</definedName>
    <definedName name="ef_an_fc">Derivation!$D$53</definedName>
    <definedName name="ef_an_fp">Derivation!$D$54</definedName>
    <definedName name="ef_an_no">Derivation!$D$56</definedName>
    <definedName name="ef_an_np">Derivation!$D$55</definedName>
    <definedName name="ef_bof_fc">Derivation!$D$25</definedName>
    <definedName name="ef_bof_fp">Derivation!$D$24</definedName>
    <definedName name="ef_bof_no">Derivation!$D$27</definedName>
    <definedName name="ef_bof_np">Derivation!$D$26</definedName>
    <definedName name="ef_caco3">Factors!$D$36</definedName>
    <definedName name="ef_cao">Factors!$D$37</definedName>
    <definedName name="ef_clk_fc">Derivation!$D$30</definedName>
    <definedName name="ef_clk_fp">Derivation!$D$31</definedName>
    <definedName name="ef_clk_no">Derivation!$D$33</definedName>
    <definedName name="ef_clk_np">Derivation!$D$32</definedName>
    <definedName name="ef_coal">Factors!$D$7</definedName>
    <definedName name="ef_cog">Factors!$D$12</definedName>
    <definedName name="ef_coke">Factors!$D$11</definedName>
    <definedName name="ef_diesel">Factors!$D$10</definedName>
    <definedName name="ef_dri_fc">Derivation!$D$9</definedName>
    <definedName name="ef_dri_fp">Derivation!$D$8</definedName>
    <definedName name="ef_dri_no">Derivation!$D$11</definedName>
    <definedName name="ef_dri_np">Derivation!$D$10</definedName>
    <definedName name="ef_eafd_fc">Derivation!$D$14</definedName>
    <definedName name="ef_eafd_fp">Derivation!$D$15</definedName>
    <definedName name="ef_eafd_no">Derivation!$D$17</definedName>
    <definedName name="ef_eafd_np">Derivation!$D$16</definedName>
    <definedName name="ef_eafs_fc">Derivation!$D$19</definedName>
    <definedName name="ef_eafs_fp">Derivation!$D$20</definedName>
    <definedName name="ef_eafs_no">Derivation!$D$22</definedName>
    <definedName name="ef_eafs_np">Derivation!$D$21</definedName>
    <definedName name="ef_hfo">Factors!$D$9</definedName>
    <definedName name="ef_hno3_fc">Derivation!$D$49</definedName>
    <definedName name="ef_hno3_fp">Derivation!$D$50</definedName>
    <definedName name="ef_hno3_no">Derivation!$D$48</definedName>
    <definedName name="ef_hno3_np">Derivation!$D$51</definedName>
    <definedName name="ef_mgo">Factors!$D$38</definedName>
    <definedName name="ef_ng">Factors!$D$6</definedName>
    <definedName name="ef_nh3_fc">Derivation!$D$38</definedName>
    <definedName name="ef_nh3_fp">Derivation!$D$37</definedName>
    <definedName name="ef_nh3_no">Derivation!$D$40</definedName>
    <definedName name="ef_nh3_np">Derivation!$D$39</definedName>
    <definedName name="ef_petcoke">Factors!$D$8</definedName>
    <definedName name="ef_urea_fc">Derivation!$D$42</definedName>
    <definedName name="ef_urea_fp">Derivation!$D$43</definedName>
    <definedName name="ef_urea_no">Derivation!$D$45</definedName>
    <definedName name="ef_urea_np">Derivation!$D$44</definedName>
    <definedName name="gwp_c2f6">Factors!$D$24</definedName>
    <definedName name="gwp_c2f6_ar6">Factors!$D$21</definedName>
    <definedName name="gwp_c2f6_cbam">Factors!$D$18</definedName>
    <definedName name="gwp_cf4">Factors!$D$23</definedName>
    <definedName name="gwp_cf4_ar6">Factors!$D$20</definedName>
    <definedName name="gwp_cf4_cbam">Factors!$D$17</definedName>
    <definedName name="gwp_n2o">Factors!$D$22</definedName>
    <definedName name="gwp_n2o_ar6">Factors!$D$19</definedName>
    <definedName name="gwp_n2o_cbam">Factors!$D$16</definedName>
    <definedName name="gwp_set">Settings!$C$5</definedName>
    <definedName name="hm_c">Egypt_Inputs!$D$18</definedName>
    <definedName name="hm_per_steel">Egypt_Inputs!$D$19</definedName>
    <definedName name="hno3_abat_share">Egypt_Inputs!$D$43</definedName>
    <definedName name="hno3_fuel">Egypt_Inputs!$D$44</definedName>
    <definedName name="hno3_n2o_abat">Egypt_Inputs!$D$42</definedName>
    <definedName name="hno3_n2o_rate">Derivation!$D$47</definedName>
    <definedName name="hno3_n2o_unab">Egypt_Inputs!$D$41</definedName>
    <definedName name="hno3_per_an_st">Factors!$D$41</definedName>
    <definedName name="ipcc_anode_prebake">Factors!$D$59</definedName>
    <definedName name="ipcc_c2f6_cwpb">Factors!$D$61</definedName>
    <definedName name="ipcc_cf4_cwpb">Factors!$D$60</definedName>
    <definedName name="ipcc_clinker_t1">Factors!$D$54</definedName>
    <definedName name="ipcc_dri_t1">Factors!$D$62</definedName>
    <definedName name="ipcc_eaf_t1">Factors!$D$63</definedName>
    <definedName name="ipcc_n2o_destr">Factors!$D$58</definedName>
    <definedName name="ipcc_n2o_mp">Factors!$D$57</definedName>
    <definedName name="ipcc_nh3_conv">Factors!$D$55</definedName>
    <definedName name="ipcc_nh3_euavg">Factors!$D$56</definedName>
    <definedName name="m_an">Factors!$D$33</definedName>
    <definedName name="m_c">Factors!$D$26</definedName>
    <definedName name="m_caco3">Factors!$D$34</definedName>
    <definedName name="m_cao">Factors!$D$28</definedName>
    <definedName name="m_co2">Factors!$D$27</definedName>
    <definedName name="m_hno3">Factors!$D$32</definedName>
    <definedName name="m_mgo">Factors!$D$29</definedName>
    <definedName name="m_nh3">Factors!$D$30</definedName>
    <definedName name="m_urea">Factors!$D$31</definedName>
    <definedName name="ncv_ng">Factors!$D$52</definedName>
    <definedName name="nh3_ng_feed">Egypt_Inputs!$D$36</definedName>
    <definedName name="nh3_ng_fuel">Derivation!$D$36</definedName>
    <definedName name="nh3_ng_total">Egypt_Inputs!$D$35</definedName>
    <definedName name="nh3_per_an_st">Factors!$D$42</definedName>
    <definedName name="nh3_per_hno3_st">Factors!$D$43</definedName>
    <definedName name="nh3_per_urea_st">Factors!$D$40</definedName>
    <definedName name="oxf">Factors!$D$14</definedName>
    <definedName name="prod_al">Egypt_Inputs!$D$64</definedName>
    <definedName name="prod_an">Egypt_Inputs!$D$63</definedName>
    <definedName name="prod_clinker">Egypt_Inputs!$D$60</definedName>
    <definedName name="prod_nh3">Egypt_Inputs!$D$61</definedName>
    <definedName name="prod_steel_dri">Egypt_Inputs!$D$58</definedName>
    <definedName name="prod_steel_scrap">Egypt_Inputs!$D$59</definedName>
    <definedName name="prod_urea">Egypt_Inputs!$D$62</definedName>
    <definedName name="ref_year">Settings!$C$7</definedName>
    <definedName name="urea_conv">Settings!$C$6</definedName>
    <definedName name="urea_fuel">Egypt_Inputs!$D$38</definedName>
    <definedName name="urea_nh3_in">Egypt_Inputs!$D$39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9" l="1"/>
  <c r="D17" i="9"/>
  <c r="C10" i="9"/>
  <c r="D10" i="9" s="1"/>
  <c r="C9" i="9"/>
  <c r="D9" i="9" s="1"/>
  <c r="C8" i="9"/>
  <c r="D8" i="9" s="1"/>
  <c r="C7" i="9"/>
  <c r="D7" i="9" s="1"/>
  <c r="C6" i="9"/>
  <c r="D6" i="9" s="1"/>
  <c r="D15" i="8"/>
  <c r="C14" i="8"/>
  <c r="T12" i="7"/>
  <c r="M12" i="7"/>
  <c r="L12" i="7"/>
  <c r="K12" i="7"/>
  <c r="J12" i="7"/>
  <c r="T11" i="7"/>
  <c r="T10" i="7"/>
  <c r="M10" i="7"/>
  <c r="T9" i="7"/>
  <c r="M9" i="7"/>
  <c r="L9" i="7"/>
  <c r="K9" i="7"/>
  <c r="J9" i="7"/>
  <c r="T8" i="7"/>
  <c r="M8" i="7"/>
  <c r="L8" i="7"/>
  <c r="K8" i="7"/>
  <c r="J8" i="7"/>
  <c r="T7" i="7"/>
  <c r="M7" i="7"/>
  <c r="L7" i="7"/>
  <c r="K7" i="7"/>
  <c r="J7" i="7"/>
  <c r="T6" i="7"/>
  <c r="M6" i="7"/>
  <c r="L6" i="7"/>
  <c r="K6" i="7"/>
  <c r="J6" i="7"/>
  <c r="T5" i="7"/>
  <c r="M5" i="7"/>
  <c r="L5" i="7"/>
  <c r="K5" i="7"/>
  <c r="J5" i="7"/>
  <c r="D61" i="6"/>
  <c r="E12" i="7" s="1"/>
  <c r="E12" i="8" s="1"/>
  <c r="D60" i="6"/>
  <c r="D12" i="7" s="1"/>
  <c r="D12" i="8" s="1"/>
  <c r="D56" i="6"/>
  <c r="G11" i="7" s="1"/>
  <c r="G11" i="8" s="1"/>
  <c r="D55" i="6"/>
  <c r="F11" i="7" s="1"/>
  <c r="F11" i="8" s="1"/>
  <c r="D54" i="6"/>
  <c r="E11" i="7" s="1"/>
  <c r="E11" i="8" s="1"/>
  <c r="D53" i="6"/>
  <c r="D11" i="7" s="1"/>
  <c r="D51" i="6"/>
  <c r="L11" i="7" s="1"/>
  <c r="D50" i="6"/>
  <c r="D49" i="6"/>
  <c r="D47" i="6"/>
  <c r="D48" i="6" s="1"/>
  <c r="M11" i="7" s="1"/>
  <c r="D45" i="6"/>
  <c r="G10" i="7" s="1"/>
  <c r="G10" i="8" s="1"/>
  <c r="D44" i="6"/>
  <c r="F10" i="7" s="1"/>
  <c r="F10" i="8" s="1"/>
  <c r="D43" i="6"/>
  <c r="E10" i="7" s="1"/>
  <c r="E10" i="8" s="1"/>
  <c r="D42" i="6"/>
  <c r="D10" i="7" s="1"/>
  <c r="D40" i="6"/>
  <c r="G9" i="7" s="1"/>
  <c r="G9" i="8" s="1"/>
  <c r="D39" i="6"/>
  <c r="F9" i="7" s="1"/>
  <c r="F9" i="8" s="1"/>
  <c r="D37" i="6"/>
  <c r="K10" i="7" s="1"/>
  <c r="D36" i="6"/>
  <c r="D38" i="6" s="1"/>
  <c r="D33" i="6"/>
  <c r="G8" i="7" s="1"/>
  <c r="G8" i="8" s="1"/>
  <c r="D31" i="6"/>
  <c r="E8" i="7" s="1"/>
  <c r="E8" i="8" s="1"/>
  <c r="D29" i="6"/>
  <c r="D30" i="6" s="1"/>
  <c r="D27" i="6"/>
  <c r="G7" i="7" s="1"/>
  <c r="G7" i="8" s="1"/>
  <c r="D25" i="6"/>
  <c r="D7" i="7" s="1"/>
  <c r="D22" i="6"/>
  <c r="G6" i="7" s="1"/>
  <c r="G6" i="8" s="1"/>
  <c r="D20" i="6"/>
  <c r="E6" i="7" s="1"/>
  <c r="E6" i="8" s="1"/>
  <c r="D19" i="6"/>
  <c r="D6" i="7" s="1"/>
  <c r="D17" i="6"/>
  <c r="D14" i="6"/>
  <c r="D11" i="6"/>
  <c r="D10" i="6"/>
  <c r="D9" i="6"/>
  <c r="D5" i="7" s="1"/>
  <c r="D6" i="6"/>
  <c r="C16" i="9" s="1"/>
  <c r="D16" i="9" s="1"/>
  <c r="D43" i="4"/>
  <c r="D42" i="4"/>
  <c r="D41" i="4"/>
  <c r="D40" i="4"/>
  <c r="D39" i="4"/>
  <c r="D38" i="4"/>
  <c r="D37" i="4"/>
  <c r="D36" i="4"/>
  <c r="D26" i="6" s="1"/>
  <c r="F7" i="7" s="1"/>
  <c r="F7" i="8" s="1"/>
  <c r="D35" i="4"/>
  <c r="D16" i="6" s="1"/>
  <c r="D24" i="4"/>
  <c r="D23" i="4"/>
  <c r="D62" i="6" s="1"/>
  <c r="G12" i="7" s="1"/>
  <c r="G12" i="8" s="1"/>
  <c r="D22" i="4"/>
  <c r="G26" i="6"/>
  <c r="G50" i="6"/>
  <c r="G49" i="6"/>
  <c r="G62" i="6"/>
  <c r="G54" i="6"/>
  <c r="G45" i="6"/>
  <c r="G37" i="6"/>
  <c r="G29" i="6"/>
  <c r="G20" i="6"/>
  <c r="G11" i="6"/>
  <c r="G34" i="6"/>
  <c r="G59" i="6"/>
  <c r="G42" i="6"/>
  <c r="G25" i="6"/>
  <c r="G16" i="6"/>
  <c r="G8" i="6"/>
  <c r="G58" i="6"/>
  <c r="G24" i="6"/>
  <c r="G56" i="6"/>
  <c r="G48" i="6"/>
  <c r="G39" i="6"/>
  <c r="G31" i="6"/>
  <c r="G22" i="6"/>
  <c r="G14" i="6"/>
  <c r="G6" i="6"/>
  <c r="G47" i="6"/>
  <c r="G30" i="6"/>
  <c r="G12" i="6"/>
  <c r="G61" i="6"/>
  <c r="G44" i="6"/>
  <c r="G27" i="6"/>
  <c r="G10" i="6"/>
  <c r="G51" i="6"/>
  <c r="G43" i="6"/>
  <c r="G55" i="6"/>
  <c r="G38" i="6"/>
  <c r="G21" i="6"/>
  <c r="G53" i="6"/>
  <c r="G36" i="6"/>
  <c r="G19" i="6"/>
  <c r="G60" i="6"/>
  <c r="G17" i="6"/>
  <c r="G9" i="6"/>
  <c r="G33" i="6"/>
  <c r="G40" i="6"/>
  <c r="G32" i="6"/>
  <c r="G15" i="6"/>
  <c r="G7" i="6"/>
  <c r="J11" i="7" l="1"/>
  <c r="G5" i="7"/>
  <c r="G5" i="8" s="1"/>
  <c r="D32" i="6"/>
  <c r="F8" i="7" s="1"/>
  <c r="F8" i="8" s="1"/>
  <c r="H11" i="7"/>
  <c r="D11" i="8"/>
  <c r="D7" i="8"/>
  <c r="D9" i="7"/>
  <c r="J10" i="7"/>
  <c r="F5" i="7"/>
  <c r="F5" i="8" s="1"/>
  <c r="D8" i="7"/>
  <c r="H10" i="7"/>
  <c r="D10" i="8"/>
  <c r="D6" i="8"/>
  <c r="D5" i="8"/>
  <c r="E9" i="7"/>
  <c r="E9" i="8" s="1"/>
  <c r="K11" i="7"/>
  <c r="L10" i="7"/>
  <c r="D21" i="6"/>
  <c r="F6" i="7" s="1"/>
  <c r="F6" i="8" s="1"/>
  <c r="D7" i="6"/>
  <c r="D24" i="6"/>
  <c r="E7" i="7" s="1"/>
  <c r="E7" i="8" s="1"/>
  <c r="D58" i="6"/>
  <c r="D59" i="6" s="1"/>
  <c r="D34" i="6" l="1"/>
  <c r="C15" i="8" s="1"/>
  <c r="C14" i="9"/>
  <c r="D14" i="9" s="1"/>
  <c r="H6" i="7"/>
  <c r="D15" i="6"/>
  <c r="D8" i="6"/>
  <c r="H10" i="8"/>
  <c r="U10" i="7"/>
  <c r="N10" i="7"/>
  <c r="D8" i="8"/>
  <c r="H8" i="7"/>
  <c r="C15" i="9"/>
  <c r="D15" i="9" s="1"/>
  <c r="F12" i="7"/>
  <c r="H9" i="7"/>
  <c r="D9" i="8"/>
  <c r="H7" i="7"/>
  <c r="U11" i="7"/>
  <c r="H11" i="8"/>
  <c r="N11" i="7"/>
  <c r="N7" i="7" l="1"/>
  <c r="H7" i="8"/>
  <c r="U7" i="7"/>
  <c r="U9" i="7"/>
  <c r="H9" i="8"/>
  <c r="C13" i="9"/>
  <c r="D13" i="9" s="1"/>
  <c r="N9" i="7"/>
  <c r="I10" i="8"/>
  <c r="W10" i="7"/>
  <c r="F12" i="8"/>
  <c r="H12" i="7"/>
  <c r="N8" i="7"/>
  <c r="H8" i="8"/>
  <c r="U8" i="7"/>
  <c r="E5" i="7"/>
  <c r="D12" i="6"/>
  <c r="C5" i="9" s="1"/>
  <c r="D5" i="9" s="1"/>
  <c r="I11" i="8"/>
  <c r="W11" i="7"/>
  <c r="U6" i="7"/>
  <c r="N6" i="7"/>
  <c r="H6" i="8"/>
  <c r="H12" i="8" l="1"/>
  <c r="U12" i="7"/>
  <c r="N12" i="7"/>
  <c r="I8" i="8"/>
  <c r="W8" i="7"/>
  <c r="I9" i="8"/>
  <c r="W9" i="7"/>
  <c r="I6" i="8"/>
  <c r="W6" i="7"/>
  <c r="E5" i="8"/>
  <c r="H5" i="7"/>
  <c r="C12" i="9"/>
  <c r="D12" i="9" s="1"/>
  <c r="W7" i="7"/>
  <c r="I7" i="8"/>
  <c r="C18" i="9" l="1"/>
  <c r="C11" i="9"/>
  <c r="D11" i="9" s="1"/>
  <c r="D20" i="9" s="1"/>
  <c r="H5" i="8"/>
  <c r="N5" i="7"/>
  <c r="U5" i="7"/>
  <c r="W12" i="7"/>
  <c r="I12" i="8"/>
  <c r="W5" i="7" l="1"/>
  <c r="C17" i="9" s="1"/>
  <c r="I5" i="8"/>
</calcChain>
</file>

<file path=xl/sharedStrings.xml><?xml version="1.0" encoding="utf-8"?>
<sst xmlns="http://schemas.openxmlformats.org/spreadsheetml/2006/main" count="1104" uniqueCount="728">
  <si>
    <t>Egypt CBAM goods - direct emission factors, four-way split (v0.1)</t>
  </si>
  <si>
    <t>Auditable derivation of Scope 1 emission factors (tCO2e per t product) for the eight CBAM goods carried in CPAT_Industry_Kernel_Egypt ('Manual inputs' H30:K37). Methodology: EGY_CBAM_EF_Methodology_v0.1.md.</t>
  </si>
  <si>
    <t>Component</t>
  </si>
  <si>
    <t>Definition</t>
  </si>
  <si>
    <t>IPCC 2006 category</t>
  </si>
  <si>
    <t>CBAM IR 2023/1773 source stream</t>
  </si>
  <si>
    <t>fc</t>
  </si>
  <si>
    <t>Fuel combustion CO2: fuel burned for heat (kilns, reformer burners, EAF burners, boilers, baking furnaces).</t>
  </si>
  <si>
    <t>1A2 Energy - manufacturing</t>
  </si>
  <si>
    <t>Combustion emissions (Annex III B.3)</t>
  </si>
  <si>
    <t>fp</t>
  </si>
  <si>
    <t>Fuel-based process CO2: fuel carbon entering the process as reductant or feedstock (NG reformer feed in DRI and ammonia, coke/PCI in a blast furnace), incl. carbon carried in DRI to the EAF.</t>
  </si>
  <si>
    <t>2C1 (iron &amp; steel), 2B1 (ammonia)</t>
  </si>
  <si>
    <t>Process emissions - mass balance (Annex III B.3.2 / B.4)</t>
  </si>
  <si>
    <t>np</t>
  </si>
  <si>
    <t>Non-fuel process CO2: carbonate decomposition (clinker, flux), carbon anodes, EAF electrodes and charge carbon; CO2 bound in urea under the IPCC netting convention (negative).</t>
  </si>
  <si>
    <t>2A1 (cement), 2C3 (aluminium), 2C1 (electrodes/flux)</t>
  </si>
  <si>
    <t>Process emissions (Annex III B.3.2)</t>
  </si>
  <si>
    <t>no</t>
  </si>
  <si>
    <t>Non-CO2 process gases in CO2e: N2O from nitric acid (precursor of AN), CF4 and C2F6 from aluminium electrolysis.</t>
  </si>
  <si>
    <t>2B2 (nitric acid), 2C3 (PFC)</t>
  </si>
  <si>
    <t>N2O (Annex III B.9.3), PFC (Annex III B.7)</t>
  </si>
  <si>
    <t>Sheet</t>
  </si>
  <si>
    <t>Content</t>
  </si>
  <si>
    <t>Sources</t>
  </si>
  <si>
    <t>Register of every source used (SourceID S01..). Every input row cites one or more SourceIDs.</t>
  </si>
  <si>
    <t>Settings</t>
  </si>
  <si>
    <t>Conventions: GWP set (CBAM/AR5 vs AR6); treatment of CO2 bound in urea (CBAM vs IPCC netting).</t>
  </si>
  <si>
    <t>Factors</t>
  </si>
  <si>
    <t>Standard factors: fuel EFs, GWPs, molar masses, stoichiometric factors, carbon contents, IPCC Tier 1 reference values. Each row = a defined name (column B).</t>
  </si>
  <si>
    <t>Egypt_Inputs</t>
  </si>
  <si>
    <t>Egypt-specific technology / activity parameters per process with value, range, tier (A plant data .. D international default), SourceID and note. Green cells are the only inputs.</t>
  </si>
  <si>
    <t>Derivation</t>
  </si>
  <si>
    <t>Step-by-step formulas per process (P1 DRI .. P10 aluminium). Column G shows the live formula text; outputs ef_&lt;process&gt;_&lt;component&gt; are defined names.</t>
  </si>
  <si>
    <t>Products</t>
  </si>
  <si>
    <t>Roll-up to the eight kernel goods: own-process EF by component, precursor (chain) EF by component, totals, comparison with kernel v0.12 and EU default / benchmark.</t>
  </si>
  <si>
    <t>Summary</t>
  </si>
  <si>
    <t>The deliverable table: four EFs per good (own process, as used by the kernel) plus chain totals, confidence grade and one-line derivation.</t>
  </si>
  <si>
    <t>Checks</t>
  </si>
  <si>
    <t>Balance, range and reconciliation checks; all must show OK.</t>
  </si>
  <si>
    <t>Colour</t>
  </si>
  <si>
    <t>Meaning</t>
  </si>
  <si>
    <t>green EBF1DE</t>
  </si>
  <si>
    <t>input (change only here)</t>
  </si>
  <si>
    <t>blue DCE6F1</t>
  </si>
  <si>
    <t>code / defined name</t>
  </si>
  <si>
    <t>tan DDD9C4</t>
  </si>
  <si>
    <t>convention switch</t>
  </si>
  <si>
    <t>yellow FFF2CC</t>
  </si>
  <si>
    <t>result / to review</t>
  </si>
  <si>
    <t>grey F2F2F2</t>
  </si>
  <si>
    <t>reference only (not Egyptian production)</t>
  </si>
  <si>
    <t>no fill</t>
  </si>
  <si>
    <t>calculation</t>
  </si>
  <si>
    <t>Version log</t>
  </si>
  <si>
    <t>v0.1</t>
  </si>
  <si>
    <t>2026-10-02</t>
  </si>
  <si>
    <t>Initial derivation; inputs are tier C/D estimates pending collection of Egyptian plant data (see Egypt_Inputs notes marked VERIFY).</t>
  </si>
  <si>
    <t>Sources register</t>
  </si>
  <si>
    <t>Every input in Factors and Egypt_Inputs cites a SourceID from this list. Type: Authoritative (official statistic / regulation / IPCC), Estimate (technology literature, to be replaced by Egyptian plant data), Proxy (non-Egypt data standing in), Internal (repo file).</t>
  </si>
  <si>
    <t>SourceID</t>
  </si>
  <si>
    <t>Short reference</t>
  </si>
  <si>
    <t>Full reference</t>
  </si>
  <si>
    <t>URL</t>
  </si>
  <si>
    <t>Type</t>
  </si>
  <si>
    <t>S01</t>
  </si>
  <si>
    <t>IPCC 2006 Vol.2 Ch.1-2</t>
  </si>
  <si>
    <t>IPCC (2006) Guidelines for National GHG Inventories, Vol. 2 Energy, Ch. 1-2 (Table 1.2 NCV, Table 2.2 p. 2.16 default CO2 emission factors for stationary combustion; verified from PDF: NG 56.1, other bituminous coal 94.6, residual fuel oil 77.4, petroleum coke 97.5, coke oven coke 107 tCO2/TJ)</t>
  </si>
  <si>
    <t>https://www.ipcc-nggip.iges.or.jp/public/2006gl/pdf/2_Volume2/V2_2_Ch2_Stationary_Combustion.pdf</t>
  </si>
  <si>
    <t>Authoritative</t>
  </si>
  <si>
    <t>S02</t>
  </si>
  <si>
    <t>CBAM IR 2023/1773 Annex VIII / Guidance Doc 3 Tables 4-7..4-12</t>
  </si>
  <si>
    <t>Commission Implementing Regulation (EU) 2023/1773, Annex VIII standard factors; EC CBAM Guidance Document 3 (Methodology), Tables 4-7 to 4-12 (fuel EFs, carbonate stoichiometric factors, carbon contents of process materials, GWPs)</t>
  </si>
  <si>
    <t>https://taxation-customs.ec.europa.eu/carbon-border-adjustment-mechanism_en</t>
  </si>
  <si>
    <t>S03</t>
  </si>
  <si>
    <t>IPCC 2006 Vol.3 Ch.2 (2A1 cement)</t>
  </si>
  <si>
    <t>IPCC (2006) Vol. 3 IPPU, Ch. 2 Mineral industry: Eq. 2.4 (p. 2.12) Tier 1 clinker EF 0.52 tCO2/t (0.51 at 65% CaO x CKD correction 1.02); Table 2.4 (p. 2.22) stoichiometric 0.785 tCO2/t CaO. NOTE: the MgO factor 1.092 is NOT printed in IPCC; it is the derived molar ratio 44.01/40.30 used by GCCA/CSI and EU ETS (computed here from molar masses).</t>
  </si>
  <si>
    <t>https://www.ipcc-nggip.iges.or.jp/public/2006gl/pdf/3_Volume3/V3_2_Ch2_Mineral_Industry.pdf</t>
  </si>
  <si>
    <t>S04</t>
  </si>
  <si>
    <t>IPCC 2006 Vol.3 Ch.3 (2B1 ammonia, 2B2 nitric acid)</t>
  </si>
  <si>
    <t>IPCC (2006) Vol. 3 Ch. 3 Chemical industry: Table 3.1 (p. 3.15) ammonia total fuel requirement and EF (modern conventional/autothermal reforming NG 30.2 GJ/t, 1.694 tCO2/t; European average, mix of modern and older NG plants 37.5 GJ/t, 2.104 tCO2/t; CCF 15.3 kgC/GJ); Table 3.3 (p. 3.23) nitric acid N2O defaults (kg N2O/t HNO3). Verified from PDF.</t>
  </si>
  <si>
    <t>https://www.ipcc-nggip.iges.or.jp/public/2006gl/pdf/3_Volume3/V3_3_Ch3_Chemical_Industry.pdf</t>
  </si>
  <si>
    <t>S05</t>
  </si>
  <si>
    <t>IPCC 2006 Vol.3 Ch.4 (2C1 iron &amp; steel, 2C3 aluminium)</t>
  </si>
  <si>
    <t>IPCC (2006) Vol. 3 Ch. 4 Metal industry: Table 4.1 iron &amp; steel Tier 1 EFs; Table 4.10 anode CO2 (prebake 1.6, Soderberg 1.7 tCO2/t Al); Table 4.15 Tier 1 PFC EFs by cell technology (CWPB 0.4 kg CF4/t, 0.04 kg C2F6/t)</t>
  </si>
  <si>
    <t>https://www.ipcc-nggip.iges.or.jp/public/2006gl/pdf/3_Volume3/V3_4_Ch4_Metal_Industry.pdf</t>
  </si>
  <si>
    <t>S06</t>
  </si>
  <si>
    <t>IPCC AR6 WGI Ch.7 Table 7.SM.7</t>
  </si>
  <si>
    <t>IPCC (2021) AR6 WGI, GWP100: N2O 273, CF4 7380, C2F6 12400</t>
  </si>
  <si>
    <t>https://www.ipcc.ch/report/ar6/wg1/</t>
  </si>
  <si>
    <t>S07</t>
  </si>
  <si>
    <t>Midrex process energy</t>
  </si>
  <si>
    <t>Midrex Technologies, process descriptions / World DRI Statistics: natural-gas Midrex plants consume about 10-11 GJ NG per t DRI (approx. 2.5 Gcal/t), of which the larger part is reformed to reducing gas and the remainder fired in the reformer burners together with recycled top gas</t>
  </si>
  <si>
    <t>https://www.midrex.com/</t>
  </si>
  <si>
    <t>Estimate</t>
  </si>
  <si>
    <t>S08</t>
  </si>
  <si>
    <t>World Steel Association</t>
  </si>
  <si>
    <t>worldsteel annual crude steel production (Egypt: 2020 8.2, 2021 10.3, 2022 9.8, 2023 10.4, 2024 10.7 Mt; read via secondary aggregation, verify against World Steel in Figures). Route: 100% EAF assumed; EISCO Helwan BF closure (2021) is widely reported but NOT yet confirmed from a citable primary source - VERIFY</t>
  </si>
  <si>
    <t>https://worldsteel.org/data/annual-production-steel-data/</t>
  </si>
  <si>
    <t>S08b</t>
  </si>
  <si>
    <t>Ezz Steel (EZDK) corporate</t>
  </si>
  <si>
    <t>Ezz Steel plant pages: integrated route = direct reduction plants (three Midrex, one HYL/Energiron at Suez) feeding EAFs; charge ~80% DRI + scrap; ~5 Mt DRI/yr (2017 figure)</t>
  </si>
  <si>
    <t>https://www.ezzsteel.com/ezz-steel-plants</t>
  </si>
  <si>
    <t>S09</t>
  </si>
  <si>
    <t>GCCA GNR / IEA cement</t>
  </si>
  <si>
    <t>GCCA Getting the Numbers Right (GNR) database and IEA cement tracking: thermal energy intensity 3.3-3.7 GJ/t clinker for dry preheater/precalciner kilns; Egypt fuel switch to coal/petcoke after the 2014 authorisation</t>
  </si>
  <si>
    <t>https://gccassociation.org/sustainability-innovation/gnr-gcca-in-numbers/</t>
  </si>
  <si>
    <t>S10</t>
  </si>
  <si>
    <t>IFA / EFMA BAT ammonia</t>
  </si>
  <si>
    <t>Fertilizers Europe (EFMA) BAT booklet No. 1 (ammonia) and IFA energy benchmarking: NG feedstock about 22-24 GJ/t NH3, fuel 7-14 GJ/t NH3 depending on plant vintage; stoichiometric minimum about 20.9 GJ/t</t>
  </si>
  <si>
    <t>https://www.fertilizerseurope.com/</t>
  </si>
  <si>
    <t>S11</t>
  </si>
  <si>
    <t>EFMA BAT nitric acid / AN</t>
  </si>
  <si>
    <t>Fertilizers Europe BAT booklets No. 2 (nitric acid) and No. 6 (AN/CAN): nitric acid is a net steam exporter (negligible fuel); AN evaporation/prilling 1.5-2.5 GJ/t; N2O abatement catalysts destroy 80-99% of N2O</t>
  </si>
  <si>
    <t>S12</t>
  </si>
  <si>
    <t>IAI aluminium</t>
  </si>
  <si>
    <t>International Aluminium Institute: anode consumption 0.40-0.45 t/t Al (prebake); PFC statistics page confirms GWP vintages (AR5 CF4 6630 / C2F6 11100 used 2021-23; AR6 7380 / 12400 from 2024). Egyptalum cell technology and PFC performance NOT confirmed in this version - VERIFY</t>
  </si>
  <si>
    <t>https://international-aluminium.org/statistics/perfluorocarbon-pfc-emissions/</t>
  </si>
  <si>
    <t>S13</t>
  </si>
  <si>
    <t>Kernel v0.12 Manual inputs</t>
  </si>
  <si>
    <t>CPAT_Industry_Kernel_Egypt_v0.12.xlsx, sheet 'Manual inputs' rows 30-37 (EF block unchanged since v0.6) (current EF values, EU default values and benchmarks as recorded there; EU values to be re-verified against the Official Journal)</t>
  </si>
  <si>
    <t>cpat_excel_new/standalone_working_version/</t>
  </si>
  <si>
    <t>Internal</t>
  </si>
  <si>
    <t>S14</t>
  </si>
  <si>
    <t>Egypt plant structure (analyst)</t>
  </si>
  <si>
    <t>Analyst assessment of Egypt's plant fleet: steel = NG-based Midrex DRI + EAF (Ezz, Suez Steel, Beshay) and scrap-EAF mills; cement = dry kilns, coal/petcoke-fired since 2014-16; ammonia = NG SMR (Abu Qir, MOPCO, EFC, Helwan, KIMA, El Nasr, Alexfert); aluminium = Egyptalum Nag Hammadi prebake. To be replaced by cited plant data as collected.</t>
  </si>
  <si>
    <t>S15</t>
  </si>
  <si>
    <t>Stoichiometry</t>
  </si>
  <si>
    <t>Molar masses (IUPAC) and reaction stoichiometry: CO2/C = 44.009/12.011; CaO, MgO carbonate factors; urea CO(NH2)2 = 60.056; NH3 = 17.031; HNO3 = 63.012; NH4NO3 = 80.043</t>
  </si>
  <si>
    <t>Settings - conventions</t>
  </si>
  <si>
    <t>Switches read by the derivation (tan cells). Change here only.</t>
  </si>
  <si>
    <t>Code</t>
  </si>
  <si>
    <t>Setting</t>
  </si>
  <si>
    <t>Value</t>
  </si>
  <si>
    <t>Allowed</t>
  </si>
  <si>
    <t>Note</t>
  </si>
  <si>
    <t>gwp_set</t>
  </si>
  <si>
    <t>GWP set for N2O and PFCs</t>
  </si>
  <si>
    <t>CBAM</t>
  </si>
  <si>
    <t>CBAM | AR6</t>
  </si>
  <si>
    <t>CBAM = Implementing Regulation 2023/1773 Annex VIII (AR5 values, used by EU ETS/CBAM). AR6 for inventory-style reporting.</t>
  </si>
  <si>
    <t>urea_conv</t>
  </si>
  <si>
    <t>Treatment of CO2 chemically bound in urea</t>
  </si>
  <si>
    <t>CBAM | IPCC</t>
  </si>
  <si>
    <t>CBAM: CO2 consumed in urea is counted as emitted at the ammonia plant and NOT deducted (Guidance 5c s.3.1.1); urea np = 0. IPCC: inventory netting - bound CO2 deducted at the urea plant (np = -0.733) and released on soil application (AFOLU 3C3). Kernel v0.12 uses IPCC.</t>
  </si>
  <si>
    <t>ref_year</t>
  </si>
  <si>
    <t>Reference year of the Egypt inputs</t>
  </si>
  <si>
    <t>year</t>
  </si>
  <si>
    <t>Base year of the kernel (Settings!B6).</t>
  </si>
  <si>
    <t>Standard factors</t>
  </si>
  <si>
    <t>Fuel emission factors, GWPs, stoichiometry and carbon contents. Column B is the defined name used in Derivation. Formulas (no fill) derive stoichiometric factors from molar masses.</t>
  </si>
  <si>
    <t>Description</t>
  </si>
  <si>
    <t>Unit</t>
  </si>
  <si>
    <t>Source</t>
  </si>
  <si>
    <t>Fuel CO2 emission factors (net calorific value basis), oxidation factor 1</t>
  </si>
  <si>
    <t>ef_ng</t>
  </si>
  <si>
    <t>Natural gas</t>
  </si>
  <si>
    <t>tCO2/GJ</t>
  </si>
  <si>
    <t>S01;S02</t>
  </si>
  <si>
    <t>56.1 tCO2/TJ</t>
  </si>
  <si>
    <t>ef_coal</t>
  </si>
  <si>
    <t>Other bituminous coal (steam coal)</t>
  </si>
  <si>
    <t>94.6 tCO2/TJ</t>
  </si>
  <si>
    <t>ef_petcoke</t>
  </si>
  <si>
    <t>Petroleum coke</t>
  </si>
  <si>
    <t>97.5 tCO2/TJ</t>
  </si>
  <si>
    <t>ef_hfo</t>
  </si>
  <si>
    <t>Residual fuel oil (mazut)</t>
  </si>
  <si>
    <t>77.4 tCO2/TJ</t>
  </si>
  <si>
    <t>ef_diesel</t>
  </si>
  <si>
    <t>Gas/diesel oil</t>
  </si>
  <si>
    <t>74.1 tCO2/TJ</t>
  </si>
  <si>
    <t>ef_coke</t>
  </si>
  <si>
    <t>Coke oven coke</t>
  </si>
  <si>
    <t>107 tCO2/TJ</t>
  </si>
  <si>
    <t>ef_cog</t>
  </si>
  <si>
    <t>Coke oven gas</t>
  </si>
  <si>
    <t>44.4 tCO2/TJ</t>
  </si>
  <si>
    <t>ef_af_fossil</t>
  </si>
  <si>
    <t>Fossil fraction of waste-derived fuels (RDF, tyres)</t>
  </si>
  <si>
    <t>IPCC MSW fossil fraction 91.7 tCO2/TJ; biogenic fraction counted as zero</t>
  </si>
  <si>
    <t>oxf</t>
  </si>
  <si>
    <t>Oxidation factor</t>
  </si>
  <si>
    <t>-</t>
  </si>
  <si>
    <t>IPCC / CBAM default</t>
  </si>
  <si>
    <t>Global warming potentials (GWP100), tCO2e per t gas</t>
  </si>
  <si>
    <t>gwp_n2o_cbam</t>
  </si>
  <si>
    <t>N2O - CBAM / EU MRR (AR5)</t>
  </si>
  <si>
    <t>tCO2e/t</t>
  </si>
  <si>
    <t>gwp_cf4_cbam</t>
  </si>
  <si>
    <t>CF4 - CBAM / EU MRR (AR5)</t>
  </si>
  <si>
    <t>gwp_c2f6_cbam</t>
  </si>
  <si>
    <t>C2F6 - CBAM / EU MRR (AR5)</t>
  </si>
  <si>
    <t>gwp_n2o_ar6</t>
  </si>
  <si>
    <t>N2O - IPCC AR6</t>
  </si>
  <si>
    <t>gwp_cf4_ar6</t>
  </si>
  <si>
    <t>CF4 - IPCC AR6</t>
  </si>
  <si>
    <t>gwp_c2f6_ar6</t>
  </si>
  <si>
    <t>C2F6 - IPCC AR6</t>
  </si>
  <si>
    <t>gwp_n2o</t>
  </si>
  <si>
    <t>N2O - selected set (Settings!gwp_set)</t>
  </si>
  <si>
    <t>calc</t>
  </si>
  <si>
    <t>gwp_cf4</t>
  </si>
  <si>
    <t>CF4 - selected set</t>
  </si>
  <si>
    <t>gwp_c2f6</t>
  </si>
  <si>
    <t>C2F6 - selected set</t>
  </si>
  <si>
    <t>Molar masses and stoichiometric factors</t>
  </si>
  <si>
    <t>m_c</t>
  </si>
  <si>
    <t>Carbon</t>
  </si>
  <si>
    <t>g/mol</t>
  </si>
  <si>
    <t>m_co2</t>
  </si>
  <si>
    <t>CO2</t>
  </si>
  <si>
    <t>m_cao</t>
  </si>
  <si>
    <t>CaO</t>
  </si>
  <si>
    <t>m_mgo</t>
  </si>
  <si>
    <t>MgO</t>
  </si>
  <si>
    <t>m_nh3</t>
  </si>
  <si>
    <t>NH3</t>
  </si>
  <si>
    <t>m_urea</t>
  </si>
  <si>
    <t>Urea CO(NH2)2</t>
  </si>
  <si>
    <t>m_hno3</t>
  </si>
  <si>
    <t>HNO3</t>
  </si>
  <si>
    <t>m_an</t>
  </si>
  <si>
    <t>NH4NO3</t>
  </si>
  <si>
    <t>m_caco3</t>
  </si>
  <si>
    <t>CaCO3</t>
  </si>
  <si>
    <t>c_to_co2</t>
  </si>
  <si>
    <t>tCO2 per t carbon</t>
  </si>
  <si>
    <t>t/t</t>
  </si>
  <si>
    <t>3.664</t>
  </si>
  <si>
    <t>ef_caco3</t>
  </si>
  <si>
    <t>tCO2 per t CaCO3 (limestone) calcined (CBAM Method A)</t>
  </si>
  <si>
    <t>calc;S02</t>
  </si>
  <si>
    <t>0.440</t>
  </si>
  <si>
    <t>ef_cao</t>
  </si>
  <si>
    <t>tCO2 per t CaO from CaCO3 (CBAM Method B)</t>
  </si>
  <si>
    <t>0.785</t>
  </si>
  <si>
    <t>ef_mgo</t>
  </si>
  <si>
    <t>tCO2 per t MgO from MgCO3 (CBAM Method B)</t>
  </si>
  <si>
    <t>1.092</t>
  </si>
  <si>
    <t>co2_per_urea</t>
  </si>
  <si>
    <t>CO2 chemically bound per t urea</t>
  </si>
  <si>
    <t>0.733</t>
  </si>
  <si>
    <t>nh3_per_urea_st</t>
  </si>
  <si>
    <t>NH3 per t urea (stoichiometric)</t>
  </si>
  <si>
    <t>0.567</t>
  </si>
  <si>
    <t>hno3_per_an_st</t>
  </si>
  <si>
    <t>HNO3 (100%) per t AN (stoichiometric)</t>
  </si>
  <si>
    <t>0.787</t>
  </si>
  <si>
    <t>nh3_per_an_st</t>
  </si>
  <si>
    <t>NH3 per t AN for neutralisation (stoichiometric)</t>
  </si>
  <si>
    <t>0.213</t>
  </si>
  <si>
    <t>nh3_per_hno3_st</t>
  </si>
  <si>
    <t>NH3 per t HNO3 (100%) (stoichiometric)</t>
  </si>
  <si>
    <t>0.270</t>
  </si>
  <si>
    <t>Carbon content of process materials (CBAM Guidance 3, Table 4-11)</t>
  </si>
  <si>
    <t>cc_electrode</t>
  </si>
  <si>
    <t>EAF carbon electrodes</t>
  </si>
  <si>
    <t>tC/t</t>
  </si>
  <si>
    <t>3.00 tCO2/t</t>
  </si>
  <si>
    <t>cc_charge_carbon</t>
  </si>
  <si>
    <t>EAF charge carbon (coal / petcoke injected)</t>
  </si>
  <si>
    <t>3.04 tCO2/t</t>
  </si>
  <si>
    <t>cc_dri</t>
  </si>
  <si>
    <t>Direct reduced iron (DRI/HBI)</t>
  </si>
  <si>
    <t>0.07 tCO2/t</t>
  </si>
  <si>
    <t>cc_steel</t>
  </si>
  <si>
    <t>Crude steel</t>
  </si>
  <si>
    <t>0.04 tCO2/t</t>
  </si>
  <si>
    <t>cc_pig_iron</t>
  </si>
  <si>
    <t>Pig iron / hot metal</t>
  </si>
  <si>
    <t>0.15 tCO2/t</t>
  </si>
  <si>
    <t>cc_coke</t>
  </si>
  <si>
    <t>Metallurgical coke (carbon content)</t>
  </si>
  <si>
    <t>IPCC 2006 Table 4.3 default 0.83</t>
  </si>
  <si>
    <t>cc_pci_coal</t>
  </si>
  <si>
    <t>PCI coal (carbon content)</t>
  </si>
  <si>
    <t>IPCC 2006 Table 4.3 coal 0.67-0.80</t>
  </si>
  <si>
    <t>ncv_ng</t>
  </si>
  <si>
    <t>Natural gas NCV</t>
  </si>
  <si>
    <t>GJ/t</t>
  </si>
  <si>
    <t>Table 4-7: 48.0 TJ/Gg</t>
  </si>
  <si>
    <t>IPCC Tier 1 reference values (comparison only, not used in the derivation)</t>
  </si>
  <si>
    <t>ipcc_clinker_t1</t>
  </si>
  <si>
    <t>Clinker CO2, Tier 1 incl. CKD correction</t>
  </si>
  <si>
    <t>tCO2/t clinker</t>
  </si>
  <si>
    <t>0.51 x 1.02</t>
  </si>
  <si>
    <t>ipcc_nh3_conv</t>
  </si>
  <si>
    <t>Ammonia, modern conventional / autothermal reforming NG</t>
  </si>
  <si>
    <t>tCO2/t NH3</t>
  </si>
  <si>
    <t>Table 3.1: 30.2 GJ/t x 15.3 kgC/GJ x 44/12</t>
  </si>
  <si>
    <t>ipcc_nh3_euavg</t>
  </si>
  <si>
    <t>Ammonia, European average (mix of modern and older NG plants)</t>
  </si>
  <si>
    <t>Table 3.1: 37.5 GJ/t x 15.3 kgC/GJ x 44/12</t>
  </si>
  <si>
    <t>ipcc_n2o_mp</t>
  </si>
  <si>
    <t>Nitric acid N2O, medium-pressure plant, unabated</t>
  </si>
  <si>
    <t>kg N2O/t HNO3</t>
  </si>
  <si>
    <t>Table 3.3; range 4-10; high-pressure 9, atmospheric 5</t>
  </si>
  <si>
    <t>ipcc_n2o_destr</t>
  </si>
  <si>
    <t>Nitric acid N2O, with process-integrated or tail-gas destruction</t>
  </si>
  <si>
    <t>Table 3.3; NSCR 2</t>
  </si>
  <si>
    <t>ipcc_anode_prebake</t>
  </si>
  <si>
    <t>Aluminium anode CO2, prebake Tier 1</t>
  </si>
  <si>
    <t>tCO2/t Al</t>
  </si>
  <si>
    <t>Table 4.10</t>
  </si>
  <si>
    <t>ipcc_cf4_cwpb</t>
  </si>
  <si>
    <t>CF4 Tier 1, centre-worked prebake</t>
  </si>
  <si>
    <t>kg/t Al</t>
  </si>
  <si>
    <t>Table 4.15</t>
  </si>
  <si>
    <t>ipcc_c2f6_cwpb</t>
  </si>
  <si>
    <t>C2F6 Tier 1, centre-worked prebake</t>
  </si>
  <si>
    <t>ipcc_dri_t1</t>
  </si>
  <si>
    <t>DRI Tier 1 (all NG carbon)</t>
  </si>
  <si>
    <t>tCO2/t DRI</t>
  </si>
  <si>
    <t>Table 4.1</t>
  </si>
  <si>
    <t>ipcc_eaf_t1</t>
  </si>
  <si>
    <t>EAF Tier 1</t>
  </si>
  <si>
    <t>tCO2/t steel</t>
  </si>
  <si>
    <t>Egypt-specific inputs</t>
  </si>
  <si>
    <t>One row per technology / activity parameter. Tier: A = Egyptian plant data, B = Egyptian sector statistic, C = technology default calibrated to Egypt's plant fleet, D = international / IPCC default. Low/High give the plausible range (used for sensitivity in Checks). Rows marked VERIFY are the priority for data collection.</t>
  </si>
  <si>
    <t>Low</t>
  </si>
  <si>
    <t>High</t>
  </si>
  <si>
    <t>Tier</t>
  </si>
  <si>
    <t>STEEL - DRI (Midrex, natural gas) and EAF</t>
  </si>
  <si>
    <t>dri_ng_total</t>
  </si>
  <si>
    <t>Natural gas use of the DRI plant, total (reformer feed + burner fuel)</t>
  </si>
  <si>
    <t>GJ/t DRI</t>
  </si>
  <si>
    <t>C</t>
  </si>
  <si>
    <t>S07;S14</t>
  </si>
  <si>
    <t>Midrex NG plants ~2.5 Gcal/t DRI; Egypt plants are Midrex (Ezz, Suez, Beshay).</t>
  </si>
  <si>
    <t>dri_feed_share</t>
  </si>
  <si>
    <t>Share of DRI natural gas that is reformed to reducing gas (reductant / feedstock)</t>
  </si>
  <si>
    <t>share</t>
  </si>
  <si>
    <t>Remainder is fired in the reformer burners (with recycled top gas) = fc.</t>
  </si>
  <si>
    <t>dri_per_steel</t>
  </si>
  <si>
    <t>DRI charged per t crude steel on the DRI-EAF route</t>
  </si>
  <si>
    <t>t DRI/t steel</t>
  </si>
  <si>
    <t>~85% DRI / 15% scrap charge, ~1.15 t metallics per t liquid steel.</t>
  </si>
  <si>
    <t>eaf_ng_dri</t>
  </si>
  <si>
    <t>EAF meltshop natural gas (burners, ladle furnace, preheating), DRI-EAF route</t>
  </si>
  <si>
    <t>GJ/t steel</t>
  </si>
  <si>
    <t>Crude-steel boundary: reheating furnaces for rolling excluded.</t>
  </si>
  <si>
    <t>eaf_ng_scrap</t>
  </si>
  <si>
    <t>EAF meltshop natural gas, scrap-EAF route</t>
  </si>
  <si>
    <t>Scrap melting uses more oxy-fuel burner energy than hot/warm DRI charging.</t>
  </si>
  <si>
    <t>eaf_electrode</t>
  </si>
  <si>
    <t>Graphite electrode consumption</t>
  </si>
  <si>
    <t>kg/t steel</t>
  </si>
  <si>
    <t>eaf_charge_c_dri</t>
  </si>
  <si>
    <t>Charge / injection carbon, DRI-EAF route</t>
  </si>
  <si>
    <t>Slag foaming carbon; DRI carbon (cc_dri) supplies part of the carbon need.</t>
  </si>
  <si>
    <t>eaf_charge_c_scrap</t>
  </si>
  <si>
    <t>Charge / injection carbon, scrap-EAF route</t>
  </si>
  <si>
    <t>eaf_limestone</t>
  </si>
  <si>
    <t>Limestone / dolomite charged directly (not pre-burnt lime)</t>
  </si>
  <si>
    <t>Egypt EAFs charge purchased lime; its CO2 is emitted at the lime kiln (outside the steel boundary).</t>
  </si>
  <si>
    <t>STEEL - BF-BOF (reference route only; no Egyptian production since 2021)</t>
  </si>
  <si>
    <t>bf_coke</t>
  </si>
  <si>
    <t>Coke rate</t>
  </si>
  <si>
    <t>t/t hot metal</t>
  </si>
  <si>
    <t>D</t>
  </si>
  <si>
    <t>S05;S08</t>
  </si>
  <si>
    <t>Global average ~ 350 kg/t HM</t>
  </si>
  <si>
    <t>bf_pci</t>
  </si>
  <si>
    <t>Pulverised coal injection</t>
  </si>
  <si>
    <t>hm_c</t>
  </si>
  <si>
    <t>Carbon content of hot metal</t>
  </si>
  <si>
    <t>tC/t HM</t>
  </si>
  <si>
    <t>hm_per_steel</t>
  </si>
  <si>
    <t>Hot metal per t crude steel (BOF)</t>
  </si>
  <si>
    <t>t HM/t steel</t>
  </si>
  <si>
    <t>bof_other_fuel</t>
  </si>
  <si>
    <t>Other fuels burned per t steel (coke ovens, sinter, stoves net of BF gas, BOF)</t>
  </si>
  <si>
    <t>Works gases are derived from the coke/coal carbon counted in fp; this row is for purchased NG/oil only.</t>
  </si>
  <si>
    <t>bf_flux</t>
  </si>
  <si>
    <t>Limestone + dolomite flux (sinter plant, BF, BOF)</t>
  </si>
  <si>
    <t>t/t steel</t>
  </si>
  <si>
    <t>CEMENT - grey clinker, dry process</t>
  </si>
  <si>
    <t>clk_thermal</t>
  </si>
  <si>
    <t>Kiln thermal energy</t>
  </si>
  <si>
    <t>GJ/t clinker</t>
  </si>
  <si>
    <t>S09;S14</t>
  </si>
  <si>
    <t>Dry 4-5 stage preheater kilns; Egyptian kilns burning coal/petcoke tend to the upper half of the range.</t>
  </si>
  <si>
    <t>clk_sh_coal</t>
  </si>
  <si>
    <t>Fuel share - coal</t>
  </si>
  <si>
    <t>share of GJ</t>
  </si>
  <si>
    <t>Post-2014 fuel switch.</t>
  </si>
  <si>
    <t>clk_sh_petcoke</t>
  </si>
  <si>
    <t>Fuel share - petroleum coke</t>
  </si>
  <si>
    <t>clk_sh_ng</t>
  </si>
  <si>
    <t>Fuel share - natural gas</t>
  </si>
  <si>
    <t>clk_sh_hfo</t>
  </si>
  <si>
    <t>Fuel share - heavy fuel oil</t>
  </si>
  <si>
    <t>clk_sh_af</t>
  </si>
  <si>
    <t>Fuel share - alternative fuels (RDF, tyres, biomass)</t>
  </si>
  <si>
    <t>Shares must sum to 1 (Checks).</t>
  </si>
  <si>
    <t>clk_af_fossil</t>
  </si>
  <si>
    <t>Fossil fraction of alternative fuels (energy basis)</t>
  </si>
  <si>
    <t>clk_cao</t>
  </si>
  <si>
    <t>CaO content of clinker</t>
  </si>
  <si>
    <t>t/t clinker</t>
  </si>
  <si>
    <t>S03;S14</t>
  </si>
  <si>
    <t>Typical Portland clinker.</t>
  </si>
  <si>
    <t>clk_mgo</t>
  </si>
  <si>
    <t>MgO content of clinker (from carbonate)</t>
  </si>
  <si>
    <t>clk_ckd</t>
  </si>
  <si>
    <t>Cement kiln dust / bypass dust correction factor</t>
  </si>
  <si>
    <t>IPCC Tier 1 default; Egyptian kilns with chlorine bypass may be higher.</t>
  </si>
  <si>
    <t>clk_ratio</t>
  </si>
  <si>
    <t>Clinker-to-cement ratio (memo, for cement EF)</t>
  </si>
  <si>
    <t>t clinker/t cement</t>
  </si>
  <si>
    <t>Egypt produces mostly CEM I / CEM II with high clinker factor.</t>
  </si>
  <si>
    <t>AMMONIA - steam methane reforming + Haber-Bosch</t>
  </si>
  <si>
    <t>nh3_ng_total</t>
  </si>
  <si>
    <t>Natural gas use of the ammonia plant, total (feedstock + fuel)</t>
  </si>
  <si>
    <t>GJ/t NH3</t>
  </si>
  <si>
    <t>S04;S10;S14</t>
  </si>
  <si>
    <t>VERIFY. Egypt fleet of Uhde/KBR plants (1979-2019 vintage): analyst mid-point between IPCC Table 3.1 modern plants (30.2 GJ/t) and European average of mixed vintage (37.5 GJ/t), used until plant data are collected. The kernel's EU Egypt default 2.05 tCO2/t implies ~36.5 GJ/t.</t>
  </si>
  <si>
    <t>nh3_ng_feed</t>
  </si>
  <si>
    <t>Natural gas used as feedstock (reformer feed -&gt; H2 + process CO2)</t>
  </si>
  <si>
    <t>Yields the concentrated process-CO2 stream (~1.2-1.3 tCO2/t NH3).</t>
  </si>
  <si>
    <t>UREA - synthesis from NH3 and process CO2</t>
  </si>
  <si>
    <t>urea_fuel</t>
  </si>
  <si>
    <t>Natural gas for steam attributable to the urea plant</t>
  </si>
  <si>
    <t>GJ/t urea</t>
  </si>
  <si>
    <t>S10;S14</t>
  </si>
  <si>
    <t>Steam usually from the ammonia complex; attributed to urea per CBAM measurable-heat rules.</t>
  </si>
  <si>
    <t>urea_nh3_in</t>
  </si>
  <si>
    <t>Ammonia input per t urea</t>
  </si>
  <si>
    <t>t NH3/t urea</t>
  </si>
  <si>
    <t>Stoich. 0.567 + losses</t>
  </si>
  <si>
    <t>NITRIC ACID (precursor of AN) - Ostwald process</t>
  </si>
  <si>
    <t>hno3_n2o_unab</t>
  </si>
  <si>
    <t>N2O generation, unabated medium-pressure plant</t>
  </si>
  <si>
    <t>IPCC Table 3.3</t>
  </si>
  <si>
    <t>hno3_n2o_abat</t>
  </si>
  <si>
    <t>N2O emission with secondary / tertiary abatement</t>
  </si>
  <si>
    <t>S04;S11</t>
  </si>
  <si>
    <t>IPCC default for process-integrated / tail-gas destruction; modern catalysts reach 0.5-1.</t>
  </si>
  <si>
    <t>hno3_abat_share</t>
  </si>
  <si>
    <t>Share of Egyptian nitric acid output with N2O abatement</t>
  </si>
  <si>
    <t>Abu Qir Fertilizers ran CDM N2O abatement on its nitric acid lines; other plants assumed unabated. VERIFY against UNFCCC CDM registry and current operation.</t>
  </si>
  <si>
    <t>hno3_fuel</t>
  </si>
  <si>
    <t>Fuel burned in nitric acid production</t>
  </si>
  <si>
    <t>GJ/t HNO3</t>
  </si>
  <si>
    <t>Exothermic process, net steam exporter.</t>
  </si>
  <si>
    <t>AMMONIUM NITRATE - neutralisation, evaporation, prilling/granulation</t>
  </si>
  <si>
    <t>an_fuel</t>
  </si>
  <si>
    <t>Natural gas for evaporation, drying, prilling</t>
  </si>
  <si>
    <t>GJ/t AN</t>
  </si>
  <si>
    <t>S11;S14</t>
  </si>
  <si>
    <t>an_hno3_in</t>
  </si>
  <si>
    <t>Nitric acid (100%) input per t AN</t>
  </si>
  <si>
    <t>t HNO3/t AN</t>
  </si>
  <si>
    <t>Stoich. 0.787</t>
  </si>
  <si>
    <t>an_nh3_in</t>
  </si>
  <si>
    <t>Ammonia input to neutralisation per t AN</t>
  </si>
  <si>
    <t>t NH3/t AN</t>
  </si>
  <si>
    <t>Stoich. 0.213; the NH3 consumed to make the HNO3 is counted via the HNO3 precursor.</t>
  </si>
  <si>
    <t>ALUMINIUM - Hall-Heroult, prebaked anodes (Egyptalum, Nag Hammadi)</t>
  </si>
  <si>
    <t>al_anode_net</t>
  </si>
  <si>
    <t>Net anode consumption</t>
  </si>
  <si>
    <t>t anode/t Al</t>
  </si>
  <si>
    <t>S12;S14</t>
  </si>
  <si>
    <t>Older prebake potlines consume more anode than modern (0.40-0.42).</t>
  </si>
  <si>
    <t>al_anode_s</t>
  </si>
  <si>
    <t>Sulphur content of anode</t>
  </si>
  <si>
    <t>IPCC Tier 2 default</t>
  </si>
  <si>
    <t>al_anode_ash</t>
  </si>
  <si>
    <t>Ash content of anode</t>
  </si>
  <si>
    <t>al_bake_np</t>
  </si>
  <si>
    <t>Process CO2 from anode baking (pitch volatiles, packing coke)</t>
  </si>
  <si>
    <t>IPCC Tier 2 baking-furnace terms, typical value.</t>
  </si>
  <si>
    <t>al_ng_total</t>
  </si>
  <si>
    <t>Natural gas: anode baking furnaces + casthouse + auxiliaries</t>
  </si>
  <si>
    <t>GJ/t Al</t>
  </si>
  <si>
    <t>Electricity for electrolysis is Scope 2 (excluded here).</t>
  </si>
  <si>
    <t>al_cf4</t>
  </si>
  <si>
    <t>CF4 emission rate</t>
  </si>
  <si>
    <t>kg CF4/t Al</t>
  </si>
  <si>
    <t>VERIFY. Assumes point-fed prebake with medium anode-effect performance (Egyptalum cell technology not confirmed); IPCC Tier 1 CWPB default 0.4 kg/t (1990 data) is the upper bound = +2.0 tCO2e/t.</t>
  </si>
  <si>
    <t>al_c2f6</t>
  </si>
  <si>
    <t>C2F6 emission rate</t>
  </si>
  <si>
    <t>kg C2F6/t Al</t>
  </si>
  <si>
    <t>C2F6/CF4 mass ratio ~0.1</t>
  </si>
  <si>
    <t>EGYPT PRODUCTION (reference year; for reconciliation checks only)</t>
  </si>
  <si>
    <t>prod_steel_dri</t>
  </si>
  <si>
    <t>Crude steel, DRI-EAF route</t>
  </si>
  <si>
    <t>kt</t>
  </si>
  <si>
    <t>B</t>
  </si>
  <si>
    <t>S08;S13</t>
  </si>
  <si>
    <t>Kernel v0.12 block input</t>
  </si>
  <si>
    <t>prod_steel_scrap</t>
  </si>
  <si>
    <t>Crude steel, scrap-EAF route</t>
  </si>
  <si>
    <t>prod_clinker</t>
  </si>
  <si>
    <t>Clinker</t>
  </si>
  <si>
    <t>Kernel v0.12 block input (cement ~ clinker/ratio)</t>
  </si>
  <si>
    <t>prod_nh3</t>
  </si>
  <si>
    <t>Ammonia (net merchant, excl. captive use)</t>
  </si>
  <si>
    <t>Kernel v0.12</t>
  </si>
  <si>
    <t>prod_urea</t>
  </si>
  <si>
    <t>Urea</t>
  </si>
  <si>
    <t>Kernel v0.12 (national output is higher; verify)</t>
  </si>
  <si>
    <t>prod_an</t>
  </si>
  <si>
    <t>Ammonium nitrate</t>
  </si>
  <si>
    <t>prod_al</t>
  </si>
  <si>
    <t>Primary aluminium</t>
  </si>
  <si>
    <t>Derivation - step by step</t>
  </si>
  <si>
    <t>Each process block computes the four components from named inputs. Column D holds the formula, column G its live text (FORMULATEXT). Rows with an ef_ code are the outputs (yellow) and become defined names used in Products.</t>
  </si>
  <si>
    <t>Step / output code</t>
  </si>
  <si>
    <t>Formula</t>
  </si>
  <si>
    <t>P1 DRI - direct reduced iron (per t DRI)</t>
  </si>
  <si>
    <t>dri_co2_total</t>
  </si>
  <si>
    <t>Total CO2 from natural gas carbon entering the DRI plant</t>
  </si>
  <si>
    <t>All NG carbon ends as CO2 except the carbon retained in the DRI.</t>
  </si>
  <si>
    <t>dri_c_retained</t>
  </si>
  <si>
    <t>CO2-equivalent of carbon retained in the DRI (released later in the EAF)</t>
  </si>
  <si>
    <t>CBAM Table 4-11 carbon content 1.91%</t>
  </si>
  <si>
    <t>ef_dri_fp</t>
  </si>
  <si>
    <t>fp: reformer feed gas carbon (reductant), net of carbon retained in DRI</t>
  </si>
  <si>
    <t>Reductant carbon: CO in the reducing gas oxidised to CO2 in the shaft; top gas then burned.</t>
  </si>
  <si>
    <t>ef_dri_fc</t>
  </si>
  <si>
    <t>fc: reformer burner fuel gas</t>
  </si>
  <si>
    <t>Natural gas fired directly in the reformer burners (recycled top gas is already counted in fp).</t>
  </si>
  <si>
    <t>ef_dri_np</t>
  </si>
  <si>
    <t>np: none</t>
  </si>
  <si>
    <t>No carbonate flux in the shaft furnace.</t>
  </si>
  <si>
    <t>ef_dri_no</t>
  </si>
  <si>
    <t>no: none</t>
  </si>
  <si>
    <t>tCO2e/t DRI</t>
  </si>
  <si>
    <t>dri_check</t>
  </si>
  <si>
    <t>Check: fc + fp + retained = total</t>
  </si>
  <si>
    <t>Must be 0</t>
  </si>
  <si>
    <t>P2 EAF on the DRI route (per t crude steel, meltshop only)</t>
  </si>
  <si>
    <t>ef_eafd_fc</t>
  </si>
  <si>
    <t>fc: natural gas burners / ladle furnace</t>
  </si>
  <si>
    <t>ef_eafd_fp</t>
  </si>
  <si>
    <t>fp: carbon carried in the DRI, oxidised in the EAF, net of carbon in steel</t>
  </si>
  <si>
    <t>Reductant-derived carbon; completes the DRI carbon balance.</t>
  </si>
  <si>
    <t>ef_eafd_np</t>
  </si>
  <si>
    <t>np: electrodes + charge carbon + direct limestone</t>
  </si>
  <si>
    <t>0.44 tCO2/t CaCO3 (CBAM Table 4-9). Non-fuel process materials.</t>
  </si>
  <si>
    <t>ef_eafd_no</t>
  </si>
  <si>
    <t>tCO2e/t steel</t>
  </si>
  <si>
    <t>P3 EAF on the scrap route (per t crude steel)</t>
  </si>
  <si>
    <t>ef_eafs_fc</t>
  </si>
  <si>
    <t>ef_eafs_fp</t>
  </si>
  <si>
    <t>fp: none (no reductant)</t>
  </si>
  <si>
    <t>Scrap carbon (1.1%) ~ carbon in product.</t>
  </si>
  <si>
    <t>ef_eafs_np</t>
  </si>
  <si>
    <t>ef_eafs_no</t>
  </si>
  <si>
    <t>P4 BF-BOF reference route (per t crude steel) - no Egyptian production</t>
  </si>
  <si>
    <t>ef_bof_fp</t>
  </si>
  <si>
    <t>fp: coke + PCI carbon into the blast furnace, net of carbon in hot metal and steel</t>
  </si>
  <si>
    <t>Includes CO2 from BF gas burned in stoves / power plant (carbon entered as reductant).</t>
  </si>
  <si>
    <t>ef_bof_fc</t>
  </si>
  <si>
    <t>fc: other purchased fuels</t>
  </si>
  <si>
    <t>Assumed natural gas; coal for coke ovens is in cc_coke via coke rate (simplification).</t>
  </si>
  <si>
    <t>ef_bof_np</t>
  </si>
  <si>
    <t>np: limestone / dolomite flux</t>
  </si>
  <si>
    <t>limestone basis</t>
  </si>
  <si>
    <t>ef_bof_no</t>
  </si>
  <si>
    <t>P5 Clinker (per t clinker)</t>
  </si>
  <si>
    <t>clk_ef_mix</t>
  </si>
  <si>
    <t>Weighted fuel EF of the kiln fuel mix</t>
  </si>
  <si>
    <t>Biogenic share of alternative fuels counted as zero.</t>
  </si>
  <si>
    <t>ef_clk_fc</t>
  </si>
  <si>
    <t>fc: kiln fuel combustion</t>
  </si>
  <si>
    <t>ef_clk_fp</t>
  </si>
  <si>
    <t>fp: none</t>
  </si>
  <si>
    <t>ef_clk_np</t>
  </si>
  <si>
    <t>np: calcination of CaCO3 and MgCO3, corrected for kiln dust</t>
  </si>
  <si>
    <t>CBAM Method B / IPCC Tier 2</t>
  </si>
  <si>
    <t>ef_clk_no</t>
  </si>
  <si>
    <t>tCO2e/t clinker</t>
  </si>
  <si>
    <t>clk_cement_memo</t>
  </si>
  <si>
    <t>Memo: direct EF per t cement (clinker share only; grinding is electricity)</t>
  </si>
  <si>
    <t>tCO2/t cement</t>
  </si>
  <si>
    <t>Not a CBAM EF row; shown for reference.</t>
  </si>
  <si>
    <t>P6 Ammonia (per t NH3)</t>
  </si>
  <si>
    <t>nh3_ng_fuel</t>
  </si>
  <si>
    <t>Natural gas burned as fuel (total - feedstock)</t>
  </si>
  <si>
    <t>ef_nh3_fp</t>
  </si>
  <si>
    <t>fp: feedstock carbon -&gt; process CO2 stream (all counted as emitted; see urea_conv)</t>
  </si>
  <si>
    <t>Under the CBAM convention CO2 transferred to urea remains an emission of the ammonia plant.</t>
  </si>
  <si>
    <t>ef_nh3_fc</t>
  </si>
  <si>
    <t>fc: reformer and auxiliary boiler fuel</t>
  </si>
  <si>
    <t>ef_nh3_np</t>
  </si>
  <si>
    <t>ef_nh3_no</t>
  </si>
  <si>
    <t>tCO2e/t NH3</t>
  </si>
  <si>
    <t>P7 Urea synthesis (per t urea, own process)</t>
  </si>
  <si>
    <t>ef_urea_fc</t>
  </si>
  <si>
    <t>fc: steam / utilities fuel attributed to urea</t>
  </si>
  <si>
    <t>tCO2/t urea</t>
  </si>
  <si>
    <t>ef_urea_fp</t>
  </si>
  <si>
    <t>ef_urea_np</t>
  </si>
  <si>
    <t>np: CO2 chemically bound in urea (0 under CBAM; -0.733 under IPCC netting)</t>
  </si>
  <si>
    <t>Settings!urea_conv</t>
  </si>
  <si>
    <t>ef_urea_no</t>
  </si>
  <si>
    <t>tCO2e/t urea</t>
  </si>
  <si>
    <t>P8 Nitric acid (per t HNO3 100%, precursor of AN)</t>
  </si>
  <si>
    <t>hno3_n2o_rate</t>
  </si>
  <si>
    <t>Weighted N2O emission rate</t>
  </si>
  <si>
    <t>ef_hno3_no</t>
  </si>
  <si>
    <t>no: N2O x GWP</t>
  </si>
  <si>
    <t>tCO2e/t HNO3</t>
  </si>
  <si>
    <t>ef_hno3_fc</t>
  </si>
  <si>
    <t>fc: fuel</t>
  </si>
  <si>
    <t>tCO2/t HNO3</t>
  </si>
  <si>
    <t>ef_hno3_fp</t>
  </si>
  <si>
    <t>ef_hno3_np</t>
  </si>
  <si>
    <t>P9 Ammonium nitrate (per t AN, own process = neutralisation + finishing)</t>
  </si>
  <si>
    <t>ef_an_fc</t>
  </si>
  <si>
    <t>fc: evaporation / prilling fuel</t>
  </si>
  <si>
    <t>tCO2/t AN</t>
  </si>
  <si>
    <t>ef_an_fp</t>
  </si>
  <si>
    <t>ef_an_np</t>
  </si>
  <si>
    <t>ef_an_no</t>
  </si>
  <si>
    <t>no: none in neutralisation (N2O arises in the nitric acid precursor)</t>
  </si>
  <si>
    <t>tCO2e/t AN</t>
  </si>
  <si>
    <t>P10 Primary aluminium (per t Al)</t>
  </si>
  <si>
    <t>al_anode_co2</t>
  </si>
  <si>
    <t>CO2 from net anode consumption (IPCC Tier 2)</t>
  </si>
  <si>
    <t>ef_al_np</t>
  </si>
  <si>
    <t>np: anode consumption + anode baking</t>
  </si>
  <si>
    <t>ef_al_fc</t>
  </si>
  <si>
    <t>fc: baking furnace, casthouse and auxiliary fuel</t>
  </si>
  <si>
    <t>ef_al_fp</t>
  </si>
  <si>
    <t>fp: none (reduction is electrolytic)</t>
  </si>
  <si>
    <t>ef_al_no</t>
  </si>
  <si>
    <t>no: PFCs (CF4 + C2F6) x GWP</t>
  </si>
  <si>
    <t>tCO2e/t Al</t>
  </si>
  <si>
    <t>Products - roll-up to the kernel goods</t>
  </si>
  <si>
    <t>Own-process EF = sum of the process steps of the route. Precursor (chain) EF = precursor quantity x precursor EF, component by component (so fuel carbon in ammonia stays fp when embedded in urea). Kernel v0.12 and EU values are hard-coded references (S13).</t>
  </si>
  <si>
    <t>Product</t>
  </si>
  <si>
    <t>Kernel row</t>
  </si>
  <si>
    <t>Own fc</t>
  </si>
  <si>
    <t>Own fp</t>
  </si>
  <si>
    <t>Own np</t>
  </si>
  <si>
    <t>Own no</t>
  </si>
  <si>
    <t>Own total</t>
  </si>
  <si>
    <t>Precursors</t>
  </si>
  <si>
    <t>Chain fc</t>
  </si>
  <si>
    <t>Chain fp</t>
  </si>
  <si>
    <t>Chain np</t>
  </si>
  <si>
    <t>Chain no</t>
  </si>
  <si>
    <t>Chain total</t>
  </si>
  <si>
    <t>Kernel fc</t>
  </si>
  <si>
    <t>Kernel fp</t>
  </si>
  <si>
    <t>Kernel np</t>
  </si>
  <si>
    <t>Kernel no</t>
  </si>
  <si>
    <t>Kernel embed NH3</t>
  </si>
  <si>
    <t>Kernel total</t>
  </si>
  <si>
    <t>Own - kernel own</t>
  </si>
  <si>
    <t>EU default base</t>
  </si>
  <si>
    <t>Own total / EU default</t>
  </si>
  <si>
    <t>EU benchmark</t>
  </si>
  <si>
    <t>DRI-EAF steel</t>
  </si>
  <si>
    <t>t crude steel</t>
  </si>
  <si>
    <t>'Manual inputs'!30</t>
  </si>
  <si>
    <t>Scrap-EAF steel</t>
  </si>
  <si>
    <t>'Manual inputs'!31</t>
  </si>
  <si>
    <t>BF-BOF steel (reference)</t>
  </si>
  <si>
    <t>'Manual inputs'!32</t>
  </si>
  <si>
    <t>Grey clinker (dry-process)</t>
  </si>
  <si>
    <t>t clinker</t>
  </si>
  <si>
    <t>'Manual inputs'!33</t>
  </si>
  <si>
    <t>Ammonia (net merchant)</t>
  </si>
  <si>
    <t>t NH3</t>
  </si>
  <si>
    <t>'Manual inputs'!34</t>
  </si>
  <si>
    <t>t urea</t>
  </si>
  <si>
    <t>'Manual inputs'!35</t>
  </si>
  <si>
    <t>Ammonia x urea_nh3_in</t>
  </si>
  <si>
    <t>t AN</t>
  </si>
  <si>
    <t>'Manual inputs'!36</t>
  </si>
  <si>
    <t>Nitric acid x an_hno3_in; Ammonia (neutralisation) x an_nh3_in; Ammonia (via nitric acid) x an_hno3_in*nh3_per_hno3_st</t>
  </si>
  <si>
    <t>t Al</t>
  </si>
  <si>
    <t>'Manual inputs'!37</t>
  </si>
  <si>
    <t>Chain total for urea / AN embeds the ammonia (and nitric acid) direct emissions, i.e. the CBAM 'embedded emissions incl. precursors' view. Own total is the plant-level view used by the kernel's H:K columns; the kernel carries the ammonia precursor separately in column M.</t>
  </si>
  <si>
    <t>Summary - Egypt direct emission factors for CBAM goods (tCO2e per t product)</t>
  </si>
  <si>
    <t>Own-process values (columns D:G) are the four kernel inputs ('Manual inputs' H:K). Chain total adds precursor emissions for urea and AN. Confidence: A plant data, B sector statistic, C calibrated technology default, D international default (lowest tier among the inputs that drive the value).</t>
  </si>
  <si>
    <t>Route</t>
  </si>
  <si>
    <t>Total own</t>
  </si>
  <si>
    <t>Total chain</t>
  </si>
  <si>
    <t>Confidence</t>
  </si>
  <si>
    <t>Derivation in one line</t>
  </si>
  <si>
    <t>Midrex NG DRI + EAF</t>
  </si>
  <si>
    <t>fp = 75% of DRI gas (reformer feed, 10.5 GJ/t DRI) x 56.1 kg/GJ incl. DRI carbon; fc = reformer burner gas + EAF gas; np = electrodes + charge carbon.</t>
  </si>
  <si>
    <t>Scrap EAF</t>
  </si>
  <si>
    <t>fc = EAF natural gas; np = electrodes + charge carbon; no reductant.</t>
  </si>
  <si>
    <t>BF-BOF, reference only</t>
  </si>
  <si>
    <t>fp = coke + PCI carbon net of hot-metal carbon; fc = purchased fuels; np = flux.</t>
  </si>
  <si>
    <t>Dry kiln, coal/petcoke</t>
  </si>
  <si>
    <t>fc = 3.5 GJ/t x fuel-mix EF (coal 45%, petcoke 40%); np = CaO 65% x 0.785 + MgO x 1.092, x1.02 CKD.</t>
  </si>
  <si>
    <t>NG SMR + Haber-Bosch</t>
  </si>
  <si>
    <t>fp = feedstock 22.5 GJ/t x 56.1; fc = fuel (35.2 - 22.5) GJ/t x 56.1.</t>
  </si>
  <si>
    <t>NH3 + CO2 synthesis</t>
  </si>
  <si>
    <t>fc = steam fuel 2 GJ/t; np = 0 (CBAM) or -0.733 (IPCC netting); chain adds 0.57 t NH3.</t>
  </si>
  <si>
    <t>HNO3 + NH3 neutralisation</t>
  </si>
  <si>
    <t>fc = 2 GJ/t finishing fuel; chain adds 0.79 t HNO3 (N2O: weighted 4.75 kg/t x GWP) and 0.43 t NH3.</t>
  </si>
  <si>
    <t>Prebake Hall-Heroult</t>
  </si>
  <si>
    <t>np = 0.44 t anode x 97.6% C x 3.664 + baking; fc = 2.2 GJ/t gas; no = CF4 0.10 + C2F6 0.01 kg/t x GWP.</t>
  </si>
  <si>
    <t>Conventions in force:</t>
  </si>
  <si>
    <t>Memo: cement</t>
  </si>
  <si>
    <t>All rows must read OK. Tolerance 1e-9 for balances.</t>
  </si>
  <si>
    <t>#</t>
  </si>
  <si>
    <t>Check</t>
  </si>
  <si>
    <t>Result</t>
  </si>
  <si>
    <t>DRI carbon balance: fc + fp + retained - total = 0</t>
  </si>
  <si>
    <t>Clinker fuel shares sum to 1</t>
  </si>
  <si>
    <t>Ammonia feedstock &lt;= total gas</t>
  </si>
  <si>
    <t>fuel GJ/t</t>
  </si>
  <si>
    <t>DRI feed share within [0,1]</t>
  </si>
  <si>
    <t>Settings: GWP set valid</t>
  </si>
  <si>
    <t>Settings: urea convention valid</t>
  </si>
  <si>
    <t>Products: own total = sum of components (all rows)</t>
  </si>
  <si>
    <t>No negative component except urea np under IPCC netting</t>
  </si>
  <si>
    <t>Ammonia own total within IPCC Table 3.1 band (modern 1.694 .. European average 2.104)</t>
  </si>
  <si>
    <t>Range check, not a failure</t>
  </si>
  <si>
    <t>Clinker np within 0.50-0.55 (IPCC Tier 1 0.52)</t>
  </si>
  <si>
    <t>Aluminium np within 1.45-1.75 (IPCC Tier 1 1.6 + baking)</t>
  </si>
  <si>
    <t>DRI total (fc+fp per t DRI, incl. retained C) vs IPCC Tier 1 0.70: ratio</t>
  </si>
  <si>
    <t>IPCC Tier 1 is a global default</t>
  </si>
  <si>
    <t>Own totals vs EU default base: ratio range (excl. BF-BOF reference)</t>
  </si>
  <si>
    <t>Egypt own totals are expected below EU third-country defaults (which carry mark-ups).</t>
  </si>
  <si>
    <t>Reconciliation memo: implied national direct emissions of the eight goods (MtCO2e, own process)</t>
  </si>
  <si>
    <t>Compare with Egypt's inventory (1A2 + 2A1 + 2B1 + 2B2 + 2C1 + 2C3) once BTR1 figures are entered.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</si>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</sst>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EBF1DE"/>
      </patternFill>
    </fill>
    <fill>
      <patternFill patternType="solid">
        <fgColor rgb="FFDCE6F1"/>
      </patternFill>
    </fill>
    <fill>
      <patternFill patternType="solid">
        <fgColor rgb="FFDDD9C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8" borderId="0" xfId="0" applyFont="1" applyFill="1"/>
    <xf numFmtId="0" fontId="0" fillId="8" borderId="0" xfId="0" applyFill="1"/>
    <xf numFmtId="0" fontId="2" fillId="4" borderId="1" xfId="0" applyFont="1" applyFill="1" applyBorder="1"/>
    <xf numFmtId="0" fontId="2" fillId="0" borderId="1" xfId="0" applyFont="1" applyBorder="1"/>
    <xf numFmtId="164" fontId="2" fillId="3" borderId="1" xfId="0" applyNumberFormat="1" applyFont="1" applyFill="1" applyBorder="1"/>
    <xf numFmtId="164" fontId="2" fillId="0" borderId="1" xfId="0" applyNumberFormat="1" applyFont="1" applyBorder="1"/>
    <xf numFmtId="165" fontId="2" fillId="3" borderId="1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2" fillId="6" borderId="1" xfId="0" applyNumberFormat="1" applyFont="1" applyFill="1" applyBorder="1" applyAlignment="1">
      <alignment vertical="top" wrapText="1"/>
    </xf>
    <xf numFmtId="164" fontId="2" fillId="6" borderId="1" xfId="0" applyNumberFormat="1" applyFont="1" applyFill="1" applyBorder="1"/>
    <xf numFmtId="164" fontId="2" fillId="7" borderId="1" xfId="0" applyNumberFormat="1" applyFont="1" applyFill="1" applyBorder="1"/>
    <xf numFmtId="0" fontId="2" fillId="7" borderId="1" xfId="0" applyFont="1" applyFill="1" applyBorder="1"/>
    <xf numFmtId="2" fontId="2" fillId="0" borderId="1" xfId="0" applyNumberFormat="1" applyFont="1" applyBorder="1"/>
    <xf numFmtId="0" fontId="2" fillId="0" borderId="0" xfId="0" applyFont="1"/>
    <xf numFmtId="165" fontId="2" fillId="6" borderId="1" xfId="0" applyNumberFormat="1" applyFont="1" applyFill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0" borderId="0" xfId="0" applyFont="1"/>
    <xf numFmtId="165" fontId="0" fillId="0" borderId="0" xfId="0" applyNumberFormat="1"/>
    <xf numFmtId="0" fontId="3" fillId="6" borderId="0" xfId="0" applyFont="1" applyFill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/>
  </sheetViews>
  <sheetFormatPr defaultRowHeight="14.25" x14ac:dyDescent="0.45"/>
  <cols>
    <col min="1" max="1" width="16" customWidth="1"/>
    <col min="2" max="2" width="90" customWidth="1"/>
    <col min="3" max="3" width="34" customWidth="1"/>
    <col min="4" max="4" width="40" customWidth="1"/>
  </cols>
  <sheetData>
    <row r="1" spans="1:4" ht="17.649999999999999" x14ac:dyDescent="0.5">
      <c r="A1" s="1" t="s">
        <v>0</v>
      </c>
      <c r="B1" s="2"/>
      <c r="C1" s="2"/>
      <c r="D1" s="2"/>
    </row>
    <row r="2" spans="1:4" ht="45" customHeight="1" x14ac:dyDescent="0.45">
      <c r="A2" s="36" t="s">
        <v>1</v>
      </c>
      <c r="B2" s="37"/>
      <c r="C2" s="37"/>
      <c r="D2" s="37"/>
    </row>
    <row r="4" spans="1:4" x14ac:dyDescent="0.4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45">
      <c r="A5" s="3" t="s">
        <v>6</v>
      </c>
      <c r="B5" s="3" t="s">
        <v>7</v>
      </c>
      <c r="C5" s="3" t="s">
        <v>8</v>
      </c>
      <c r="D5" s="3" t="s">
        <v>9</v>
      </c>
    </row>
    <row r="6" spans="1:4" ht="25.5" x14ac:dyDescent="0.45">
      <c r="A6" s="3" t="s">
        <v>10</v>
      </c>
      <c r="B6" s="3" t="s">
        <v>11</v>
      </c>
      <c r="C6" s="3" t="s">
        <v>12</v>
      </c>
      <c r="D6" s="3" t="s">
        <v>13</v>
      </c>
    </row>
    <row r="7" spans="1:4" ht="25.5" x14ac:dyDescent="0.45">
      <c r="A7" s="3" t="s">
        <v>14</v>
      </c>
      <c r="B7" s="3" t="s">
        <v>15</v>
      </c>
      <c r="C7" s="3" t="s">
        <v>16</v>
      </c>
      <c r="D7" s="3" t="s">
        <v>17</v>
      </c>
    </row>
    <row r="8" spans="1:4" ht="25.5" x14ac:dyDescent="0.45">
      <c r="A8" s="3" t="s">
        <v>18</v>
      </c>
      <c r="B8" s="3" t="s">
        <v>19</v>
      </c>
      <c r="C8" s="3" t="s">
        <v>20</v>
      </c>
      <c r="D8" s="3" t="s">
        <v>21</v>
      </c>
    </row>
    <row r="9" spans="1:4" x14ac:dyDescent="0.45">
      <c r="A9" s="3"/>
      <c r="B9" s="3"/>
      <c r="C9" s="3"/>
      <c r="D9" s="3"/>
    </row>
    <row r="10" spans="1:4" x14ac:dyDescent="0.45">
      <c r="A10" s="4" t="s">
        <v>22</v>
      </c>
      <c r="B10" s="4" t="s">
        <v>23</v>
      </c>
      <c r="C10" s="4"/>
      <c r="D10" s="4"/>
    </row>
    <row r="11" spans="1:4" x14ac:dyDescent="0.45">
      <c r="A11" s="3" t="s">
        <v>24</v>
      </c>
      <c r="B11" s="3" t="s">
        <v>25</v>
      </c>
      <c r="C11" s="3"/>
      <c r="D11" s="3"/>
    </row>
    <row r="12" spans="1:4" x14ac:dyDescent="0.45">
      <c r="A12" s="3" t="s">
        <v>26</v>
      </c>
      <c r="B12" s="3" t="s">
        <v>27</v>
      </c>
      <c r="C12" s="3"/>
      <c r="D12" s="3"/>
    </row>
    <row r="13" spans="1:4" ht="25.5" x14ac:dyDescent="0.45">
      <c r="A13" s="3" t="s">
        <v>28</v>
      </c>
      <c r="B13" s="3" t="s">
        <v>29</v>
      </c>
      <c r="C13" s="3"/>
      <c r="D13" s="3"/>
    </row>
    <row r="14" spans="1:4" ht="25.5" x14ac:dyDescent="0.45">
      <c r="A14" s="3" t="s">
        <v>30</v>
      </c>
      <c r="B14" s="3" t="s">
        <v>31</v>
      </c>
      <c r="C14" s="3"/>
      <c r="D14" s="3"/>
    </row>
    <row r="15" spans="1:4" ht="25.5" x14ac:dyDescent="0.45">
      <c r="A15" s="3" t="s">
        <v>32</v>
      </c>
      <c r="B15" s="3" t="s">
        <v>33</v>
      </c>
      <c r="C15" s="3"/>
      <c r="D15" s="3"/>
    </row>
    <row r="16" spans="1:4" ht="25.5" x14ac:dyDescent="0.45">
      <c r="A16" s="3" t="s">
        <v>34</v>
      </c>
      <c r="B16" s="3" t="s">
        <v>35</v>
      </c>
      <c r="C16" s="3"/>
      <c r="D16" s="3"/>
    </row>
    <row r="17" spans="1:4" ht="25.5" x14ac:dyDescent="0.45">
      <c r="A17" s="3" t="s">
        <v>36</v>
      </c>
      <c r="B17" s="3" t="s">
        <v>37</v>
      </c>
      <c r="C17" s="3"/>
      <c r="D17" s="3"/>
    </row>
    <row r="18" spans="1:4" x14ac:dyDescent="0.45">
      <c r="A18" s="3" t="s">
        <v>38</v>
      </c>
      <c r="B18" s="3" t="s">
        <v>39</v>
      </c>
      <c r="C18" s="3"/>
      <c r="D18" s="3"/>
    </row>
    <row r="19" spans="1:4" x14ac:dyDescent="0.45">
      <c r="A19" s="3"/>
      <c r="B19" s="3"/>
      <c r="C19" s="3"/>
      <c r="D19" s="3"/>
    </row>
    <row r="20" spans="1:4" x14ac:dyDescent="0.45">
      <c r="A20" s="4" t="s">
        <v>40</v>
      </c>
      <c r="B20" s="4" t="s">
        <v>41</v>
      </c>
      <c r="C20" s="4"/>
      <c r="D20" s="4"/>
    </row>
    <row r="21" spans="1:4" x14ac:dyDescent="0.45">
      <c r="A21" s="5" t="s">
        <v>42</v>
      </c>
      <c r="B21" s="3" t="s">
        <v>43</v>
      </c>
      <c r="C21" s="3"/>
      <c r="D21" s="3"/>
    </row>
    <row r="22" spans="1:4" x14ac:dyDescent="0.45">
      <c r="A22" s="6" t="s">
        <v>44</v>
      </c>
      <c r="B22" s="3" t="s">
        <v>45</v>
      </c>
      <c r="C22" s="3"/>
      <c r="D22" s="3"/>
    </row>
    <row r="23" spans="1:4" x14ac:dyDescent="0.45">
      <c r="A23" s="7" t="s">
        <v>46</v>
      </c>
      <c r="B23" s="3" t="s">
        <v>47</v>
      </c>
      <c r="C23" s="3"/>
      <c r="D23" s="3"/>
    </row>
    <row r="24" spans="1:4" x14ac:dyDescent="0.45">
      <c r="A24" s="8" t="s">
        <v>48</v>
      </c>
      <c r="B24" s="3" t="s">
        <v>49</v>
      </c>
      <c r="C24" s="3"/>
      <c r="D24" s="3"/>
    </row>
    <row r="25" spans="1:4" x14ac:dyDescent="0.45">
      <c r="A25" s="9" t="s">
        <v>50</v>
      </c>
      <c r="B25" s="3" t="s">
        <v>51</v>
      </c>
      <c r="C25" s="3"/>
      <c r="D25" s="3"/>
    </row>
    <row r="26" spans="1:4" x14ac:dyDescent="0.45">
      <c r="A26" s="3" t="s">
        <v>52</v>
      </c>
      <c r="B26" s="3" t="s">
        <v>53</v>
      </c>
      <c r="C26" s="3"/>
      <c r="D26" s="3"/>
    </row>
    <row r="27" spans="1:4" x14ac:dyDescent="0.45">
      <c r="A27" s="3"/>
      <c r="B27" s="3"/>
      <c r="C27" s="3"/>
      <c r="D27" s="3"/>
    </row>
    <row r="28" spans="1:4" x14ac:dyDescent="0.45">
      <c r="A28" s="4" t="s">
        <v>54</v>
      </c>
      <c r="B28" s="4"/>
      <c r="C28" s="4"/>
      <c r="D28" s="4"/>
    </row>
    <row r="29" spans="1:4" ht="51" x14ac:dyDescent="0.45">
      <c r="A29" s="3" t="s">
        <v>55</v>
      </c>
      <c r="B29" s="3" t="s">
        <v>56</v>
      </c>
      <c r="C29" s="3" t="s">
        <v>57</v>
      </c>
      <c r="D29" s="3"/>
    </row>
  </sheetData>
  <mergeCells count="1">
    <mergeCell ref="A2:D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4.25" x14ac:dyDescent="0.45"/>
  <cols>
    <col min="1" max="1" width="10" customWidth="1"/>
    <col min="2" max="2" width="34" customWidth="1"/>
    <col min="3" max="3" width="90" customWidth="1"/>
    <col min="4" max="4" width="50" customWidth="1"/>
    <col min="5" max="5" width="14" customWidth="1"/>
  </cols>
  <sheetData>
    <row r="1" spans="1:5" ht="17.649999999999999" x14ac:dyDescent="0.5">
      <c r="A1" s="1" t="s">
        <v>58</v>
      </c>
      <c r="B1" s="2"/>
      <c r="C1" s="2"/>
      <c r="D1" s="2"/>
      <c r="E1" s="2"/>
    </row>
    <row r="2" spans="1:5" ht="45" customHeight="1" x14ac:dyDescent="0.45">
      <c r="A2" s="36" t="s">
        <v>59</v>
      </c>
      <c r="B2" s="37"/>
      <c r="C2" s="37"/>
      <c r="D2" s="37"/>
      <c r="E2" s="37"/>
    </row>
    <row r="4" spans="1:5" x14ac:dyDescent="0.45">
      <c r="A4" s="10" t="s">
        <v>60</v>
      </c>
      <c r="B4" s="10" t="s">
        <v>61</v>
      </c>
      <c r="C4" s="10" t="s">
        <v>62</v>
      </c>
      <c r="D4" s="10" t="s">
        <v>63</v>
      </c>
      <c r="E4" s="10" t="s">
        <v>64</v>
      </c>
    </row>
    <row r="5" spans="1:5" ht="38.25" x14ac:dyDescent="0.45">
      <c r="A5" s="11" t="s">
        <v>65</v>
      </c>
      <c r="B5" s="12" t="s">
        <v>66</v>
      </c>
      <c r="C5" s="12" t="s">
        <v>67</v>
      </c>
      <c r="D5" s="12" t="s">
        <v>68</v>
      </c>
      <c r="E5" s="12" t="s">
        <v>69</v>
      </c>
    </row>
    <row r="6" spans="1:5" ht="38.25" x14ac:dyDescent="0.45">
      <c r="A6" s="11" t="s">
        <v>70</v>
      </c>
      <c r="B6" s="12" t="s">
        <v>71</v>
      </c>
      <c r="C6" s="12" t="s">
        <v>72</v>
      </c>
      <c r="D6" s="12" t="s">
        <v>73</v>
      </c>
      <c r="E6" s="12" t="s">
        <v>69</v>
      </c>
    </row>
    <row r="7" spans="1:5" ht="51" x14ac:dyDescent="0.45">
      <c r="A7" s="11" t="s">
        <v>74</v>
      </c>
      <c r="B7" s="12" t="s">
        <v>75</v>
      </c>
      <c r="C7" s="12" t="s">
        <v>76</v>
      </c>
      <c r="D7" s="12" t="s">
        <v>77</v>
      </c>
      <c r="E7" s="12" t="s">
        <v>69</v>
      </c>
    </row>
    <row r="8" spans="1:5" ht="51" x14ac:dyDescent="0.45">
      <c r="A8" s="11" t="s">
        <v>78</v>
      </c>
      <c r="B8" s="12" t="s">
        <v>79</v>
      </c>
      <c r="C8" s="12" t="s">
        <v>80</v>
      </c>
      <c r="D8" s="12" t="s">
        <v>81</v>
      </c>
      <c r="E8" s="12" t="s">
        <v>69</v>
      </c>
    </row>
    <row r="9" spans="1:5" ht="38.25" x14ac:dyDescent="0.45">
      <c r="A9" s="11" t="s">
        <v>82</v>
      </c>
      <c r="B9" s="12" t="s">
        <v>83</v>
      </c>
      <c r="C9" s="12" t="s">
        <v>84</v>
      </c>
      <c r="D9" s="12" t="s">
        <v>85</v>
      </c>
      <c r="E9" s="12" t="s">
        <v>69</v>
      </c>
    </row>
    <row r="10" spans="1:5" x14ac:dyDescent="0.45">
      <c r="A10" s="11" t="s">
        <v>86</v>
      </c>
      <c r="B10" s="12" t="s">
        <v>87</v>
      </c>
      <c r="C10" s="12" t="s">
        <v>88</v>
      </c>
      <c r="D10" s="12" t="s">
        <v>89</v>
      </c>
      <c r="E10" s="12" t="s">
        <v>69</v>
      </c>
    </row>
    <row r="11" spans="1:5" ht="38.25" x14ac:dyDescent="0.45">
      <c r="A11" s="11" t="s">
        <v>90</v>
      </c>
      <c r="B11" s="12" t="s">
        <v>91</v>
      </c>
      <c r="C11" s="12" t="s">
        <v>92</v>
      </c>
      <c r="D11" s="12" t="s">
        <v>93</v>
      </c>
      <c r="E11" s="12" t="s">
        <v>94</v>
      </c>
    </row>
    <row r="12" spans="1:5" ht="38.25" x14ac:dyDescent="0.45">
      <c r="A12" s="11" t="s">
        <v>95</v>
      </c>
      <c r="B12" s="12" t="s">
        <v>96</v>
      </c>
      <c r="C12" s="12" t="s">
        <v>97</v>
      </c>
      <c r="D12" s="12" t="s">
        <v>98</v>
      </c>
      <c r="E12" s="12" t="s">
        <v>94</v>
      </c>
    </row>
    <row r="13" spans="1:5" ht="25.5" x14ac:dyDescent="0.45">
      <c r="A13" s="11" t="s">
        <v>99</v>
      </c>
      <c r="B13" s="12" t="s">
        <v>100</v>
      </c>
      <c r="C13" s="12" t="s">
        <v>101</v>
      </c>
      <c r="D13" s="12" t="s">
        <v>102</v>
      </c>
      <c r="E13" s="12" t="s">
        <v>69</v>
      </c>
    </row>
    <row r="14" spans="1:5" ht="38.25" x14ac:dyDescent="0.45">
      <c r="A14" s="11" t="s">
        <v>103</v>
      </c>
      <c r="B14" s="12" t="s">
        <v>104</v>
      </c>
      <c r="C14" s="12" t="s">
        <v>105</v>
      </c>
      <c r="D14" s="12" t="s">
        <v>106</v>
      </c>
      <c r="E14" s="12" t="s">
        <v>94</v>
      </c>
    </row>
    <row r="15" spans="1:5" ht="25.5" x14ac:dyDescent="0.45">
      <c r="A15" s="11" t="s">
        <v>107</v>
      </c>
      <c r="B15" s="12" t="s">
        <v>108</v>
      </c>
      <c r="C15" s="12" t="s">
        <v>109</v>
      </c>
      <c r="D15" s="12" t="s">
        <v>110</v>
      </c>
      <c r="E15" s="12" t="s">
        <v>94</v>
      </c>
    </row>
    <row r="16" spans="1:5" ht="25.5" x14ac:dyDescent="0.45">
      <c r="A16" s="11" t="s">
        <v>111</v>
      </c>
      <c r="B16" s="12" t="s">
        <v>112</v>
      </c>
      <c r="C16" s="12" t="s">
        <v>113</v>
      </c>
      <c r="D16" s="12" t="s">
        <v>110</v>
      </c>
      <c r="E16" s="12" t="s">
        <v>94</v>
      </c>
    </row>
    <row r="17" spans="1:5" ht="38.25" x14ac:dyDescent="0.45">
      <c r="A17" s="11" t="s">
        <v>114</v>
      </c>
      <c r="B17" s="12" t="s">
        <v>115</v>
      </c>
      <c r="C17" s="12" t="s">
        <v>116</v>
      </c>
      <c r="D17" s="12" t="s">
        <v>117</v>
      </c>
      <c r="E17" s="12" t="s">
        <v>94</v>
      </c>
    </row>
    <row r="18" spans="1:5" ht="38.25" x14ac:dyDescent="0.45">
      <c r="A18" s="11" t="s">
        <v>118</v>
      </c>
      <c r="B18" s="12" t="s">
        <v>119</v>
      </c>
      <c r="C18" s="12" t="s">
        <v>120</v>
      </c>
      <c r="D18" s="12" t="s">
        <v>121</v>
      </c>
      <c r="E18" s="12" t="s">
        <v>122</v>
      </c>
    </row>
    <row r="19" spans="1:5" ht="51" x14ac:dyDescent="0.45">
      <c r="A19" s="11" t="s">
        <v>123</v>
      </c>
      <c r="B19" s="12" t="s">
        <v>124</v>
      </c>
      <c r="C19" s="12" t="s">
        <v>125</v>
      </c>
      <c r="D19" s="12"/>
      <c r="E19" s="12" t="s">
        <v>94</v>
      </c>
    </row>
    <row r="20" spans="1:5" ht="25.5" x14ac:dyDescent="0.45">
      <c r="A20" s="11" t="s">
        <v>126</v>
      </c>
      <c r="B20" s="12" t="s">
        <v>127</v>
      </c>
      <c r="C20" s="12" t="s">
        <v>128</v>
      </c>
      <c r="D20" s="12"/>
      <c r="E20" s="12" t="s">
        <v>69</v>
      </c>
    </row>
  </sheetData>
  <mergeCells count="1">
    <mergeCell ref="A2:E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25" x14ac:dyDescent="0.45"/>
  <cols>
    <col min="1" max="1" width="14" customWidth="1"/>
    <col min="2" max="2" width="44" customWidth="1"/>
    <col min="3" max="3" width="10" customWidth="1"/>
    <col min="4" max="4" width="16" customWidth="1"/>
    <col min="5" max="5" width="110" customWidth="1"/>
  </cols>
  <sheetData>
    <row r="1" spans="1:5" ht="17.649999999999999" x14ac:dyDescent="0.5">
      <c r="A1" s="1" t="s">
        <v>129</v>
      </c>
      <c r="B1" s="2"/>
      <c r="C1" s="2"/>
      <c r="D1" s="2"/>
      <c r="E1" s="2"/>
    </row>
    <row r="2" spans="1:5" ht="45" customHeight="1" x14ac:dyDescent="0.45">
      <c r="A2" s="36" t="s">
        <v>130</v>
      </c>
      <c r="B2" s="37"/>
      <c r="C2" s="37"/>
      <c r="D2" s="37"/>
      <c r="E2" s="37"/>
    </row>
    <row r="4" spans="1:5" x14ac:dyDescent="0.45">
      <c r="A4" s="10" t="s">
        <v>131</v>
      </c>
      <c r="B4" s="10" t="s">
        <v>132</v>
      </c>
      <c r="C4" s="10" t="s">
        <v>133</v>
      </c>
      <c r="D4" s="10" t="s">
        <v>134</v>
      </c>
      <c r="E4" s="10" t="s">
        <v>135</v>
      </c>
    </row>
    <row r="5" spans="1:5" x14ac:dyDescent="0.45">
      <c r="A5" s="11" t="s">
        <v>136</v>
      </c>
      <c r="B5" s="12" t="s">
        <v>137</v>
      </c>
      <c r="C5" s="13" t="s">
        <v>138</v>
      </c>
      <c r="D5" s="12" t="s">
        <v>139</v>
      </c>
      <c r="E5" s="12" t="s">
        <v>140</v>
      </c>
    </row>
    <row r="6" spans="1:5" ht="38.25" x14ac:dyDescent="0.45">
      <c r="A6" s="11" t="s">
        <v>141</v>
      </c>
      <c r="B6" s="12" t="s">
        <v>142</v>
      </c>
      <c r="C6" s="13" t="s">
        <v>138</v>
      </c>
      <c r="D6" s="12" t="s">
        <v>143</v>
      </c>
      <c r="E6" s="12" t="s">
        <v>144</v>
      </c>
    </row>
    <row r="7" spans="1:5" x14ac:dyDescent="0.45">
      <c r="A7" s="11" t="s">
        <v>145</v>
      </c>
      <c r="B7" s="12" t="s">
        <v>146</v>
      </c>
      <c r="C7" s="13">
        <v>2022</v>
      </c>
      <c r="D7" s="12" t="s">
        <v>147</v>
      </c>
      <c r="E7" s="12" t="s">
        <v>148</v>
      </c>
    </row>
  </sheetData>
  <mergeCells count="1">
    <mergeCell ref="A2:E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3"/>
  <sheetViews>
    <sheetView workbookViewId="0"/>
  </sheetViews>
  <sheetFormatPr defaultRowHeight="14.25" x14ac:dyDescent="0.45"/>
  <cols>
    <col min="1" max="1" width="3" customWidth="1"/>
    <col min="2" max="2" width="20" customWidth="1"/>
    <col min="3" max="3" width="62" customWidth="1"/>
    <col min="4" max="4" width="12" customWidth="1"/>
    <col min="5" max="5" width="16" customWidth="1"/>
    <col min="6" max="6" width="12" customWidth="1"/>
    <col min="7" max="7" width="60" customWidth="1"/>
  </cols>
  <sheetData>
    <row r="1" spans="1:7" ht="17.649999999999999" x14ac:dyDescent="0.5">
      <c r="A1" s="1" t="s">
        <v>149</v>
      </c>
      <c r="B1" s="2"/>
      <c r="C1" s="2"/>
      <c r="D1" s="2"/>
      <c r="E1" s="2"/>
      <c r="F1" s="2"/>
    </row>
    <row r="2" spans="1:7" ht="45" customHeight="1" x14ac:dyDescent="0.45">
      <c r="A2" s="36" t="s">
        <v>150</v>
      </c>
      <c r="B2" s="37"/>
      <c r="C2" s="37"/>
      <c r="D2" s="37"/>
      <c r="E2" s="37"/>
      <c r="F2" s="37"/>
    </row>
    <row r="4" spans="1:7" x14ac:dyDescent="0.45">
      <c r="A4" s="10"/>
      <c r="B4" s="10" t="s">
        <v>131</v>
      </c>
      <c r="C4" s="10" t="s">
        <v>151</v>
      </c>
      <c r="D4" s="10" t="s">
        <v>133</v>
      </c>
      <c r="E4" s="10" t="s">
        <v>152</v>
      </c>
      <c r="F4" s="10" t="s">
        <v>153</v>
      </c>
      <c r="G4" s="10" t="s">
        <v>135</v>
      </c>
    </row>
    <row r="5" spans="1:7" x14ac:dyDescent="0.45">
      <c r="A5" s="14" t="s">
        <v>154</v>
      </c>
      <c r="B5" s="15"/>
      <c r="C5" s="15"/>
      <c r="D5" s="15"/>
      <c r="E5" s="15"/>
      <c r="F5" s="15"/>
      <c r="G5" s="15"/>
    </row>
    <row r="6" spans="1:7" x14ac:dyDescent="0.45">
      <c r="B6" s="16" t="s">
        <v>155</v>
      </c>
      <c r="C6" s="17" t="s">
        <v>156</v>
      </c>
      <c r="D6" s="18">
        <v>5.6099999999999997E-2</v>
      </c>
      <c r="E6" s="17" t="s">
        <v>157</v>
      </c>
      <c r="F6" s="17" t="s">
        <v>158</v>
      </c>
      <c r="G6" s="17" t="s">
        <v>159</v>
      </c>
    </row>
    <row r="7" spans="1:7" x14ac:dyDescent="0.45">
      <c r="B7" s="16" t="s">
        <v>160</v>
      </c>
      <c r="C7" s="17" t="s">
        <v>161</v>
      </c>
      <c r="D7" s="18">
        <v>9.4600000000000004E-2</v>
      </c>
      <c r="E7" s="17" t="s">
        <v>157</v>
      </c>
      <c r="F7" s="17" t="s">
        <v>158</v>
      </c>
      <c r="G7" s="17" t="s">
        <v>162</v>
      </c>
    </row>
    <row r="8" spans="1:7" x14ac:dyDescent="0.45">
      <c r="B8" s="16" t="s">
        <v>163</v>
      </c>
      <c r="C8" s="17" t="s">
        <v>164</v>
      </c>
      <c r="D8" s="18">
        <v>9.7500000000000003E-2</v>
      </c>
      <c r="E8" s="17" t="s">
        <v>157</v>
      </c>
      <c r="F8" s="17" t="s">
        <v>158</v>
      </c>
      <c r="G8" s="17" t="s">
        <v>165</v>
      </c>
    </row>
    <row r="9" spans="1:7" x14ac:dyDescent="0.45">
      <c r="B9" s="16" t="s">
        <v>166</v>
      </c>
      <c r="C9" s="17" t="s">
        <v>167</v>
      </c>
      <c r="D9" s="18">
        <v>7.7399999999999997E-2</v>
      </c>
      <c r="E9" s="17" t="s">
        <v>157</v>
      </c>
      <c r="F9" s="17" t="s">
        <v>158</v>
      </c>
      <c r="G9" s="17" t="s">
        <v>168</v>
      </c>
    </row>
    <row r="10" spans="1:7" x14ac:dyDescent="0.45">
      <c r="B10" s="16" t="s">
        <v>169</v>
      </c>
      <c r="C10" s="17" t="s">
        <v>170</v>
      </c>
      <c r="D10" s="18">
        <v>7.4099999999999999E-2</v>
      </c>
      <c r="E10" s="17" t="s">
        <v>157</v>
      </c>
      <c r="F10" s="17" t="s">
        <v>158</v>
      </c>
      <c r="G10" s="17" t="s">
        <v>171</v>
      </c>
    </row>
    <row r="11" spans="1:7" x14ac:dyDescent="0.45">
      <c r="B11" s="16" t="s">
        <v>172</v>
      </c>
      <c r="C11" s="17" t="s">
        <v>173</v>
      </c>
      <c r="D11" s="18">
        <v>0.107</v>
      </c>
      <c r="E11" s="17" t="s">
        <v>157</v>
      </c>
      <c r="F11" s="17" t="s">
        <v>158</v>
      </c>
      <c r="G11" s="17" t="s">
        <v>174</v>
      </c>
    </row>
    <row r="12" spans="1:7" x14ac:dyDescent="0.45">
      <c r="B12" s="16" t="s">
        <v>175</v>
      </c>
      <c r="C12" s="17" t="s">
        <v>176</v>
      </c>
      <c r="D12" s="18">
        <v>4.4400000000000002E-2</v>
      </c>
      <c r="E12" s="17" t="s">
        <v>157</v>
      </c>
      <c r="F12" s="17" t="s">
        <v>158</v>
      </c>
      <c r="G12" s="17" t="s">
        <v>177</v>
      </c>
    </row>
    <row r="13" spans="1:7" x14ac:dyDescent="0.45">
      <c r="B13" s="16" t="s">
        <v>178</v>
      </c>
      <c r="C13" s="17" t="s">
        <v>179</v>
      </c>
      <c r="D13" s="18">
        <v>9.1700000000000004E-2</v>
      </c>
      <c r="E13" s="17" t="s">
        <v>157</v>
      </c>
      <c r="F13" s="17" t="s">
        <v>158</v>
      </c>
      <c r="G13" s="17" t="s">
        <v>180</v>
      </c>
    </row>
    <row r="14" spans="1:7" x14ac:dyDescent="0.45">
      <c r="B14" s="16" t="s">
        <v>181</v>
      </c>
      <c r="C14" s="17" t="s">
        <v>182</v>
      </c>
      <c r="D14" s="18">
        <v>1</v>
      </c>
      <c r="E14" s="17" t="s">
        <v>183</v>
      </c>
      <c r="F14" s="17" t="s">
        <v>158</v>
      </c>
      <c r="G14" s="17" t="s">
        <v>184</v>
      </c>
    </row>
    <row r="15" spans="1:7" x14ac:dyDescent="0.45">
      <c r="A15" s="14" t="s">
        <v>185</v>
      </c>
      <c r="B15" s="15"/>
      <c r="C15" s="15"/>
      <c r="D15" s="15"/>
      <c r="E15" s="15"/>
      <c r="F15" s="15"/>
      <c r="G15" s="15"/>
    </row>
    <row r="16" spans="1:7" x14ac:dyDescent="0.45">
      <c r="B16" s="16" t="s">
        <v>186</v>
      </c>
      <c r="C16" s="17" t="s">
        <v>187</v>
      </c>
      <c r="D16" s="18">
        <v>265</v>
      </c>
      <c r="E16" s="17" t="s">
        <v>188</v>
      </c>
      <c r="F16" s="17" t="s">
        <v>70</v>
      </c>
      <c r="G16" s="17"/>
    </row>
    <row r="17" spans="1:7" x14ac:dyDescent="0.45">
      <c r="B17" s="16" t="s">
        <v>189</v>
      </c>
      <c r="C17" s="17" t="s">
        <v>190</v>
      </c>
      <c r="D17" s="18">
        <v>6630</v>
      </c>
      <c r="E17" s="17" t="s">
        <v>188</v>
      </c>
      <c r="F17" s="17" t="s">
        <v>70</v>
      </c>
      <c r="G17" s="17"/>
    </row>
    <row r="18" spans="1:7" x14ac:dyDescent="0.45">
      <c r="B18" s="16" t="s">
        <v>191</v>
      </c>
      <c r="C18" s="17" t="s">
        <v>192</v>
      </c>
      <c r="D18" s="18">
        <v>11100</v>
      </c>
      <c r="E18" s="17" t="s">
        <v>188</v>
      </c>
      <c r="F18" s="17" t="s">
        <v>70</v>
      </c>
      <c r="G18" s="17"/>
    </row>
    <row r="19" spans="1:7" x14ac:dyDescent="0.45">
      <c r="B19" s="16" t="s">
        <v>193</v>
      </c>
      <c r="C19" s="17" t="s">
        <v>194</v>
      </c>
      <c r="D19" s="18">
        <v>273</v>
      </c>
      <c r="E19" s="17" t="s">
        <v>188</v>
      </c>
      <c r="F19" s="17" t="s">
        <v>86</v>
      </c>
      <c r="G19" s="17"/>
    </row>
    <row r="20" spans="1:7" x14ac:dyDescent="0.45">
      <c r="B20" s="16" t="s">
        <v>195</v>
      </c>
      <c r="C20" s="17" t="s">
        <v>196</v>
      </c>
      <c r="D20" s="18">
        <v>7380</v>
      </c>
      <c r="E20" s="17" t="s">
        <v>188</v>
      </c>
      <c r="F20" s="17" t="s">
        <v>86</v>
      </c>
      <c r="G20" s="17"/>
    </row>
    <row r="21" spans="1:7" x14ac:dyDescent="0.45">
      <c r="B21" s="16" t="s">
        <v>197</v>
      </c>
      <c r="C21" s="17" t="s">
        <v>198</v>
      </c>
      <c r="D21" s="18">
        <v>12400</v>
      </c>
      <c r="E21" s="17" t="s">
        <v>188</v>
      </c>
      <c r="F21" s="17" t="s">
        <v>86</v>
      </c>
      <c r="G21" s="17"/>
    </row>
    <row r="22" spans="1:7" x14ac:dyDescent="0.45">
      <c r="B22" s="16" t="s">
        <v>199</v>
      </c>
      <c r="C22" s="17" t="s">
        <v>200</v>
      </c>
      <c r="D22" s="19">
        <f>IF(gwp_set="AR6",gwp_n2o_ar6,gwp_n2o_cbam)</f>
        <v>265</v>
      </c>
      <c r="E22" s="17" t="s">
        <v>188</v>
      </c>
      <c r="F22" s="17" t="s">
        <v>201</v>
      </c>
      <c r="G22" s="17"/>
    </row>
    <row r="23" spans="1:7" x14ac:dyDescent="0.45">
      <c r="B23" s="16" t="s">
        <v>202</v>
      </c>
      <c r="C23" s="17" t="s">
        <v>203</v>
      </c>
      <c r="D23" s="19">
        <f>IF(gwp_set="AR6",gwp_cf4_ar6,gwp_cf4_cbam)</f>
        <v>6630</v>
      </c>
      <c r="E23" s="17" t="s">
        <v>188</v>
      </c>
      <c r="F23" s="17" t="s">
        <v>201</v>
      </c>
      <c r="G23" s="17"/>
    </row>
    <row r="24" spans="1:7" x14ac:dyDescent="0.45">
      <c r="B24" s="16" t="s">
        <v>204</v>
      </c>
      <c r="C24" s="17" t="s">
        <v>205</v>
      </c>
      <c r="D24" s="19">
        <f>IF(gwp_set="AR6",gwp_c2f6_ar6,gwp_c2f6_cbam)</f>
        <v>11100</v>
      </c>
      <c r="E24" s="17" t="s">
        <v>188</v>
      </c>
      <c r="F24" s="17" t="s">
        <v>201</v>
      </c>
      <c r="G24" s="17"/>
    </row>
    <row r="25" spans="1:7" x14ac:dyDescent="0.45">
      <c r="A25" s="14" t="s">
        <v>206</v>
      </c>
      <c r="B25" s="15"/>
      <c r="C25" s="15"/>
      <c r="D25" s="15"/>
      <c r="E25" s="15"/>
      <c r="F25" s="15"/>
      <c r="G25" s="15"/>
    </row>
    <row r="26" spans="1:7" x14ac:dyDescent="0.45">
      <c r="B26" s="16" t="s">
        <v>207</v>
      </c>
      <c r="C26" s="17" t="s">
        <v>208</v>
      </c>
      <c r="D26" s="18">
        <v>12.010999999999999</v>
      </c>
      <c r="E26" s="17" t="s">
        <v>209</v>
      </c>
      <c r="F26" s="17" t="s">
        <v>126</v>
      </c>
      <c r="G26" s="17"/>
    </row>
    <row r="27" spans="1:7" x14ac:dyDescent="0.45">
      <c r="B27" s="16" t="s">
        <v>210</v>
      </c>
      <c r="C27" s="17" t="s">
        <v>211</v>
      </c>
      <c r="D27" s="18">
        <v>44.009</v>
      </c>
      <c r="E27" s="17" t="s">
        <v>209</v>
      </c>
      <c r="F27" s="17" t="s">
        <v>126</v>
      </c>
      <c r="G27" s="17"/>
    </row>
    <row r="28" spans="1:7" x14ac:dyDescent="0.45">
      <c r="B28" s="16" t="s">
        <v>212</v>
      </c>
      <c r="C28" s="17" t="s">
        <v>213</v>
      </c>
      <c r="D28" s="18">
        <v>56.076999999999998</v>
      </c>
      <c r="E28" s="17" t="s">
        <v>209</v>
      </c>
      <c r="F28" s="17" t="s">
        <v>126</v>
      </c>
      <c r="G28" s="17"/>
    </row>
    <row r="29" spans="1:7" x14ac:dyDescent="0.45">
      <c r="B29" s="16" t="s">
        <v>214</v>
      </c>
      <c r="C29" s="17" t="s">
        <v>215</v>
      </c>
      <c r="D29" s="18">
        <v>40.304000000000002</v>
      </c>
      <c r="E29" s="17" t="s">
        <v>209</v>
      </c>
      <c r="F29" s="17" t="s">
        <v>126</v>
      </c>
      <c r="G29" s="17"/>
    </row>
    <row r="30" spans="1:7" x14ac:dyDescent="0.45">
      <c r="B30" s="16" t="s">
        <v>216</v>
      </c>
      <c r="C30" s="17" t="s">
        <v>217</v>
      </c>
      <c r="D30" s="18">
        <v>17.030999999999999</v>
      </c>
      <c r="E30" s="17" t="s">
        <v>209</v>
      </c>
      <c r="F30" s="17" t="s">
        <v>126</v>
      </c>
      <c r="G30" s="17"/>
    </row>
    <row r="31" spans="1:7" x14ac:dyDescent="0.45">
      <c r="B31" s="16" t="s">
        <v>218</v>
      </c>
      <c r="C31" s="17" t="s">
        <v>219</v>
      </c>
      <c r="D31" s="18">
        <v>60.055999999999997</v>
      </c>
      <c r="E31" s="17" t="s">
        <v>209</v>
      </c>
      <c r="F31" s="17" t="s">
        <v>126</v>
      </c>
      <c r="G31" s="17"/>
    </row>
    <row r="32" spans="1:7" x14ac:dyDescent="0.45">
      <c r="B32" s="16" t="s">
        <v>220</v>
      </c>
      <c r="C32" s="17" t="s">
        <v>221</v>
      </c>
      <c r="D32" s="18">
        <v>63.012</v>
      </c>
      <c r="E32" s="17" t="s">
        <v>209</v>
      </c>
      <c r="F32" s="17" t="s">
        <v>126</v>
      </c>
      <c r="G32" s="17"/>
    </row>
    <row r="33" spans="1:7" x14ac:dyDescent="0.45">
      <c r="B33" s="16" t="s">
        <v>222</v>
      </c>
      <c r="C33" s="17" t="s">
        <v>223</v>
      </c>
      <c r="D33" s="18">
        <v>80.043000000000006</v>
      </c>
      <c r="E33" s="17" t="s">
        <v>209</v>
      </c>
      <c r="F33" s="17" t="s">
        <v>126</v>
      </c>
      <c r="G33" s="17"/>
    </row>
    <row r="34" spans="1:7" x14ac:dyDescent="0.45">
      <c r="B34" s="16" t="s">
        <v>224</v>
      </c>
      <c r="C34" s="17" t="s">
        <v>225</v>
      </c>
      <c r="D34" s="18">
        <v>100.086</v>
      </c>
      <c r="E34" s="17" t="s">
        <v>209</v>
      </c>
      <c r="F34" s="17" t="s">
        <v>126</v>
      </c>
      <c r="G34" s="17"/>
    </row>
    <row r="35" spans="1:7" x14ac:dyDescent="0.45">
      <c r="B35" s="16" t="s">
        <v>226</v>
      </c>
      <c r="C35" s="17" t="s">
        <v>227</v>
      </c>
      <c r="D35" s="19">
        <f>m_co2/m_c</f>
        <v>3.6640579468820249</v>
      </c>
      <c r="E35" s="17" t="s">
        <v>228</v>
      </c>
      <c r="F35" s="17" t="s">
        <v>201</v>
      </c>
      <c r="G35" s="17" t="s">
        <v>229</v>
      </c>
    </row>
    <row r="36" spans="1:7" x14ac:dyDescent="0.45">
      <c r="B36" s="16" t="s">
        <v>230</v>
      </c>
      <c r="C36" s="17" t="s">
        <v>231</v>
      </c>
      <c r="D36" s="19">
        <f>m_co2/m_caco3</f>
        <v>0.43971184781088263</v>
      </c>
      <c r="E36" s="17" t="s">
        <v>228</v>
      </c>
      <c r="F36" s="17" t="s">
        <v>232</v>
      </c>
      <c r="G36" s="17" t="s">
        <v>233</v>
      </c>
    </row>
    <row r="37" spans="1:7" x14ac:dyDescent="0.45">
      <c r="B37" s="16" t="s">
        <v>234</v>
      </c>
      <c r="C37" s="17" t="s">
        <v>235</v>
      </c>
      <c r="D37" s="19">
        <f>m_co2/m_cao</f>
        <v>0.78479590562975909</v>
      </c>
      <c r="E37" s="17" t="s">
        <v>228</v>
      </c>
      <c r="F37" s="17" t="s">
        <v>232</v>
      </c>
      <c r="G37" s="17" t="s">
        <v>236</v>
      </c>
    </row>
    <row r="38" spans="1:7" x14ac:dyDescent="0.45">
      <c r="B38" s="16" t="s">
        <v>237</v>
      </c>
      <c r="C38" s="17" t="s">
        <v>238</v>
      </c>
      <c r="D38" s="19">
        <f>m_co2/m_mgo</f>
        <v>1.0919263596665343</v>
      </c>
      <c r="E38" s="17" t="s">
        <v>228</v>
      </c>
      <c r="F38" s="17" t="s">
        <v>232</v>
      </c>
      <c r="G38" s="17" t="s">
        <v>239</v>
      </c>
    </row>
    <row r="39" spans="1:7" x14ac:dyDescent="0.45">
      <c r="B39" s="16" t="s">
        <v>240</v>
      </c>
      <c r="C39" s="17" t="s">
        <v>241</v>
      </c>
      <c r="D39" s="19">
        <f>m_co2/m_urea</f>
        <v>0.7327993872385774</v>
      </c>
      <c r="E39" s="17" t="s">
        <v>228</v>
      </c>
      <c r="F39" s="17" t="s">
        <v>201</v>
      </c>
      <c r="G39" s="17" t="s">
        <v>242</v>
      </c>
    </row>
    <row r="40" spans="1:7" x14ac:dyDescent="0.45">
      <c r="B40" s="16" t="s">
        <v>243</v>
      </c>
      <c r="C40" s="17" t="s">
        <v>244</v>
      </c>
      <c r="D40" s="19">
        <f>2*m_nh3/m_urea</f>
        <v>0.56717064073531365</v>
      </c>
      <c r="E40" s="17" t="s">
        <v>228</v>
      </c>
      <c r="F40" s="17" t="s">
        <v>201</v>
      </c>
      <c r="G40" s="17" t="s">
        <v>245</v>
      </c>
    </row>
    <row r="41" spans="1:7" x14ac:dyDescent="0.45">
      <c r="B41" s="16" t="s">
        <v>246</v>
      </c>
      <c r="C41" s="17" t="s">
        <v>247</v>
      </c>
      <c r="D41" s="19">
        <f>m_hno3/m_an</f>
        <v>0.78722686555976162</v>
      </c>
      <c r="E41" s="17" t="s">
        <v>228</v>
      </c>
      <c r="F41" s="17" t="s">
        <v>201</v>
      </c>
      <c r="G41" s="17" t="s">
        <v>248</v>
      </c>
    </row>
    <row r="42" spans="1:7" x14ac:dyDescent="0.45">
      <c r="B42" s="16" t="s">
        <v>249</v>
      </c>
      <c r="C42" s="17" t="s">
        <v>250</v>
      </c>
      <c r="D42" s="19">
        <f>m_nh3/m_an</f>
        <v>0.21277313444023835</v>
      </c>
      <c r="E42" s="17" t="s">
        <v>228</v>
      </c>
      <c r="F42" s="17" t="s">
        <v>201</v>
      </c>
      <c r="G42" s="17" t="s">
        <v>251</v>
      </c>
    </row>
    <row r="43" spans="1:7" x14ac:dyDescent="0.45">
      <c r="B43" s="16" t="s">
        <v>252</v>
      </c>
      <c r="C43" s="17" t="s">
        <v>253</v>
      </c>
      <c r="D43" s="19">
        <f>m_nh3/m_hno3</f>
        <v>0.27028185107598551</v>
      </c>
      <c r="E43" s="17" t="s">
        <v>228</v>
      </c>
      <c r="F43" s="17" t="s">
        <v>201</v>
      </c>
      <c r="G43" s="17" t="s">
        <v>254</v>
      </c>
    </row>
    <row r="44" spans="1:7" x14ac:dyDescent="0.45">
      <c r="A44" s="14" t="s">
        <v>255</v>
      </c>
      <c r="B44" s="15"/>
      <c r="C44" s="15"/>
      <c r="D44" s="15"/>
      <c r="E44" s="15"/>
      <c r="F44" s="15"/>
      <c r="G44" s="15"/>
    </row>
    <row r="45" spans="1:7" x14ac:dyDescent="0.45">
      <c r="B45" s="16" t="s">
        <v>256</v>
      </c>
      <c r="C45" s="17" t="s">
        <v>257</v>
      </c>
      <c r="D45" s="18">
        <v>0.81879999999999997</v>
      </c>
      <c r="E45" s="17" t="s">
        <v>258</v>
      </c>
      <c r="F45" s="17" t="s">
        <v>70</v>
      </c>
      <c r="G45" s="17" t="s">
        <v>259</v>
      </c>
    </row>
    <row r="46" spans="1:7" x14ac:dyDescent="0.45">
      <c r="B46" s="16" t="s">
        <v>260</v>
      </c>
      <c r="C46" s="17" t="s">
        <v>261</v>
      </c>
      <c r="D46" s="18">
        <v>0.82969999999999999</v>
      </c>
      <c r="E46" s="17" t="s">
        <v>258</v>
      </c>
      <c r="F46" s="17" t="s">
        <v>70</v>
      </c>
      <c r="G46" s="17" t="s">
        <v>262</v>
      </c>
    </row>
    <row r="47" spans="1:7" x14ac:dyDescent="0.45">
      <c r="B47" s="16" t="s">
        <v>263</v>
      </c>
      <c r="C47" s="17" t="s">
        <v>264</v>
      </c>
      <c r="D47" s="18">
        <v>1.9099999999999999E-2</v>
      </c>
      <c r="E47" s="17" t="s">
        <v>258</v>
      </c>
      <c r="F47" s="17" t="s">
        <v>70</v>
      </c>
      <c r="G47" s="17" t="s">
        <v>265</v>
      </c>
    </row>
    <row r="48" spans="1:7" x14ac:dyDescent="0.45">
      <c r="B48" s="16" t="s">
        <v>266</v>
      </c>
      <c r="C48" s="17" t="s">
        <v>267</v>
      </c>
      <c r="D48" s="18">
        <v>1.09E-2</v>
      </c>
      <c r="E48" s="17" t="s">
        <v>258</v>
      </c>
      <c r="F48" s="17" t="s">
        <v>70</v>
      </c>
      <c r="G48" s="17" t="s">
        <v>268</v>
      </c>
    </row>
    <row r="49" spans="1:7" x14ac:dyDescent="0.45">
      <c r="B49" s="16" t="s">
        <v>269</v>
      </c>
      <c r="C49" s="17" t="s">
        <v>270</v>
      </c>
      <c r="D49" s="18">
        <v>4.0899999999999999E-2</v>
      </c>
      <c r="E49" s="17" t="s">
        <v>258</v>
      </c>
      <c r="F49" s="17" t="s">
        <v>70</v>
      </c>
      <c r="G49" s="17" t="s">
        <v>271</v>
      </c>
    </row>
    <row r="50" spans="1:7" x14ac:dyDescent="0.45">
      <c r="B50" s="16" t="s">
        <v>272</v>
      </c>
      <c r="C50" s="17" t="s">
        <v>273</v>
      </c>
      <c r="D50" s="18">
        <v>0.85</v>
      </c>
      <c r="E50" s="17" t="s">
        <v>258</v>
      </c>
      <c r="F50" s="17" t="s">
        <v>82</v>
      </c>
      <c r="G50" s="17" t="s">
        <v>274</v>
      </c>
    </row>
    <row r="51" spans="1:7" x14ac:dyDescent="0.45">
      <c r="B51" s="16" t="s">
        <v>275</v>
      </c>
      <c r="C51" s="17" t="s">
        <v>276</v>
      </c>
      <c r="D51" s="18">
        <v>0.8</v>
      </c>
      <c r="E51" s="17" t="s">
        <v>258</v>
      </c>
      <c r="F51" s="17" t="s">
        <v>82</v>
      </c>
      <c r="G51" s="17" t="s">
        <v>277</v>
      </c>
    </row>
    <row r="52" spans="1:7" x14ac:dyDescent="0.45">
      <c r="B52" s="16" t="s">
        <v>278</v>
      </c>
      <c r="C52" s="17" t="s">
        <v>279</v>
      </c>
      <c r="D52" s="18">
        <v>48</v>
      </c>
      <c r="E52" s="17" t="s">
        <v>280</v>
      </c>
      <c r="F52" s="17" t="s">
        <v>65</v>
      </c>
      <c r="G52" s="17" t="s">
        <v>281</v>
      </c>
    </row>
    <row r="53" spans="1:7" x14ac:dyDescent="0.45">
      <c r="A53" s="14" t="s">
        <v>282</v>
      </c>
      <c r="B53" s="15"/>
      <c r="C53" s="15"/>
      <c r="D53" s="15"/>
      <c r="E53" s="15"/>
      <c r="F53" s="15"/>
      <c r="G53" s="15"/>
    </row>
    <row r="54" spans="1:7" x14ac:dyDescent="0.45">
      <c r="B54" s="16" t="s">
        <v>283</v>
      </c>
      <c r="C54" s="17" t="s">
        <v>284</v>
      </c>
      <c r="D54" s="18">
        <v>0.52</v>
      </c>
      <c r="E54" s="17" t="s">
        <v>285</v>
      </c>
      <c r="F54" s="17" t="s">
        <v>74</v>
      </c>
      <c r="G54" s="17" t="s">
        <v>286</v>
      </c>
    </row>
    <row r="55" spans="1:7" x14ac:dyDescent="0.45">
      <c r="B55" s="16" t="s">
        <v>287</v>
      </c>
      <c r="C55" s="17" t="s">
        <v>288</v>
      </c>
      <c r="D55" s="18">
        <v>1.694</v>
      </c>
      <c r="E55" s="17" t="s">
        <v>289</v>
      </c>
      <c r="F55" s="17" t="s">
        <v>78</v>
      </c>
      <c r="G55" s="17" t="s">
        <v>290</v>
      </c>
    </row>
    <row r="56" spans="1:7" x14ac:dyDescent="0.45">
      <c r="B56" s="16" t="s">
        <v>291</v>
      </c>
      <c r="C56" s="17" t="s">
        <v>292</v>
      </c>
      <c r="D56" s="18">
        <v>2.1040000000000001</v>
      </c>
      <c r="E56" s="17" t="s">
        <v>289</v>
      </c>
      <c r="F56" s="17" t="s">
        <v>78</v>
      </c>
      <c r="G56" s="17" t="s">
        <v>293</v>
      </c>
    </row>
    <row r="57" spans="1:7" x14ac:dyDescent="0.45">
      <c r="B57" s="16" t="s">
        <v>294</v>
      </c>
      <c r="C57" s="17" t="s">
        <v>295</v>
      </c>
      <c r="D57" s="18">
        <v>7</v>
      </c>
      <c r="E57" s="17" t="s">
        <v>296</v>
      </c>
      <c r="F57" s="17" t="s">
        <v>78</v>
      </c>
      <c r="G57" s="17" t="s">
        <v>297</v>
      </c>
    </row>
    <row r="58" spans="1:7" x14ac:dyDescent="0.45">
      <c r="B58" s="16" t="s">
        <v>298</v>
      </c>
      <c r="C58" s="17" t="s">
        <v>299</v>
      </c>
      <c r="D58" s="18">
        <v>2.5</v>
      </c>
      <c r="E58" s="17" t="s">
        <v>296</v>
      </c>
      <c r="F58" s="17" t="s">
        <v>78</v>
      </c>
      <c r="G58" s="17" t="s">
        <v>300</v>
      </c>
    </row>
    <row r="59" spans="1:7" x14ac:dyDescent="0.45">
      <c r="B59" s="16" t="s">
        <v>301</v>
      </c>
      <c r="C59" s="17" t="s">
        <v>302</v>
      </c>
      <c r="D59" s="18">
        <v>1.6</v>
      </c>
      <c r="E59" s="17" t="s">
        <v>303</v>
      </c>
      <c r="F59" s="17" t="s">
        <v>82</v>
      </c>
      <c r="G59" s="17" t="s">
        <v>304</v>
      </c>
    </row>
    <row r="60" spans="1:7" x14ac:dyDescent="0.45">
      <c r="B60" s="16" t="s">
        <v>305</v>
      </c>
      <c r="C60" s="17" t="s">
        <v>306</v>
      </c>
      <c r="D60" s="18">
        <v>0.4</v>
      </c>
      <c r="E60" s="17" t="s">
        <v>307</v>
      </c>
      <c r="F60" s="17" t="s">
        <v>82</v>
      </c>
      <c r="G60" s="17" t="s">
        <v>308</v>
      </c>
    </row>
    <row r="61" spans="1:7" x14ac:dyDescent="0.45">
      <c r="B61" s="16" t="s">
        <v>309</v>
      </c>
      <c r="C61" s="17" t="s">
        <v>310</v>
      </c>
      <c r="D61" s="18">
        <v>0.04</v>
      </c>
      <c r="E61" s="17" t="s">
        <v>307</v>
      </c>
      <c r="F61" s="17" t="s">
        <v>82</v>
      </c>
      <c r="G61" s="17" t="s">
        <v>308</v>
      </c>
    </row>
    <row r="62" spans="1:7" x14ac:dyDescent="0.45">
      <c r="B62" s="16" t="s">
        <v>311</v>
      </c>
      <c r="C62" s="17" t="s">
        <v>312</v>
      </c>
      <c r="D62" s="18">
        <v>0.7</v>
      </c>
      <c r="E62" s="17" t="s">
        <v>313</v>
      </c>
      <c r="F62" s="17" t="s">
        <v>82</v>
      </c>
      <c r="G62" s="17" t="s">
        <v>314</v>
      </c>
    </row>
    <row r="63" spans="1:7" x14ac:dyDescent="0.45">
      <c r="B63" s="16" t="s">
        <v>315</v>
      </c>
      <c r="C63" s="17" t="s">
        <v>316</v>
      </c>
      <c r="D63" s="18">
        <v>0.08</v>
      </c>
      <c r="E63" s="17" t="s">
        <v>317</v>
      </c>
      <c r="F63" s="17" t="s">
        <v>82</v>
      </c>
      <c r="G63" s="17" t="s">
        <v>314</v>
      </c>
    </row>
  </sheetData>
  <mergeCells count="1">
    <mergeCell ref="A2:F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4"/>
  <sheetViews>
    <sheetView workbookViewId="0"/>
  </sheetViews>
  <sheetFormatPr defaultRowHeight="14.25" x14ac:dyDescent="0.45"/>
  <cols>
    <col min="1" max="1" width="3" customWidth="1"/>
    <col min="2" max="2" width="20" customWidth="1"/>
    <col min="3" max="3" width="60" customWidth="1"/>
    <col min="4" max="4" width="10" customWidth="1"/>
    <col min="5" max="5" width="14" customWidth="1"/>
    <col min="6" max="7" width="8" customWidth="1"/>
    <col min="8" max="8" width="6" customWidth="1"/>
    <col min="9" max="9" width="12" customWidth="1"/>
    <col min="10" max="10" width="80" customWidth="1"/>
  </cols>
  <sheetData>
    <row r="1" spans="1:10" ht="17.649999999999999" x14ac:dyDescent="0.5">
      <c r="A1" s="1" t="s">
        <v>318</v>
      </c>
      <c r="B1" s="2"/>
      <c r="C1" s="2"/>
      <c r="D1" s="2"/>
      <c r="E1" s="2"/>
      <c r="F1" s="2"/>
      <c r="G1" s="2"/>
      <c r="H1" s="2"/>
      <c r="I1" s="2"/>
      <c r="J1" s="2"/>
    </row>
    <row r="2" spans="1:10" ht="45" customHeight="1" x14ac:dyDescent="0.45">
      <c r="A2" s="36" t="s">
        <v>319</v>
      </c>
      <c r="B2" s="37"/>
      <c r="C2" s="37"/>
      <c r="D2" s="37"/>
      <c r="E2" s="37"/>
      <c r="F2" s="37"/>
      <c r="G2" s="37"/>
      <c r="H2" s="37"/>
      <c r="I2" s="37"/>
      <c r="J2" s="37"/>
    </row>
    <row r="4" spans="1:10" x14ac:dyDescent="0.45">
      <c r="A4" s="10"/>
      <c r="B4" s="10" t="s">
        <v>131</v>
      </c>
      <c r="C4" s="10" t="s">
        <v>151</v>
      </c>
      <c r="D4" s="10" t="s">
        <v>133</v>
      </c>
      <c r="E4" s="10" t="s">
        <v>152</v>
      </c>
      <c r="F4" s="10" t="s">
        <v>320</v>
      </c>
      <c r="G4" s="10" t="s">
        <v>321</v>
      </c>
      <c r="H4" s="10" t="s">
        <v>322</v>
      </c>
      <c r="I4" s="10" t="s">
        <v>153</v>
      </c>
      <c r="J4" s="10" t="s">
        <v>135</v>
      </c>
    </row>
    <row r="5" spans="1:10" x14ac:dyDescent="0.45">
      <c r="A5" s="14" t="s">
        <v>323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x14ac:dyDescent="0.45">
      <c r="B6" s="11" t="s">
        <v>324</v>
      </c>
      <c r="C6" s="12" t="s">
        <v>325</v>
      </c>
      <c r="D6" s="20">
        <v>10.5</v>
      </c>
      <c r="E6" s="12" t="s">
        <v>326</v>
      </c>
      <c r="F6" s="12">
        <v>9.6</v>
      </c>
      <c r="G6" s="12">
        <v>11.5</v>
      </c>
      <c r="H6" s="12" t="s">
        <v>327</v>
      </c>
      <c r="I6" s="12" t="s">
        <v>328</v>
      </c>
      <c r="J6" s="12" t="s">
        <v>329</v>
      </c>
    </row>
    <row r="7" spans="1:10" ht="25.5" x14ac:dyDescent="0.45">
      <c r="B7" s="11" t="s">
        <v>330</v>
      </c>
      <c r="C7" s="12" t="s">
        <v>331</v>
      </c>
      <c r="D7" s="20">
        <v>0.75</v>
      </c>
      <c r="E7" s="12" t="s">
        <v>332</v>
      </c>
      <c r="F7" s="12">
        <v>0.7</v>
      </c>
      <c r="G7" s="12">
        <v>0.8</v>
      </c>
      <c r="H7" s="12" t="s">
        <v>327</v>
      </c>
      <c r="I7" s="12" t="s">
        <v>90</v>
      </c>
      <c r="J7" s="12" t="s">
        <v>333</v>
      </c>
    </row>
    <row r="8" spans="1:10" x14ac:dyDescent="0.45">
      <c r="B8" s="11" t="s">
        <v>334</v>
      </c>
      <c r="C8" s="12" t="s">
        <v>335</v>
      </c>
      <c r="D8" s="20">
        <v>0.98</v>
      </c>
      <c r="E8" s="12" t="s">
        <v>336</v>
      </c>
      <c r="F8" s="12">
        <v>0.9</v>
      </c>
      <c r="G8" s="12">
        <v>1.1000000000000001</v>
      </c>
      <c r="H8" s="12" t="s">
        <v>327</v>
      </c>
      <c r="I8" s="12" t="s">
        <v>123</v>
      </c>
      <c r="J8" s="12" t="s">
        <v>337</v>
      </c>
    </row>
    <row r="9" spans="1:10" ht="25.5" x14ac:dyDescent="0.45">
      <c r="B9" s="11" t="s">
        <v>338</v>
      </c>
      <c r="C9" s="12" t="s">
        <v>339</v>
      </c>
      <c r="D9" s="20">
        <v>0.6</v>
      </c>
      <c r="E9" s="12" t="s">
        <v>340</v>
      </c>
      <c r="F9" s="12">
        <v>0.3</v>
      </c>
      <c r="G9" s="12">
        <v>1.2</v>
      </c>
      <c r="H9" s="12" t="s">
        <v>327</v>
      </c>
      <c r="I9" s="12" t="s">
        <v>123</v>
      </c>
      <c r="J9" s="12" t="s">
        <v>341</v>
      </c>
    </row>
    <row r="10" spans="1:10" x14ac:dyDescent="0.45">
      <c r="B10" s="11" t="s">
        <v>342</v>
      </c>
      <c r="C10" s="12" t="s">
        <v>343</v>
      </c>
      <c r="D10" s="20">
        <v>0.8</v>
      </c>
      <c r="E10" s="12" t="s">
        <v>340</v>
      </c>
      <c r="F10" s="12">
        <v>0.4</v>
      </c>
      <c r="G10" s="12">
        <v>1.5</v>
      </c>
      <c r="H10" s="12" t="s">
        <v>327</v>
      </c>
      <c r="I10" s="12" t="s">
        <v>123</v>
      </c>
      <c r="J10" s="12" t="s">
        <v>344</v>
      </c>
    </row>
    <row r="11" spans="1:10" x14ac:dyDescent="0.45">
      <c r="B11" s="11" t="s">
        <v>345</v>
      </c>
      <c r="C11" s="12" t="s">
        <v>346</v>
      </c>
      <c r="D11" s="20">
        <v>2.5</v>
      </c>
      <c r="E11" s="12" t="s">
        <v>347</v>
      </c>
      <c r="F11" s="12">
        <v>1.5</v>
      </c>
      <c r="G11" s="12">
        <v>3.5</v>
      </c>
      <c r="H11" s="12" t="s">
        <v>327</v>
      </c>
      <c r="I11" s="12" t="s">
        <v>123</v>
      </c>
      <c r="J11" s="12"/>
    </row>
    <row r="12" spans="1:10" x14ac:dyDescent="0.45">
      <c r="B12" s="11" t="s">
        <v>348</v>
      </c>
      <c r="C12" s="12" t="s">
        <v>349</v>
      </c>
      <c r="D12" s="21">
        <v>10</v>
      </c>
      <c r="E12" s="12" t="s">
        <v>347</v>
      </c>
      <c r="F12" s="12">
        <v>5</v>
      </c>
      <c r="G12" s="12">
        <v>20</v>
      </c>
      <c r="H12" s="12" t="s">
        <v>327</v>
      </c>
      <c r="I12" s="12" t="s">
        <v>123</v>
      </c>
      <c r="J12" s="12" t="s">
        <v>350</v>
      </c>
    </row>
    <row r="13" spans="1:10" x14ac:dyDescent="0.45">
      <c r="B13" s="11" t="s">
        <v>351</v>
      </c>
      <c r="C13" s="12" t="s">
        <v>352</v>
      </c>
      <c r="D13" s="21">
        <v>12</v>
      </c>
      <c r="E13" s="12" t="s">
        <v>347</v>
      </c>
      <c r="F13" s="12">
        <v>5</v>
      </c>
      <c r="G13" s="12">
        <v>20</v>
      </c>
      <c r="H13" s="12" t="s">
        <v>327</v>
      </c>
      <c r="I13" s="12" t="s">
        <v>123</v>
      </c>
      <c r="J13" s="12"/>
    </row>
    <row r="14" spans="1:10" ht="25.5" x14ac:dyDescent="0.45">
      <c r="B14" s="11" t="s">
        <v>353</v>
      </c>
      <c r="C14" s="12" t="s">
        <v>354</v>
      </c>
      <c r="D14" s="21">
        <v>0</v>
      </c>
      <c r="E14" s="12" t="s">
        <v>347</v>
      </c>
      <c r="F14" s="12">
        <v>0</v>
      </c>
      <c r="G14" s="12">
        <v>30</v>
      </c>
      <c r="H14" s="12" t="s">
        <v>327</v>
      </c>
      <c r="I14" s="12" t="s">
        <v>123</v>
      </c>
      <c r="J14" s="12" t="s">
        <v>355</v>
      </c>
    </row>
    <row r="15" spans="1:10" x14ac:dyDescent="0.45">
      <c r="A15" s="14" t="s">
        <v>356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45">
      <c r="B16" s="11" t="s">
        <v>357</v>
      </c>
      <c r="C16" s="12" t="s">
        <v>358</v>
      </c>
      <c r="D16" s="20">
        <v>0.35</v>
      </c>
      <c r="E16" s="12" t="s">
        <v>359</v>
      </c>
      <c r="F16" s="12">
        <v>0.3</v>
      </c>
      <c r="G16" s="12">
        <v>0.45</v>
      </c>
      <c r="H16" s="12" t="s">
        <v>360</v>
      </c>
      <c r="I16" s="12" t="s">
        <v>361</v>
      </c>
      <c r="J16" s="12" t="s">
        <v>362</v>
      </c>
    </row>
    <row r="17" spans="1:10" x14ac:dyDescent="0.45">
      <c r="B17" s="11" t="s">
        <v>363</v>
      </c>
      <c r="C17" s="12" t="s">
        <v>364</v>
      </c>
      <c r="D17" s="20">
        <v>0.15</v>
      </c>
      <c r="E17" s="12" t="s">
        <v>359</v>
      </c>
      <c r="F17" s="12">
        <v>0.1</v>
      </c>
      <c r="G17" s="12">
        <v>0.2</v>
      </c>
      <c r="H17" s="12" t="s">
        <v>360</v>
      </c>
      <c r="I17" s="12" t="s">
        <v>361</v>
      </c>
      <c r="J17" s="12"/>
    </row>
    <row r="18" spans="1:10" x14ac:dyDescent="0.45">
      <c r="B18" s="11" t="s">
        <v>365</v>
      </c>
      <c r="C18" s="12" t="s">
        <v>366</v>
      </c>
      <c r="D18" s="20">
        <v>4.4999999999999998E-2</v>
      </c>
      <c r="E18" s="12" t="s">
        <v>367</v>
      </c>
      <c r="F18" s="12">
        <v>0.04</v>
      </c>
      <c r="G18" s="12">
        <v>4.8000000000000001E-2</v>
      </c>
      <c r="H18" s="12" t="s">
        <v>360</v>
      </c>
      <c r="I18" s="12" t="s">
        <v>70</v>
      </c>
      <c r="J18" s="12"/>
    </row>
    <row r="19" spans="1:10" x14ac:dyDescent="0.45">
      <c r="B19" s="11" t="s">
        <v>368</v>
      </c>
      <c r="C19" s="12" t="s">
        <v>369</v>
      </c>
      <c r="D19" s="20">
        <v>0.95</v>
      </c>
      <c r="E19" s="12" t="s">
        <v>370</v>
      </c>
      <c r="F19" s="12">
        <v>0.85</v>
      </c>
      <c r="G19" s="12">
        <v>1</v>
      </c>
      <c r="H19" s="12" t="s">
        <v>360</v>
      </c>
      <c r="I19" s="12" t="s">
        <v>95</v>
      </c>
      <c r="J19" s="12"/>
    </row>
    <row r="20" spans="1:10" ht="25.5" x14ac:dyDescent="0.45">
      <c r="B20" s="11" t="s">
        <v>371</v>
      </c>
      <c r="C20" s="12" t="s">
        <v>372</v>
      </c>
      <c r="D20" s="20">
        <v>3</v>
      </c>
      <c r="E20" s="12" t="s">
        <v>340</v>
      </c>
      <c r="F20" s="12">
        <v>2</v>
      </c>
      <c r="G20" s="12">
        <v>5</v>
      </c>
      <c r="H20" s="12" t="s">
        <v>360</v>
      </c>
      <c r="I20" s="12" t="s">
        <v>95</v>
      </c>
      <c r="J20" s="12" t="s">
        <v>373</v>
      </c>
    </row>
    <row r="21" spans="1:10" x14ac:dyDescent="0.45">
      <c r="B21" s="11" t="s">
        <v>374</v>
      </c>
      <c r="C21" s="12" t="s">
        <v>375</v>
      </c>
      <c r="D21" s="20">
        <v>0.12</v>
      </c>
      <c r="E21" s="12" t="s">
        <v>376</v>
      </c>
      <c r="F21" s="12">
        <v>0.08</v>
      </c>
      <c r="G21" s="12">
        <v>0.2</v>
      </c>
      <c r="H21" s="12" t="s">
        <v>360</v>
      </c>
      <c r="I21" s="12" t="s">
        <v>82</v>
      </c>
      <c r="J21" s="12"/>
    </row>
    <row r="22" spans="1:10" x14ac:dyDescent="0.45">
      <c r="A22" s="14" t="s">
        <v>377</v>
      </c>
      <c r="B22" s="15"/>
      <c r="C22" s="15"/>
      <c r="D22" s="15"/>
      <c r="E22" s="15"/>
      <c r="F22" s="15"/>
      <c r="G22" s="15"/>
      <c r="H22" s="15"/>
      <c r="I22" s="15"/>
      <c r="J22" s="15"/>
    </row>
    <row r="23" spans="1:10" ht="25.5" x14ac:dyDescent="0.45">
      <c r="B23" s="11" t="s">
        <v>378</v>
      </c>
      <c r="C23" s="12" t="s">
        <v>379</v>
      </c>
      <c r="D23" s="20">
        <v>3.5</v>
      </c>
      <c r="E23" s="12" t="s">
        <v>380</v>
      </c>
      <c r="F23" s="12">
        <v>3.2</v>
      </c>
      <c r="G23" s="12">
        <v>3.9</v>
      </c>
      <c r="H23" s="12" t="s">
        <v>327</v>
      </c>
      <c r="I23" s="12" t="s">
        <v>381</v>
      </c>
      <c r="J23" s="12" t="s">
        <v>382</v>
      </c>
    </row>
    <row r="24" spans="1:10" x14ac:dyDescent="0.45">
      <c r="B24" s="11" t="s">
        <v>383</v>
      </c>
      <c r="C24" s="12" t="s">
        <v>384</v>
      </c>
      <c r="D24" s="20">
        <v>0.45</v>
      </c>
      <c r="E24" s="12" t="s">
        <v>385</v>
      </c>
      <c r="F24" s="12">
        <v>0.3</v>
      </c>
      <c r="G24" s="12">
        <v>0.6</v>
      </c>
      <c r="H24" s="12" t="s">
        <v>327</v>
      </c>
      <c r="I24" s="12" t="s">
        <v>381</v>
      </c>
      <c r="J24" s="12" t="s">
        <v>386</v>
      </c>
    </row>
    <row r="25" spans="1:10" x14ac:dyDescent="0.45">
      <c r="B25" s="11" t="s">
        <v>387</v>
      </c>
      <c r="C25" s="12" t="s">
        <v>388</v>
      </c>
      <c r="D25" s="20">
        <v>0.4</v>
      </c>
      <c r="E25" s="12" t="s">
        <v>385</v>
      </c>
      <c r="F25" s="12">
        <v>0.25</v>
      </c>
      <c r="G25" s="12">
        <v>0.55000000000000004</v>
      </c>
      <c r="H25" s="12" t="s">
        <v>327</v>
      </c>
      <c r="I25" s="12" t="s">
        <v>381</v>
      </c>
      <c r="J25" s="12"/>
    </row>
    <row r="26" spans="1:10" x14ac:dyDescent="0.45">
      <c r="B26" s="11" t="s">
        <v>389</v>
      </c>
      <c r="C26" s="12" t="s">
        <v>390</v>
      </c>
      <c r="D26" s="20">
        <v>0.05</v>
      </c>
      <c r="E26" s="12" t="s">
        <v>385</v>
      </c>
      <c r="F26" s="12">
        <v>0</v>
      </c>
      <c r="G26" s="12">
        <v>0.2</v>
      </c>
      <c r="H26" s="12" t="s">
        <v>327</v>
      </c>
      <c r="I26" s="12" t="s">
        <v>381</v>
      </c>
      <c r="J26" s="12"/>
    </row>
    <row r="27" spans="1:10" x14ac:dyDescent="0.45">
      <c r="B27" s="11" t="s">
        <v>391</v>
      </c>
      <c r="C27" s="12" t="s">
        <v>392</v>
      </c>
      <c r="D27" s="20">
        <v>0.02</v>
      </c>
      <c r="E27" s="12" t="s">
        <v>385</v>
      </c>
      <c r="F27" s="12">
        <v>0</v>
      </c>
      <c r="G27" s="12">
        <v>0.1</v>
      </c>
      <c r="H27" s="12" t="s">
        <v>327</v>
      </c>
      <c r="I27" s="12" t="s">
        <v>381</v>
      </c>
      <c r="J27" s="12"/>
    </row>
    <row r="28" spans="1:10" x14ac:dyDescent="0.45">
      <c r="B28" s="11" t="s">
        <v>393</v>
      </c>
      <c r="C28" s="12" t="s">
        <v>394</v>
      </c>
      <c r="D28" s="20">
        <v>0.08</v>
      </c>
      <c r="E28" s="12" t="s">
        <v>385</v>
      </c>
      <c r="F28" s="12">
        <v>0.03</v>
      </c>
      <c r="G28" s="12">
        <v>0.15</v>
      </c>
      <c r="H28" s="12" t="s">
        <v>327</v>
      </c>
      <c r="I28" s="12" t="s">
        <v>381</v>
      </c>
      <c r="J28" s="12" t="s">
        <v>395</v>
      </c>
    </row>
    <row r="29" spans="1:10" x14ac:dyDescent="0.45">
      <c r="B29" s="11" t="s">
        <v>396</v>
      </c>
      <c r="C29" s="12" t="s">
        <v>397</v>
      </c>
      <c r="D29" s="20">
        <v>0.5</v>
      </c>
      <c r="E29" s="12" t="s">
        <v>332</v>
      </c>
      <c r="F29" s="12">
        <v>0.3</v>
      </c>
      <c r="G29" s="12">
        <v>0.7</v>
      </c>
      <c r="H29" s="12" t="s">
        <v>360</v>
      </c>
      <c r="I29" s="12" t="s">
        <v>65</v>
      </c>
      <c r="J29" s="12"/>
    </row>
    <row r="30" spans="1:10" x14ac:dyDescent="0.45">
      <c r="B30" s="11" t="s">
        <v>398</v>
      </c>
      <c r="C30" s="12" t="s">
        <v>399</v>
      </c>
      <c r="D30" s="20">
        <v>0.65</v>
      </c>
      <c r="E30" s="12" t="s">
        <v>400</v>
      </c>
      <c r="F30" s="12">
        <v>0.63</v>
      </c>
      <c r="G30" s="12">
        <v>0.67</v>
      </c>
      <c r="H30" s="12" t="s">
        <v>327</v>
      </c>
      <c r="I30" s="12" t="s">
        <v>401</v>
      </c>
      <c r="J30" s="12" t="s">
        <v>402</v>
      </c>
    </row>
    <row r="31" spans="1:10" x14ac:dyDescent="0.45">
      <c r="B31" s="11" t="s">
        <v>403</v>
      </c>
      <c r="C31" s="12" t="s">
        <v>404</v>
      </c>
      <c r="D31" s="20">
        <v>1.4999999999999999E-2</v>
      </c>
      <c r="E31" s="12" t="s">
        <v>400</v>
      </c>
      <c r="F31" s="12">
        <v>0.01</v>
      </c>
      <c r="G31" s="12">
        <v>0.03</v>
      </c>
      <c r="H31" s="12" t="s">
        <v>327</v>
      </c>
      <c r="I31" s="12" t="s">
        <v>401</v>
      </c>
      <c r="J31" s="12"/>
    </row>
    <row r="32" spans="1:10" x14ac:dyDescent="0.45">
      <c r="B32" s="11" t="s">
        <v>405</v>
      </c>
      <c r="C32" s="12" t="s">
        <v>406</v>
      </c>
      <c r="D32" s="20">
        <v>1.02</v>
      </c>
      <c r="E32" s="12" t="s">
        <v>183</v>
      </c>
      <c r="F32" s="12">
        <v>1</v>
      </c>
      <c r="G32" s="12">
        <v>1.05</v>
      </c>
      <c r="H32" s="12" t="s">
        <v>360</v>
      </c>
      <c r="I32" s="12" t="s">
        <v>74</v>
      </c>
      <c r="J32" s="12" t="s">
        <v>407</v>
      </c>
    </row>
    <row r="33" spans="1:10" ht="25.5" x14ac:dyDescent="0.45">
      <c r="B33" s="11" t="s">
        <v>408</v>
      </c>
      <c r="C33" s="12" t="s">
        <v>409</v>
      </c>
      <c r="D33" s="20">
        <v>0.85</v>
      </c>
      <c r="E33" s="12" t="s">
        <v>410</v>
      </c>
      <c r="F33" s="12">
        <v>0.75</v>
      </c>
      <c r="G33" s="12">
        <v>0.92</v>
      </c>
      <c r="H33" s="12" t="s">
        <v>327</v>
      </c>
      <c r="I33" s="12" t="s">
        <v>381</v>
      </c>
      <c r="J33" s="12" t="s">
        <v>411</v>
      </c>
    </row>
    <row r="34" spans="1:10" x14ac:dyDescent="0.45">
      <c r="A34" s="14" t="s">
        <v>412</v>
      </c>
      <c r="B34" s="15"/>
      <c r="C34" s="15"/>
      <c r="D34" s="15"/>
      <c r="E34" s="15"/>
      <c r="F34" s="15"/>
      <c r="G34" s="15"/>
      <c r="H34" s="15"/>
      <c r="I34" s="15"/>
      <c r="J34" s="15"/>
    </row>
    <row r="35" spans="1:10" ht="38.25" x14ac:dyDescent="0.45">
      <c r="B35" s="11" t="s">
        <v>413</v>
      </c>
      <c r="C35" s="12" t="s">
        <v>414</v>
      </c>
      <c r="D35" s="20">
        <v>35.200000000000003</v>
      </c>
      <c r="E35" s="12" t="s">
        <v>415</v>
      </c>
      <c r="F35" s="12">
        <v>30.2</v>
      </c>
      <c r="G35" s="12">
        <v>37.5</v>
      </c>
      <c r="H35" s="12" t="s">
        <v>360</v>
      </c>
      <c r="I35" s="12" t="s">
        <v>416</v>
      </c>
      <c r="J35" s="22" t="s">
        <v>417</v>
      </c>
    </row>
    <row r="36" spans="1:10" x14ac:dyDescent="0.45">
      <c r="B36" s="11" t="s">
        <v>418</v>
      </c>
      <c r="C36" s="12" t="s">
        <v>419</v>
      </c>
      <c r="D36" s="20">
        <v>22.5</v>
      </c>
      <c r="E36" s="12" t="s">
        <v>415</v>
      </c>
      <c r="F36" s="12">
        <v>21</v>
      </c>
      <c r="G36" s="12">
        <v>24</v>
      </c>
      <c r="H36" s="12" t="s">
        <v>327</v>
      </c>
      <c r="I36" s="12" t="s">
        <v>107</v>
      </c>
      <c r="J36" s="12" t="s">
        <v>420</v>
      </c>
    </row>
    <row r="37" spans="1:10" x14ac:dyDescent="0.45">
      <c r="A37" s="14" t="s">
        <v>421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x14ac:dyDescent="0.45">
      <c r="B38" s="11" t="s">
        <v>422</v>
      </c>
      <c r="C38" s="12" t="s">
        <v>423</v>
      </c>
      <c r="D38" s="20">
        <v>2</v>
      </c>
      <c r="E38" s="12" t="s">
        <v>424</v>
      </c>
      <c r="F38" s="12">
        <v>1.5</v>
      </c>
      <c r="G38" s="12">
        <v>3</v>
      </c>
      <c r="H38" s="12" t="s">
        <v>327</v>
      </c>
      <c r="I38" s="12" t="s">
        <v>425</v>
      </c>
      <c r="J38" s="12" t="s">
        <v>426</v>
      </c>
    </row>
    <row r="39" spans="1:10" x14ac:dyDescent="0.45">
      <c r="B39" s="11" t="s">
        <v>427</v>
      </c>
      <c r="C39" s="12" t="s">
        <v>428</v>
      </c>
      <c r="D39" s="20">
        <v>0.56999999999999995</v>
      </c>
      <c r="E39" s="12" t="s">
        <v>429</v>
      </c>
      <c r="F39" s="12">
        <v>0.56699999999999995</v>
      </c>
      <c r="G39" s="12">
        <v>0.57999999999999996</v>
      </c>
      <c r="H39" s="12" t="s">
        <v>327</v>
      </c>
      <c r="I39" s="12" t="s">
        <v>126</v>
      </c>
      <c r="J39" s="12" t="s">
        <v>430</v>
      </c>
    </row>
    <row r="40" spans="1:10" x14ac:dyDescent="0.45">
      <c r="A40" s="14" t="s">
        <v>431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45">
      <c r="B41" s="11" t="s">
        <v>432</v>
      </c>
      <c r="C41" s="12" t="s">
        <v>433</v>
      </c>
      <c r="D41" s="20">
        <v>7</v>
      </c>
      <c r="E41" s="12" t="s">
        <v>296</v>
      </c>
      <c r="F41" s="12">
        <v>4</v>
      </c>
      <c r="G41" s="12">
        <v>10</v>
      </c>
      <c r="H41" s="12" t="s">
        <v>360</v>
      </c>
      <c r="I41" s="12" t="s">
        <v>78</v>
      </c>
      <c r="J41" s="12" t="s">
        <v>434</v>
      </c>
    </row>
    <row r="42" spans="1:10" x14ac:dyDescent="0.45">
      <c r="B42" s="11" t="s">
        <v>435</v>
      </c>
      <c r="C42" s="12" t="s">
        <v>436</v>
      </c>
      <c r="D42" s="20">
        <v>2.5</v>
      </c>
      <c r="E42" s="12" t="s">
        <v>296</v>
      </c>
      <c r="F42" s="12">
        <v>0.5</v>
      </c>
      <c r="G42" s="12">
        <v>2.5</v>
      </c>
      <c r="H42" s="12" t="s">
        <v>360</v>
      </c>
      <c r="I42" s="12" t="s">
        <v>437</v>
      </c>
      <c r="J42" s="12" t="s">
        <v>438</v>
      </c>
    </row>
    <row r="43" spans="1:10" ht="25.5" x14ac:dyDescent="0.45">
      <c r="B43" s="11" t="s">
        <v>439</v>
      </c>
      <c r="C43" s="12" t="s">
        <v>440</v>
      </c>
      <c r="D43" s="20">
        <v>0.5</v>
      </c>
      <c r="E43" s="12" t="s">
        <v>332</v>
      </c>
      <c r="F43" s="12">
        <v>0</v>
      </c>
      <c r="G43" s="12">
        <v>0.8</v>
      </c>
      <c r="H43" s="12" t="s">
        <v>327</v>
      </c>
      <c r="I43" s="12" t="s">
        <v>123</v>
      </c>
      <c r="J43" s="22" t="s">
        <v>441</v>
      </c>
    </row>
    <row r="44" spans="1:10" x14ac:dyDescent="0.45">
      <c r="B44" s="11" t="s">
        <v>442</v>
      </c>
      <c r="C44" s="12" t="s">
        <v>443</v>
      </c>
      <c r="D44" s="20">
        <v>0</v>
      </c>
      <c r="E44" s="12" t="s">
        <v>444</v>
      </c>
      <c r="F44" s="12">
        <v>0</v>
      </c>
      <c r="G44" s="12">
        <v>0.5</v>
      </c>
      <c r="H44" s="12" t="s">
        <v>360</v>
      </c>
      <c r="I44" s="12" t="s">
        <v>111</v>
      </c>
      <c r="J44" s="12" t="s">
        <v>445</v>
      </c>
    </row>
    <row r="45" spans="1:10" x14ac:dyDescent="0.45">
      <c r="A45" s="14" t="s">
        <v>446</v>
      </c>
      <c r="B45" s="15"/>
      <c r="C45" s="15"/>
      <c r="D45" s="15"/>
      <c r="E45" s="15"/>
      <c r="F45" s="15"/>
      <c r="G45" s="15"/>
      <c r="H45" s="15"/>
      <c r="I45" s="15"/>
      <c r="J45" s="15"/>
    </row>
    <row r="46" spans="1:10" x14ac:dyDescent="0.45">
      <c r="B46" s="11" t="s">
        <v>447</v>
      </c>
      <c r="C46" s="12" t="s">
        <v>448</v>
      </c>
      <c r="D46" s="20">
        <v>2</v>
      </c>
      <c r="E46" s="12" t="s">
        <v>449</v>
      </c>
      <c r="F46" s="12">
        <v>1.5</v>
      </c>
      <c r="G46" s="12">
        <v>2.5</v>
      </c>
      <c r="H46" s="12" t="s">
        <v>327</v>
      </c>
      <c r="I46" s="12" t="s">
        <v>450</v>
      </c>
      <c r="J46" s="12"/>
    </row>
    <row r="47" spans="1:10" x14ac:dyDescent="0.45">
      <c r="B47" s="11" t="s">
        <v>451</v>
      </c>
      <c r="C47" s="12" t="s">
        <v>452</v>
      </c>
      <c r="D47" s="20">
        <v>0.79</v>
      </c>
      <c r="E47" s="12" t="s">
        <v>453</v>
      </c>
      <c r="F47" s="12">
        <v>0.78700000000000003</v>
      </c>
      <c r="G47" s="12">
        <v>0.8</v>
      </c>
      <c r="H47" s="12" t="s">
        <v>327</v>
      </c>
      <c r="I47" s="12" t="s">
        <v>126</v>
      </c>
      <c r="J47" s="12" t="s">
        <v>454</v>
      </c>
    </row>
    <row r="48" spans="1:10" x14ac:dyDescent="0.45">
      <c r="B48" s="11" t="s">
        <v>455</v>
      </c>
      <c r="C48" s="12" t="s">
        <v>456</v>
      </c>
      <c r="D48" s="20">
        <v>0.215</v>
      </c>
      <c r="E48" s="12" t="s">
        <v>457</v>
      </c>
      <c r="F48" s="12">
        <v>0.21299999999999999</v>
      </c>
      <c r="G48" s="12">
        <v>0.22</v>
      </c>
      <c r="H48" s="12" t="s">
        <v>327</v>
      </c>
      <c r="I48" s="12" t="s">
        <v>126</v>
      </c>
      <c r="J48" s="12" t="s">
        <v>458</v>
      </c>
    </row>
    <row r="49" spans="1:10" x14ac:dyDescent="0.45">
      <c r="A49" s="14" t="s">
        <v>459</v>
      </c>
      <c r="B49" s="15"/>
      <c r="C49" s="15"/>
      <c r="D49" s="15"/>
      <c r="E49" s="15"/>
      <c r="F49" s="15"/>
      <c r="G49" s="15"/>
      <c r="H49" s="15"/>
      <c r="I49" s="15"/>
      <c r="J49" s="15"/>
    </row>
    <row r="50" spans="1:10" x14ac:dyDescent="0.45">
      <c r="B50" s="11" t="s">
        <v>460</v>
      </c>
      <c r="C50" s="12" t="s">
        <v>461</v>
      </c>
      <c r="D50" s="20">
        <v>0.44</v>
      </c>
      <c r="E50" s="12" t="s">
        <v>462</v>
      </c>
      <c r="F50" s="12">
        <v>0.4</v>
      </c>
      <c r="G50" s="12">
        <v>0.48</v>
      </c>
      <c r="H50" s="12" t="s">
        <v>327</v>
      </c>
      <c r="I50" s="12" t="s">
        <v>463</v>
      </c>
      <c r="J50" s="12" t="s">
        <v>464</v>
      </c>
    </row>
    <row r="51" spans="1:10" x14ac:dyDescent="0.45">
      <c r="B51" s="11" t="s">
        <v>465</v>
      </c>
      <c r="C51" s="12" t="s">
        <v>466</v>
      </c>
      <c r="D51" s="20">
        <v>0.02</v>
      </c>
      <c r="E51" s="12" t="s">
        <v>332</v>
      </c>
      <c r="F51" s="12">
        <v>0.01</v>
      </c>
      <c r="G51" s="12">
        <v>0.03</v>
      </c>
      <c r="H51" s="12" t="s">
        <v>360</v>
      </c>
      <c r="I51" s="12" t="s">
        <v>82</v>
      </c>
      <c r="J51" s="12" t="s">
        <v>467</v>
      </c>
    </row>
    <row r="52" spans="1:10" x14ac:dyDescent="0.45">
      <c r="B52" s="11" t="s">
        <v>468</v>
      </c>
      <c r="C52" s="12" t="s">
        <v>469</v>
      </c>
      <c r="D52" s="20">
        <v>4.0000000000000001E-3</v>
      </c>
      <c r="E52" s="12" t="s">
        <v>332</v>
      </c>
      <c r="F52" s="12">
        <v>2E-3</v>
      </c>
      <c r="G52" s="12">
        <v>0.01</v>
      </c>
      <c r="H52" s="12" t="s">
        <v>360</v>
      </c>
      <c r="I52" s="12" t="s">
        <v>82</v>
      </c>
      <c r="J52" s="12" t="s">
        <v>467</v>
      </c>
    </row>
    <row r="53" spans="1:10" x14ac:dyDescent="0.45">
      <c r="B53" s="11" t="s">
        <v>470</v>
      </c>
      <c r="C53" s="12" t="s">
        <v>471</v>
      </c>
      <c r="D53" s="20">
        <v>0.05</v>
      </c>
      <c r="E53" s="12" t="s">
        <v>303</v>
      </c>
      <c r="F53" s="12">
        <v>0.03</v>
      </c>
      <c r="G53" s="12">
        <v>0.08</v>
      </c>
      <c r="H53" s="12" t="s">
        <v>360</v>
      </c>
      <c r="I53" s="12" t="s">
        <v>82</v>
      </c>
      <c r="J53" s="12" t="s">
        <v>472</v>
      </c>
    </row>
    <row r="54" spans="1:10" x14ac:dyDescent="0.45">
      <c r="B54" s="11" t="s">
        <v>473</v>
      </c>
      <c r="C54" s="12" t="s">
        <v>474</v>
      </c>
      <c r="D54" s="20">
        <v>2.2000000000000002</v>
      </c>
      <c r="E54" s="12" t="s">
        <v>475</v>
      </c>
      <c r="F54" s="12">
        <v>1.5</v>
      </c>
      <c r="G54" s="12">
        <v>3</v>
      </c>
      <c r="H54" s="12" t="s">
        <v>327</v>
      </c>
      <c r="I54" s="12" t="s">
        <v>463</v>
      </c>
      <c r="J54" s="12" t="s">
        <v>476</v>
      </c>
    </row>
    <row r="55" spans="1:10" ht="38.25" x14ac:dyDescent="0.45">
      <c r="B55" s="11" t="s">
        <v>477</v>
      </c>
      <c r="C55" s="12" t="s">
        <v>478</v>
      </c>
      <c r="D55" s="20">
        <v>0.1</v>
      </c>
      <c r="E55" s="12" t="s">
        <v>479</v>
      </c>
      <c r="F55" s="12">
        <v>0.05</v>
      </c>
      <c r="G55" s="12">
        <v>0.4</v>
      </c>
      <c r="H55" s="12" t="s">
        <v>360</v>
      </c>
      <c r="I55" s="12" t="s">
        <v>463</v>
      </c>
      <c r="J55" s="22" t="s">
        <v>480</v>
      </c>
    </row>
    <row r="56" spans="1:10" x14ac:dyDescent="0.45">
      <c r="B56" s="11" t="s">
        <v>481</v>
      </c>
      <c r="C56" s="12" t="s">
        <v>482</v>
      </c>
      <c r="D56" s="20">
        <v>0.01</v>
      </c>
      <c r="E56" s="12" t="s">
        <v>483</v>
      </c>
      <c r="F56" s="12">
        <v>5.0000000000000001E-3</v>
      </c>
      <c r="G56" s="12">
        <v>0.04</v>
      </c>
      <c r="H56" s="12" t="s">
        <v>360</v>
      </c>
      <c r="I56" s="12" t="s">
        <v>463</v>
      </c>
      <c r="J56" s="12" t="s">
        <v>484</v>
      </c>
    </row>
    <row r="57" spans="1:10" x14ac:dyDescent="0.45">
      <c r="A57" s="14" t="s">
        <v>485</v>
      </c>
      <c r="B57" s="15"/>
      <c r="C57" s="15"/>
      <c r="D57" s="15"/>
      <c r="E57" s="15"/>
      <c r="F57" s="15"/>
      <c r="G57" s="15"/>
      <c r="H57" s="15"/>
      <c r="I57" s="15"/>
      <c r="J57" s="15"/>
    </row>
    <row r="58" spans="1:10" x14ac:dyDescent="0.45">
      <c r="B58" s="11" t="s">
        <v>486</v>
      </c>
      <c r="C58" s="12" t="s">
        <v>487</v>
      </c>
      <c r="D58" s="21">
        <v>5100</v>
      </c>
      <c r="E58" s="12" t="s">
        <v>488</v>
      </c>
      <c r="F58" s="12"/>
      <c r="G58" s="12"/>
      <c r="H58" s="12" t="s">
        <v>489</v>
      </c>
      <c r="I58" s="12" t="s">
        <v>490</v>
      </c>
      <c r="J58" s="12" t="s">
        <v>491</v>
      </c>
    </row>
    <row r="59" spans="1:10" x14ac:dyDescent="0.45">
      <c r="B59" s="11" t="s">
        <v>492</v>
      </c>
      <c r="C59" s="12" t="s">
        <v>493</v>
      </c>
      <c r="D59" s="21">
        <v>4800</v>
      </c>
      <c r="E59" s="12" t="s">
        <v>488</v>
      </c>
      <c r="F59" s="12"/>
      <c r="G59" s="12"/>
      <c r="H59" s="12" t="s">
        <v>489</v>
      </c>
      <c r="I59" s="12" t="s">
        <v>490</v>
      </c>
      <c r="J59" s="12" t="s">
        <v>491</v>
      </c>
    </row>
    <row r="60" spans="1:10" x14ac:dyDescent="0.45">
      <c r="B60" s="11" t="s">
        <v>494</v>
      </c>
      <c r="C60" s="12" t="s">
        <v>495</v>
      </c>
      <c r="D60" s="21">
        <v>50000</v>
      </c>
      <c r="E60" s="12" t="s">
        <v>488</v>
      </c>
      <c r="F60" s="12"/>
      <c r="G60" s="12"/>
      <c r="H60" s="12" t="s">
        <v>489</v>
      </c>
      <c r="I60" s="12" t="s">
        <v>118</v>
      </c>
      <c r="J60" s="12" t="s">
        <v>496</v>
      </c>
    </row>
    <row r="61" spans="1:10" x14ac:dyDescent="0.45">
      <c r="B61" s="11" t="s">
        <v>497</v>
      </c>
      <c r="C61" s="12" t="s">
        <v>498</v>
      </c>
      <c r="D61" s="21">
        <v>1785</v>
      </c>
      <c r="E61" s="12" t="s">
        <v>488</v>
      </c>
      <c r="F61" s="12"/>
      <c r="G61" s="12"/>
      <c r="H61" s="12" t="s">
        <v>489</v>
      </c>
      <c r="I61" s="12" t="s">
        <v>118</v>
      </c>
      <c r="J61" s="12" t="s">
        <v>499</v>
      </c>
    </row>
    <row r="62" spans="1:10" x14ac:dyDescent="0.45">
      <c r="B62" s="11" t="s">
        <v>500</v>
      </c>
      <c r="C62" s="12" t="s">
        <v>501</v>
      </c>
      <c r="D62" s="21">
        <v>2800</v>
      </c>
      <c r="E62" s="12" t="s">
        <v>488</v>
      </c>
      <c r="F62" s="12"/>
      <c r="G62" s="12"/>
      <c r="H62" s="12" t="s">
        <v>489</v>
      </c>
      <c r="I62" s="12" t="s">
        <v>118</v>
      </c>
      <c r="J62" s="12" t="s">
        <v>502</v>
      </c>
    </row>
    <row r="63" spans="1:10" x14ac:dyDescent="0.45">
      <c r="B63" s="11" t="s">
        <v>503</v>
      </c>
      <c r="C63" s="12" t="s">
        <v>504</v>
      </c>
      <c r="D63" s="21">
        <v>600</v>
      </c>
      <c r="E63" s="12" t="s">
        <v>488</v>
      </c>
      <c r="F63" s="12"/>
      <c r="G63" s="12"/>
      <c r="H63" s="12" t="s">
        <v>489</v>
      </c>
      <c r="I63" s="12" t="s">
        <v>118</v>
      </c>
      <c r="J63" s="12" t="s">
        <v>499</v>
      </c>
    </row>
    <row r="64" spans="1:10" x14ac:dyDescent="0.45">
      <c r="B64" s="11" t="s">
        <v>505</v>
      </c>
      <c r="C64" s="12" t="s">
        <v>506</v>
      </c>
      <c r="D64" s="21">
        <v>300</v>
      </c>
      <c r="E64" s="12" t="s">
        <v>488</v>
      </c>
      <c r="F64" s="12"/>
      <c r="G64" s="12"/>
      <c r="H64" s="12" t="s">
        <v>489</v>
      </c>
      <c r="I64" s="12" t="s">
        <v>118</v>
      </c>
      <c r="J64" s="12" t="s">
        <v>499</v>
      </c>
    </row>
  </sheetData>
  <mergeCells count="1">
    <mergeCell ref="A2:J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2"/>
  <sheetViews>
    <sheetView workbookViewId="0"/>
  </sheetViews>
  <sheetFormatPr defaultRowHeight="14.25" x14ac:dyDescent="0.45"/>
  <cols>
    <col min="1" max="1" width="3" customWidth="1"/>
    <col min="2" max="2" width="18" customWidth="1"/>
    <col min="3" max="3" width="70" customWidth="1"/>
    <col min="4" max="4" width="11" customWidth="1"/>
    <col min="5" max="5" width="14" customWidth="1"/>
    <col min="6" max="6" width="10" customWidth="1"/>
    <col min="7" max="7" width="70" customWidth="1"/>
    <col min="8" max="8" width="60" customWidth="1"/>
  </cols>
  <sheetData>
    <row r="1" spans="1:8" ht="17.649999999999999" x14ac:dyDescent="0.5">
      <c r="A1" s="1" t="s">
        <v>507</v>
      </c>
      <c r="B1" s="2"/>
      <c r="C1" s="2"/>
      <c r="D1" s="2"/>
      <c r="E1" s="2"/>
      <c r="F1" s="2"/>
      <c r="G1" s="2"/>
      <c r="H1" s="2"/>
    </row>
    <row r="2" spans="1:8" ht="45" customHeight="1" x14ac:dyDescent="0.45">
      <c r="A2" s="36" t="s">
        <v>508</v>
      </c>
      <c r="B2" s="37"/>
      <c r="C2" s="37"/>
      <c r="D2" s="37"/>
      <c r="E2" s="37"/>
      <c r="F2" s="37"/>
      <c r="G2" s="37"/>
      <c r="H2" s="37"/>
    </row>
    <row r="4" spans="1:8" ht="26.25" x14ac:dyDescent="0.45">
      <c r="A4" s="10"/>
      <c r="B4" s="10" t="s">
        <v>509</v>
      </c>
      <c r="C4" s="10" t="s">
        <v>151</v>
      </c>
      <c r="D4" s="10" t="s">
        <v>133</v>
      </c>
      <c r="E4" s="10" t="s">
        <v>152</v>
      </c>
      <c r="F4" s="10" t="s">
        <v>2</v>
      </c>
      <c r="G4" s="10" t="s">
        <v>510</v>
      </c>
      <c r="H4" s="10" t="s">
        <v>135</v>
      </c>
    </row>
    <row r="5" spans="1:8" x14ac:dyDescent="0.45">
      <c r="A5" s="14" t="s">
        <v>511</v>
      </c>
      <c r="B5" s="15"/>
      <c r="C5" s="15"/>
      <c r="D5" s="15"/>
      <c r="E5" s="15"/>
      <c r="F5" s="15"/>
      <c r="G5" s="15"/>
      <c r="H5" s="15"/>
    </row>
    <row r="6" spans="1:8" x14ac:dyDescent="0.45">
      <c r="B6" s="11" t="s">
        <v>512</v>
      </c>
      <c r="C6" s="12" t="s">
        <v>513</v>
      </c>
      <c r="D6" s="23">
        <f>dri_ng_total*ef_ng*oxf</f>
        <v>0.58904999999999996</v>
      </c>
      <c r="E6" s="12" t="s">
        <v>313</v>
      </c>
      <c r="F6" s="12"/>
      <c r="G6" s="12" t="str">
        <f t="shared" ref="G6:G12" ca="1" si="0">_xlfn.FORMULATEXT(D6)</f>
        <v>=dri_ng_total*ef_ng*oxf</v>
      </c>
      <c r="H6" s="12" t="s">
        <v>514</v>
      </c>
    </row>
    <row r="7" spans="1:8" x14ac:dyDescent="0.45">
      <c r="B7" s="11" t="s">
        <v>515</v>
      </c>
      <c r="C7" s="12" t="s">
        <v>516</v>
      </c>
      <c r="D7" s="23">
        <f>cc_dri*c_to_co2</f>
        <v>6.9983506785446667E-2</v>
      </c>
      <c r="E7" s="12" t="s">
        <v>313</v>
      </c>
      <c r="F7" s="12"/>
      <c r="G7" s="12" t="str">
        <f t="shared" ca="1" si="0"/>
        <v>=cc_dri*c_to_co2</v>
      </c>
      <c r="H7" s="12" t="s">
        <v>517</v>
      </c>
    </row>
    <row r="8" spans="1:8" ht="25.5" x14ac:dyDescent="0.45">
      <c r="B8" s="11" t="s">
        <v>518</v>
      </c>
      <c r="C8" s="12" t="s">
        <v>519</v>
      </c>
      <c r="D8" s="24">
        <f>dri_ng_total*dri_feed_share*ef_ng*oxf-dri_c_retained</f>
        <v>0.37180399321455332</v>
      </c>
      <c r="E8" s="12" t="s">
        <v>313</v>
      </c>
      <c r="F8" s="12" t="s">
        <v>10</v>
      </c>
      <c r="G8" s="12" t="str">
        <f t="shared" ca="1" si="0"/>
        <v>=dri_ng_total*dri_feed_share*ef_ng*oxf-dri_c_retained</v>
      </c>
      <c r="H8" s="12" t="s">
        <v>520</v>
      </c>
    </row>
    <row r="9" spans="1:8" ht="25.5" x14ac:dyDescent="0.45">
      <c r="B9" s="11" t="s">
        <v>521</v>
      </c>
      <c r="C9" s="12" t="s">
        <v>522</v>
      </c>
      <c r="D9" s="24">
        <f>dri_ng_total*(1-dri_feed_share)*ef_ng*oxf</f>
        <v>0.14726249999999999</v>
      </c>
      <c r="E9" s="12" t="s">
        <v>313</v>
      </c>
      <c r="F9" s="12" t="s">
        <v>6</v>
      </c>
      <c r="G9" s="12" t="str">
        <f t="shared" ca="1" si="0"/>
        <v>=dri_ng_total*(1-dri_feed_share)*ef_ng*oxf</v>
      </c>
      <c r="H9" s="12" t="s">
        <v>523</v>
      </c>
    </row>
    <row r="10" spans="1:8" x14ac:dyDescent="0.45">
      <c r="B10" s="11" t="s">
        <v>524</v>
      </c>
      <c r="C10" s="12" t="s">
        <v>525</v>
      </c>
      <c r="D10" s="24">
        <f>0</f>
        <v>0</v>
      </c>
      <c r="E10" s="12" t="s">
        <v>313</v>
      </c>
      <c r="F10" s="12" t="s">
        <v>14</v>
      </c>
      <c r="G10" s="12" t="str">
        <f t="shared" ca="1" si="0"/>
        <v>=0</v>
      </c>
      <c r="H10" s="12" t="s">
        <v>526</v>
      </c>
    </row>
    <row r="11" spans="1:8" x14ac:dyDescent="0.45">
      <c r="B11" s="11" t="s">
        <v>527</v>
      </c>
      <c r="C11" s="12" t="s">
        <v>528</v>
      </c>
      <c r="D11" s="24">
        <f>0</f>
        <v>0</v>
      </c>
      <c r="E11" s="12" t="s">
        <v>529</v>
      </c>
      <c r="F11" s="12" t="s">
        <v>18</v>
      </c>
      <c r="G11" s="12" t="str">
        <f t="shared" ca="1" si="0"/>
        <v>=0</v>
      </c>
      <c r="H11" s="12"/>
    </row>
    <row r="12" spans="1:8" x14ac:dyDescent="0.45">
      <c r="B12" s="11" t="s">
        <v>530</v>
      </c>
      <c r="C12" s="12" t="s">
        <v>531</v>
      </c>
      <c r="D12" s="23">
        <f>ef_dri_fc+ef_dri_fp+dri_c_retained-dri_co2_total</f>
        <v>0</v>
      </c>
      <c r="E12" s="12" t="s">
        <v>313</v>
      </c>
      <c r="F12" s="12"/>
      <c r="G12" s="12" t="str">
        <f t="shared" ca="1" si="0"/>
        <v>=ef_dri_fc+ef_dri_fp+dri_c_retained-dri_co2_total</v>
      </c>
      <c r="H12" s="12" t="s">
        <v>532</v>
      </c>
    </row>
    <row r="13" spans="1:8" x14ac:dyDescent="0.45">
      <c r="A13" s="14" t="s">
        <v>533</v>
      </c>
      <c r="B13" s="15"/>
      <c r="C13" s="15"/>
      <c r="D13" s="15"/>
      <c r="E13" s="15"/>
      <c r="F13" s="15"/>
      <c r="G13" s="15"/>
      <c r="H13" s="15"/>
    </row>
    <row r="14" spans="1:8" x14ac:dyDescent="0.45">
      <c r="B14" s="11" t="s">
        <v>534</v>
      </c>
      <c r="C14" s="12" t="s">
        <v>535</v>
      </c>
      <c r="D14" s="24">
        <f>eaf_ng_dri*ef_ng*oxf</f>
        <v>3.3659999999999995E-2</v>
      </c>
      <c r="E14" s="12" t="s">
        <v>317</v>
      </c>
      <c r="F14" s="12" t="s">
        <v>6</v>
      </c>
      <c r="G14" s="12" t="str">
        <f ca="1">_xlfn.FORMULATEXT(D14)</f>
        <v>=eaf_ng_dri*ef_ng*oxf</v>
      </c>
      <c r="H14" s="12"/>
    </row>
    <row r="15" spans="1:8" x14ac:dyDescent="0.45">
      <c r="B15" s="11" t="s">
        <v>536</v>
      </c>
      <c r="C15" s="12" t="s">
        <v>537</v>
      </c>
      <c r="D15" s="24">
        <f>dri_per_steel*dri_c_retained-cc_steel*c_to_co2</f>
        <v>2.864560502872366E-2</v>
      </c>
      <c r="E15" s="12" t="s">
        <v>317</v>
      </c>
      <c r="F15" s="12" t="s">
        <v>10</v>
      </c>
      <c r="G15" s="12" t="str">
        <f ca="1">_xlfn.FORMULATEXT(D15)</f>
        <v>=dri_per_steel*dri_c_retained-cc_steel*c_to_co2</v>
      </c>
      <c r="H15" s="12" t="s">
        <v>538</v>
      </c>
    </row>
    <row r="16" spans="1:8" x14ac:dyDescent="0.45">
      <c r="B16" s="11" t="s">
        <v>539</v>
      </c>
      <c r="C16" s="12" t="s">
        <v>540</v>
      </c>
      <c r="D16" s="24">
        <f>(eaf_electrode*cc_electrode+eaf_charge_c_dri*cc_charge_carbon)/1000*c_to_co2+eaf_limestone/1000*ef_caco3</f>
        <v>3.7901015402547665E-2</v>
      </c>
      <c r="E16" s="12" t="s">
        <v>317</v>
      </c>
      <c r="F16" s="12" t="s">
        <v>14</v>
      </c>
      <c r="G16" s="12" t="str">
        <f ca="1">_xlfn.FORMULATEXT(D16)</f>
        <v>=(eaf_electrode*cc_electrode+eaf_charge_c_dri*cc_charge_carbon)/1000*c_to_co2+eaf_limestone/1000*ef_caco3</v>
      </c>
      <c r="H16" s="12" t="s">
        <v>541</v>
      </c>
    </row>
    <row r="17" spans="1:8" x14ac:dyDescent="0.45">
      <c r="B17" s="11" t="s">
        <v>542</v>
      </c>
      <c r="C17" s="12" t="s">
        <v>528</v>
      </c>
      <c r="D17" s="24">
        <f>0</f>
        <v>0</v>
      </c>
      <c r="E17" s="12" t="s">
        <v>543</v>
      </c>
      <c r="F17" s="12" t="s">
        <v>18</v>
      </c>
      <c r="G17" s="12" t="str">
        <f ca="1">_xlfn.FORMULATEXT(D17)</f>
        <v>=0</v>
      </c>
      <c r="H17" s="12"/>
    </row>
    <row r="18" spans="1:8" x14ac:dyDescent="0.45">
      <c r="A18" s="14" t="s">
        <v>544</v>
      </c>
      <c r="B18" s="15"/>
      <c r="C18" s="15"/>
      <c r="D18" s="15"/>
      <c r="E18" s="15"/>
      <c r="F18" s="15"/>
      <c r="G18" s="15"/>
      <c r="H18" s="15"/>
    </row>
    <row r="19" spans="1:8" x14ac:dyDescent="0.45">
      <c r="B19" s="11" t="s">
        <v>545</v>
      </c>
      <c r="C19" s="12" t="s">
        <v>535</v>
      </c>
      <c r="D19" s="24">
        <f>eaf_ng_scrap*ef_ng*oxf</f>
        <v>4.4880000000000003E-2</v>
      </c>
      <c r="E19" s="12" t="s">
        <v>317</v>
      </c>
      <c r="F19" s="12" t="s">
        <v>6</v>
      </c>
      <c r="G19" s="12" t="str">
        <f ca="1">_xlfn.FORMULATEXT(D19)</f>
        <v>=eaf_ng_scrap*ef_ng*oxf</v>
      </c>
      <c r="H19" s="12"/>
    </row>
    <row r="20" spans="1:8" x14ac:dyDescent="0.45">
      <c r="B20" s="11" t="s">
        <v>546</v>
      </c>
      <c r="C20" s="12" t="s">
        <v>547</v>
      </c>
      <c r="D20" s="24">
        <f>0</f>
        <v>0</v>
      </c>
      <c r="E20" s="12" t="s">
        <v>317</v>
      </c>
      <c r="F20" s="12" t="s">
        <v>10</v>
      </c>
      <c r="G20" s="12" t="str">
        <f ca="1">_xlfn.FORMULATEXT(D20)</f>
        <v>=0</v>
      </c>
      <c r="H20" s="12" t="s">
        <v>548</v>
      </c>
    </row>
    <row r="21" spans="1:8" x14ac:dyDescent="0.45">
      <c r="B21" s="11" t="s">
        <v>549</v>
      </c>
      <c r="C21" s="12" t="s">
        <v>540</v>
      </c>
      <c r="D21" s="24">
        <f>(eaf_electrode*cc_electrode+eaf_charge_c_scrap*cc_charge_carbon)/1000*c_to_co2+eaf_limestone/1000*ef_caco3</f>
        <v>4.3981153159603693E-2</v>
      </c>
      <c r="E21" s="12" t="s">
        <v>317</v>
      </c>
      <c r="F21" s="12" t="s">
        <v>14</v>
      </c>
      <c r="G21" s="12" t="str">
        <f ca="1">_xlfn.FORMULATEXT(D21)</f>
        <v>=(eaf_electrode*cc_electrode+eaf_charge_c_scrap*cc_charge_carbon)/1000*c_to_co2+eaf_limestone/1000*ef_caco3</v>
      </c>
      <c r="H21" s="12"/>
    </row>
    <row r="22" spans="1:8" x14ac:dyDescent="0.45">
      <c r="B22" s="11" t="s">
        <v>550</v>
      </c>
      <c r="C22" s="12" t="s">
        <v>528</v>
      </c>
      <c r="D22" s="24">
        <f>0</f>
        <v>0</v>
      </c>
      <c r="E22" s="12" t="s">
        <v>543</v>
      </c>
      <c r="F22" s="12" t="s">
        <v>18</v>
      </c>
      <c r="G22" s="12" t="str">
        <f ca="1">_xlfn.FORMULATEXT(D22)</f>
        <v>=0</v>
      </c>
      <c r="H22" s="12"/>
    </row>
    <row r="23" spans="1:8" x14ac:dyDescent="0.45">
      <c r="A23" s="14" t="s">
        <v>551</v>
      </c>
      <c r="B23" s="15"/>
      <c r="C23" s="15"/>
      <c r="D23" s="15"/>
      <c r="E23" s="15"/>
      <c r="F23" s="15"/>
      <c r="G23" s="15"/>
      <c r="H23" s="15"/>
    </row>
    <row r="24" spans="1:8" ht="25.5" x14ac:dyDescent="0.45">
      <c r="B24" s="11" t="s">
        <v>552</v>
      </c>
      <c r="C24" s="12" t="s">
        <v>553</v>
      </c>
      <c r="D24" s="24">
        <f>((bf_coke*cc_coke+bf_pci*cc_pci_coal-hm_c)*hm_per_steel-cc_steel)*c_to_co2</f>
        <v>1.2566802743318624</v>
      </c>
      <c r="E24" s="12" t="s">
        <v>317</v>
      </c>
      <c r="F24" s="12" t="s">
        <v>10</v>
      </c>
      <c r="G24" s="12" t="str">
        <f ca="1">_xlfn.FORMULATEXT(D24)</f>
        <v>=((bf_coke*cc_coke+bf_pci*cc_pci_coal-hm_c)*hm_per_steel-cc_steel)*c_to_co2</v>
      </c>
      <c r="H24" s="12" t="s">
        <v>554</v>
      </c>
    </row>
    <row r="25" spans="1:8" ht="25.5" x14ac:dyDescent="0.45">
      <c r="B25" s="11" t="s">
        <v>555</v>
      </c>
      <c r="C25" s="12" t="s">
        <v>556</v>
      </c>
      <c r="D25" s="24">
        <f>bof_other_fuel*ef_ng*oxf</f>
        <v>0.16830000000000001</v>
      </c>
      <c r="E25" s="12" t="s">
        <v>317</v>
      </c>
      <c r="F25" s="12" t="s">
        <v>6</v>
      </c>
      <c r="G25" s="12" t="str">
        <f ca="1">_xlfn.FORMULATEXT(D25)</f>
        <v>=bof_other_fuel*ef_ng*oxf</v>
      </c>
      <c r="H25" s="12" t="s">
        <v>557</v>
      </c>
    </row>
    <row r="26" spans="1:8" x14ac:dyDescent="0.45">
      <c r="B26" s="11" t="s">
        <v>558</v>
      </c>
      <c r="C26" s="12" t="s">
        <v>559</v>
      </c>
      <c r="D26" s="24">
        <f>bf_flux*ef_caco3</f>
        <v>5.2765421737305911E-2</v>
      </c>
      <c r="E26" s="12" t="s">
        <v>317</v>
      </c>
      <c r="F26" s="12" t="s">
        <v>14</v>
      </c>
      <c r="G26" s="12" t="str">
        <f ca="1">_xlfn.FORMULATEXT(D26)</f>
        <v>=bf_flux*ef_caco3</v>
      </c>
      <c r="H26" s="12" t="s">
        <v>560</v>
      </c>
    </row>
    <row r="27" spans="1:8" x14ac:dyDescent="0.45">
      <c r="B27" s="11" t="s">
        <v>561</v>
      </c>
      <c r="C27" s="12" t="s">
        <v>528</v>
      </c>
      <c r="D27" s="24">
        <f>0</f>
        <v>0</v>
      </c>
      <c r="E27" s="12" t="s">
        <v>543</v>
      </c>
      <c r="F27" s="12" t="s">
        <v>18</v>
      </c>
      <c r="G27" s="12" t="str">
        <f ca="1">_xlfn.FORMULATEXT(D27)</f>
        <v>=0</v>
      </c>
      <c r="H27" s="12"/>
    </row>
    <row r="28" spans="1:8" x14ac:dyDescent="0.45">
      <c r="A28" s="14" t="s">
        <v>562</v>
      </c>
      <c r="B28" s="15"/>
      <c r="C28" s="15"/>
      <c r="D28" s="15"/>
      <c r="E28" s="15"/>
      <c r="F28" s="15"/>
      <c r="G28" s="15"/>
      <c r="H28" s="15"/>
    </row>
    <row r="29" spans="1:8" ht="25.5" x14ac:dyDescent="0.45">
      <c r="B29" s="11" t="s">
        <v>563</v>
      </c>
      <c r="C29" s="12" t="s">
        <v>564</v>
      </c>
      <c r="D29" s="23">
        <f>clk_sh_coal*ef_coal+clk_sh_petcoke*ef_petcoke+clk_sh_ng*ef_ng+clk_sh_hfo*ef_hfo+clk_sh_af*clk_af_fossil*ef_af_fossil</f>
        <v>8.9591000000000004E-2</v>
      </c>
      <c r="E29" s="12" t="s">
        <v>157</v>
      </c>
      <c r="F29" s="12"/>
      <c r="G29" s="12" t="str">
        <f t="shared" ref="G29:G34" ca="1" si="1">_xlfn.FORMULATEXT(D29)</f>
        <v>=clk_sh_coal*ef_coal+clk_sh_petcoke*ef_petcoke+clk_sh_ng*ef_ng+clk_sh_hfo*ef_hfo+clk_sh_af*clk_af_fossil*ef_af_fossil</v>
      </c>
      <c r="H29" s="12" t="s">
        <v>565</v>
      </c>
    </row>
    <row r="30" spans="1:8" x14ac:dyDescent="0.45">
      <c r="B30" s="11" t="s">
        <v>566</v>
      </c>
      <c r="C30" s="12" t="s">
        <v>567</v>
      </c>
      <c r="D30" s="24">
        <f>clk_thermal*clk_ef_mix*oxf</f>
        <v>0.31356850000000003</v>
      </c>
      <c r="E30" s="12" t="s">
        <v>285</v>
      </c>
      <c r="F30" s="12" t="s">
        <v>6</v>
      </c>
      <c r="G30" s="12" t="str">
        <f t="shared" ca="1" si="1"/>
        <v>=clk_thermal*clk_ef_mix*oxf</v>
      </c>
      <c r="H30" s="12"/>
    </row>
    <row r="31" spans="1:8" x14ac:dyDescent="0.45">
      <c r="B31" s="11" t="s">
        <v>568</v>
      </c>
      <c r="C31" s="12" t="s">
        <v>569</v>
      </c>
      <c r="D31" s="24">
        <f>0</f>
        <v>0</v>
      </c>
      <c r="E31" s="12" t="s">
        <v>285</v>
      </c>
      <c r="F31" s="12" t="s">
        <v>10</v>
      </c>
      <c r="G31" s="12" t="str">
        <f t="shared" ca="1" si="1"/>
        <v>=0</v>
      </c>
      <c r="H31" s="12"/>
    </row>
    <row r="32" spans="1:8" x14ac:dyDescent="0.45">
      <c r="B32" s="11" t="s">
        <v>570</v>
      </c>
      <c r="C32" s="12" t="s">
        <v>571</v>
      </c>
      <c r="D32" s="24">
        <f>(clk_cao*ef_cao+clk_mgo*ef_mgo)*clk_ckd</f>
        <v>0.53702615873542825</v>
      </c>
      <c r="E32" s="12" t="s">
        <v>285</v>
      </c>
      <c r="F32" s="12" t="s">
        <v>14</v>
      </c>
      <c r="G32" s="12" t="str">
        <f t="shared" ca="1" si="1"/>
        <v>=(clk_cao*ef_cao+clk_mgo*ef_mgo)*clk_ckd</v>
      </c>
      <c r="H32" s="12" t="s">
        <v>572</v>
      </c>
    </row>
    <row r="33" spans="1:8" x14ac:dyDescent="0.45">
      <c r="B33" s="11" t="s">
        <v>573</v>
      </c>
      <c r="C33" s="12" t="s">
        <v>528</v>
      </c>
      <c r="D33" s="24">
        <f>0</f>
        <v>0</v>
      </c>
      <c r="E33" s="12" t="s">
        <v>574</v>
      </c>
      <c r="F33" s="12" t="s">
        <v>18</v>
      </c>
      <c r="G33" s="12" t="str">
        <f t="shared" ca="1" si="1"/>
        <v>=0</v>
      </c>
      <c r="H33" s="12"/>
    </row>
    <row r="34" spans="1:8" x14ac:dyDescent="0.45">
      <c r="B34" s="11" t="s">
        <v>575</v>
      </c>
      <c r="C34" s="12" t="s">
        <v>576</v>
      </c>
      <c r="D34" s="23">
        <f>(ef_clk_fc+ef_clk_np)*clk_ratio</f>
        <v>0.723005459925114</v>
      </c>
      <c r="E34" s="12" t="s">
        <v>577</v>
      </c>
      <c r="F34" s="12"/>
      <c r="G34" s="12" t="str">
        <f t="shared" ca="1" si="1"/>
        <v>=(ef_clk_fc+ef_clk_np)*clk_ratio</v>
      </c>
      <c r="H34" s="12" t="s">
        <v>578</v>
      </c>
    </row>
    <row r="35" spans="1:8" x14ac:dyDescent="0.45">
      <c r="A35" s="14" t="s">
        <v>579</v>
      </c>
      <c r="B35" s="15"/>
      <c r="C35" s="15"/>
      <c r="D35" s="15"/>
      <c r="E35" s="15"/>
      <c r="F35" s="15"/>
      <c r="G35" s="15"/>
      <c r="H35" s="15"/>
    </row>
    <row r="36" spans="1:8" x14ac:dyDescent="0.45">
      <c r="B36" s="11" t="s">
        <v>580</v>
      </c>
      <c r="C36" s="12" t="s">
        <v>581</v>
      </c>
      <c r="D36" s="23">
        <f>nh3_ng_total-nh3_ng_feed</f>
        <v>12.700000000000003</v>
      </c>
      <c r="E36" s="12" t="s">
        <v>415</v>
      </c>
      <c r="F36" s="12"/>
      <c r="G36" s="12" t="str">
        <f ca="1">_xlfn.FORMULATEXT(D36)</f>
        <v>=nh3_ng_total-nh3_ng_feed</v>
      </c>
      <c r="H36" s="12"/>
    </row>
    <row r="37" spans="1:8" ht="25.5" x14ac:dyDescent="0.45">
      <c r="B37" s="11" t="s">
        <v>582</v>
      </c>
      <c r="C37" s="12" t="s">
        <v>583</v>
      </c>
      <c r="D37" s="24">
        <f>nh3_ng_feed*ef_ng*oxf</f>
        <v>1.2622499999999999</v>
      </c>
      <c r="E37" s="12" t="s">
        <v>289</v>
      </c>
      <c r="F37" s="12" t="s">
        <v>10</v>
      </c>
      <c r="G37" s="12" t="str">
        <f ca="1">_xlfn.FORMULATEXT(D37)</f>
        <v>=nh3_ng_feed*ef_ng*oxf</v>
      </c>
      <c r="H37" s="12" t="s">
        <v>584</v>
      </c>
    </row>
    <row r="38" spans="1:8" x14ac:dyDescent="0.45">
      <c r="B38" s="11" t="s">
        <v>585</v>
      </c>
      <c r="C38" s="12" t="s">
        <v>586</v>
      </c>
      <c r="D38" s="24">
        <f>nh3_ng_fuel*ef_ng*oxf</f>
        <v>0.71247000000000016</v>
      </c>
      <c r="E38" s="12" t="s">
        <v>289</v>
      </c>
      <c r="F38" s="12" t="s">
        <v>6</v>
      </c>
      <c r="G38" s="12" t="str">
        <f ca="1">_xlfn.FORMULATEXT(D38)</f>
        <v>=nh3_ng_fuel*ef_ng*oxf</v>
      </c>
      <c r="H38" s="12"/>
    </row>
    <row r="39" spans="1:8" x14ac:dyDescent="0.45">
      <c r="B39" s="11" t="s">
        <v>587</v>
      </c>
      <c r="C39" s="12" t="s">
        <v>525</v>
      </c>
      <c r="D39" s="24">
        <f>0</f>
        <v>0</v>
      </c>
      <c r="E39" s="12" t="s">
        <v>289</v>
      </c>
      <c r="F39" s="12" t="s">
        <v>14</v>
      </c>
      <c r="G39" s="12" t="str">
        <f ca="1">_xlfn.FORMULATEXT(D39)</f>
        <v>=0</v>
      </c>
      <c r="H39" s="12"/>
    </row>
    <row r="40" spans="1:8" x14ac:dyDescent="0.45">
      <c r="B40" s="11" t="s">
        <v>588</v>
      </c>
      <c r="C40" s="12" t="s">
        <v>528</v>
      </c>
      <c r="D40" s="24">
        <f>0</f>
        <v>0</v>
      </c>
      <c r="E40" s="12" t="s">
        <v>589</v>
      </c>
      <c r="F40" s="12" t="s">
        <v>18</v>
      </c>
      <c r="G40" s="12" t="str">
        <f ca="1">_xlfn.FORMULATEXT(D40)</f>
        <v>=0</v>
      </c>
      <c r="H40" s="12"/>
    </row>
    <row r="41" spans="1:8" x14ac:dyDescent="0.45">
      <c r="A41" s="14" t="s">
        <v>590</v>
      </c>
      <c r="B41" s="15"/>
      <c r="C41" s="15"/>
      <c r="D41" s="15"/>
      <c r="E41" s="15"/>
      <c r="F41" s="15"/>
      <c r="G41" s="15"/>
      <c r="H41" s="15"/>
    </row>
    <row r="42" spans="1:8" x14ac:dyDescent="0.45">
      <c r="B42" s="11" t="s">
        <v>591</v>
      </c>
      <c r="C42" s="12" t="s">
        <v>592</v>
      </c>
      <c r="D42" s="24">
        <f>urea_fuel*ef_ng*oxf</f>
        <v>0.11219999999999999</v>
      </c>
      <c r="E42" s="12" t="s">
        <v>593</v>
      </c>
      <c r="F42" s="12" t="s">
        <v>6</v>
      </c>
      <c r="G42" s="12" t="str">
        <f ca="1">_xlfn.FORMULATEXT(D42)</f>
        <v>=urea_fuel*ef_ng*oxf</v>
      </c>
      <c r="H42" s="12"/>
    </row>
    <row r="43" spans="1:8" x14ac:dyDescent="0.45">
      <c r="B43" s="11" t="s">
        <v>594</v>
      </c>
      <c r="C43" s="12" t="s">
        <v>569</v>
      </c>
      <c r="D43" s="24">
        <f>0</f>
        <v>0</v>
      </c>
      <c r="E43" s="12" t="s">
        <v>593</v>
      </c>
      <c r="F43" s="12" t="s">
        <v>10</v>
      </c>
      <c r="G43" s="12" t="str">
        <f ca="1">_xlfn.FORMULATEXT(D43)</f>
        <v>=0</v>
      </c>
      <c r="H43" s="12"/>
    </row>
    <row r="44" spans="1:8" x14ac:dyDescent="0.45">
      <c r="B44" s="11" t="s">
        <v>595</v>
      </c>
      <c r="C44" s="12" t="s">
        <v>596</v>
      </c>
      <c r="D44" s="24">
        <f>IF(urea_conv="IPCC",-co2_per_urea,0)</f>
        <v>0</v>
      </c>
      <c r="E44" s="12" t="s">
        <v>593</v>
      </c>
      <c r="F44" s="12" t="s">
        <v>14</v>
      </c>
      <c r="G44" s="12" t="str">
        <f ca="1">_xlfn.FORMULATEXT(D44)</f>
        <v>=IF(urea_conv="IPCC",-co2_per_urea,0)</v>
      </c>
      <c r="H44" s="12" t="s">
        <v>597</v>
      </c>
    </row>
    <row r="45" spans="1:8" x14ac:dyDescent="0.45">
      <c r="B45" s="11" t="s">
        <v>598</v>
      </c>
      <c r="C45" s="12" t="s">
        <v>528</v>
      </c>
      <c r="D45" s="24">
        <f>0</f>
        <v>0</v>
      </c>
      <c r="E45" s="12" t="s">
        <v>599</v>
      </c>
      <c r="F45" s="12" t="s">
        <v>18</v>
      </c>
      <c r="G45" s="12" t="str">
        <f ca="1">_xlfn.FORMULATEXT(D45)</f>
        <v>=0</v>
      </c>
      <c r="H45" s="12"/>
    </row>
    <row r="46" spans="1:8" x14ac:dyDescent="0.45">
      <c r="A46" s="14" t="s">
        <v>600</v>
      </c>
      <c r="B46" s="15"/>
      <c r="C46" s="15"/>
      <c r="D46" s="15"/>
      <c r="E46" s="15"/>
      <c r="F46" s="15"/>
      <c r="G46" s="15"/>
      <c r="H46" s="15"/>
    </row>
    <row r="47" spans="1:8" x14ac:dyDescent="0.45">
      <c r="B47" s="11" t="s">
        <v>601</v>
      </c>
      <c r="C47" s="12" t="s">
        <v>602</v>
      </c>
      <c r="D47" s="23">
        <f>hno3_abat_share*hno3_n2o_abat+(1-hno3_abat_share)*hno3_n2o_unab</f>
        <v>4.75</v>
      </c>
      <c r="E47" s="12" t="s">
        <v>296</v>
      </c>
      <c r="F47" s="12"/>
      <c r="G47" s="12" t="str">
        <f ca="1">_xlfn.FORMULATEXT(D47)</f>
        <v>=hno3_abat_share*hno3_n2o_abat+(1-hno3_abat_share)*hno3_n2o_unab</v>
      </c>
      <c r="H47" s="12"/>
    </row>
    <row r="48" spans="1:8" x14ac:dyDescent="0.45">
      <c r="B48" s="11" t="s">
        <v>603</v>
      </c>
      <c r="C48" s="12" t="s">
        <v>604</v>
      </c>
      <c r="D48" s="24">
        <f>hno3_n2o_rate/1000*gwp_n2o</f>
        <v>1.25875</v>
      </c>
      <c r="E48" s="12" t="s">
        <v>605</v>
      </c>
      <c r="F48" s="12" t="s">
        <v>18</v>
      </c>
      <c r="G48" s="12" t="str">
        <f ca="1">_xlfn.FORMULATEXT(D48)</f>
        <v>=hno3_n2o_rate/1000*gwp_n2o</v>
      </c>
      <c r="H48" s="12"/>
    </row>
    <row r="49" spans="1:8" x14ac:dyDescent="0.45">
      <c r="B49" s="11" t="s">
        <v>606</v>
      </c>
      <c r="C49" s="12" t="s">
        <v>607</v>
      </c>
      <c r="D49" s="24">
        <f>hno3_fuel*ef_ng*oxf</f>
        <v>0</v>
      </c>
      <c r="E49" s="12" t="s">
        <v>608</v>
      </c>
      <c r="F49" s="12" t="s">
        <v>6</v>
      </c>
      <c r="G49" s="12" t="str">
        <f ca="1">_xlfn.FORMULATEXT(D49)</f>
        <v>=hno3_fuel*ef_ng*oxf</v>
      </c>
      <c r="H49" s="12"/>
    </row>
    <row r="50" spans="1:8" x14ac:dyDescent="0.45">
      <c r="B50" s="11" t="s">
        <v>609</v>
      </c>
      <c r="C50" s="12" t="s">
        <v>569</v>
      </c>
      <c r="D50" s="24">
        <f>0</f>
        <v>0</v>
      </c>
      <c r="E50" s="12" t="s">
        <v>608</v>
      </c>
      <c r="F50" s="12" t="s">
        <v>10</v>
      </c>
      <c r="G50" s="12" t="str">
        <f ca="1">_xlfn.FORMULATEXT(D50)</f>
        <v>=0</v>
      </c>
      <c r="H50" s="12"/>
    </row>
    <row r="51" spans="1:8" x14ac:dyDescent="0.45">
      <c r="B51" s="11" t="s">
        <v>610</v>
      </c>
      <c r="C51" s="12" t="s">
        <v>525</v>
      </c>
      <c r="D51" s="24">
        <f>0</f>
        <v>0</v>
      </c>
      <c r="E51" s="12" t="s">
        <v>608</v>
      </c>
      <c r="F51" s="12" t="s">
        <v>14</v>
      </c>
      <c r="G51" s="12" t="str">
        <f ca="1">_xlfn.FORMULATEXT(D51)</f>
        <v>=0</v>
      </c>
      <c r="H51" s="12"/>
    </row>
    <row r="52" spans="1:8" x14ac:dyDescent="0.45">
      <c r="A52" s="14" t="s">
        <v>611</v>
      </c>
      <c r="B52" s="15"/>
      <c r="C52" s="15"/>
      <c r="D52" s="15"/>
      <c r="E52" s="15"/>
      <c r="F52" s="15"/>
      <c r="G52" s="15"/>
      <c r="H52" s="15"/>
    </row>
    <row r="53" spans="1:8" x14ac:dyDescent="0.45">
      <c r="B53" s="11" t="s">
        <v>612</v>
      </c>
      <c r="C53" s="12" t="s">
        <v>613</v>
      </c>
      <c r="D53" s="24">
        <f>an_fuel*ef_ng*oxf</f>
        <v>0.11219999999999999</v>
      </c>
      <c r="E53" s="12" t="s">
        <v>614</v>
      </c>
      <c r="F53" s="12" t="s">
        <v>6</v>
      </c>
      <c r="G53" s="12" t="str">
        <f ca="1">_xlfn.FORMULATEXT(D53)</f>
        <v>=an_fuel*ef_ng*oxf</v>
      </c>
      <c r="H53" s="12"/>
    </row>
    <row r="54" spans="1:8" x14ac:dyDescent="0.45">
      <c r="B54" s="11" t="s">
        <v>615</v>
      </c>
      <c r="C54" s="12" t="s">
        <v>569</v>
      </c>
      <c r="D54" s="24">
        <f>0</f>
        <v>0</v>
      </c>
      <c r="E54" s="12" t="s">
        <v>614</v>
      </c>
      <c r="F54" s="12" t="s">
        <v>10</v>
      </c>
      <c r="G54" s="12" t="str">
        <f ca="1">_xlfn.FORMULATEXT(D54)</f>
        <v>=0</v>
      </c>
      <c r="H54" s="12"/>
    </row>
    <row r="55" spans="1:8" x14ac:dyDescent="0.45">
      <c r="B55" s="11" t="s">
        <v>616</v>
      </c>
      <c r="C55" s="12" t="s">
        <v>525</v>
      </c>
      <c r="D55" s="24">
        <f>0</f>
        <v>0</v>
      </c>
      <c r="E55" s="12" t="s">
        <v>614</v>
      </c>
      <c r="F55" s="12" t="s">
        <v>14</v>
      </c>
      <c r="G55" s="12" t="str">
        <f ca="1">_xlfn.FORMULATEXT(D55)</f>
        <v>=0</v>
      </c>
      <c r="H55" s="12"/>
    </row>
    <row r="56" spans="1:8" x14ac:dyDescent="0.45">
      <c r="B56" s="11" t="s">
        <v>617</v>
      </c>
      <c r="C56" s="12" t="s">
        <v>618</v>
      </c>
      <c r="D56" s="24">
        <f>0</f>
        <v>0</v>
      </c>
      <c r="E56" s="12" t="s">
        <v>619</v>
      </c>
      <c r="F56" s="12" t="s">
        <v>18</v>
      </c>
      <c r="G56" s="12" t="str">
        <f ca="1">_xlfn.FORMULATEXT(D56)</f>
        <v>=0</v>
      </c>
      <c r="H56" s="12"/>
    </row>
    <row r="57" spans="1:8" x14ac:dyDescent="0.45">
      <c r="A57" s="14" t="s">
        <v>620</v>
      </c>
      <c r="B57" s="15"/>
      <c r="C57" s="15"/>
      <c r="D57" s="15"/>
      <c r="E57" s="15"/>
      <c r="F57" s="15"/>
      <c r="G57" s="15"/>
      <c r="H57" s="15"/>
    </row>
    <row r="58" spans="1:8" x14ac:dyDescent="0.45">
      <c r="B58" s="11" t="s">
        <v>621</v>
      </c>
      <c r="C58" s="12" t="s">
        <v>622</v>
      </c>
      <c r="D58" s="23">
        <f>al_anode_net*(1-al_anode_s-al_anode_ash)*c_to_co2</f>
        <v>1.5734930447090167</v>
      </c>
      <c r="E58" s="12" t="s">
        <v>303</v>
      </c>
      <c r="F58" s="12"/>
      <c r="G58" s="12" t="str">
        <f ca="1">_xlfn.FORMULATEXT(D58)</f>
        <v>=al_anode_net*(1-al_anode_s-al_anode_ash)*c_to_co2</v>
      </c>
      <c r="H58" s="12"/>
    </row>
    <row r="59" spans="1:8" x14ac:dyDescent="0.45">
      <c r="B59" s="11" t="s">
        <v>623</v>
      </c>
      <c r="C59" s="12" t="s">
        <v>624</v>
      </c>
      <c r="D59" s="24">
        <f>al_anode_co2+al_bake_np</f>
        <v>1.6234930447090168</v>
      </c>
      <c r="E59" s="12" t="s">
        <v>303</v>
      </c>
      <c r="F59" s="12" t="s">
        <v>14</v>
      </c>
      <c r="G59" s="12" t="str">
        <f ca="1">_xlfn.FORMULATEXT(D59)</f>
        <v>=al_anode_co2+al_bake_np</v>
      </c>
      <c r="H59" s="12"/>
    </row>
    <row r="60" spans="1:8" x14ac:dyDescent="0.45">
      <c r="B60" s="11" t="s">
        <v>625</v>
      </c>
      <c r="C60" s="12" t="s">
        <v>626</v>
      </c>
      <c r="D60" s="24">
        <f>al_ng_total*ef_ng*oxf</f>
        <v>0.12342</v>
      </c>
      <c r="E60" s="12" t="s">
        <v>303</v>
      </c>
      <c r="F60" s="12" t="s">
        <v>6</v>
      </c>
      <c r="G60" s="12" t="str">
        <f ca="1">_xlfn.FORMULATEXT(D60)</f>
        <v>=al_ng_total*ef_ng*oxf</v>
      </c>
      <c r="H60" s="12"/>
    </row>
    <row r="61" spans="1:8" x14ac:dyDescent="0.45">
      <c r="B61" s="11" t="s">
        <v>627</v>
      </c>
      <c r="C61" s="12" t="s">
        <v>628</v>
      </c>
      <c r="D61" s="24">
        <f>0</f>
        <v>0</v>
      </c>
      <c r="E61" s="12" t="s">
        <v>303</v>
      </c>
      <c r="F61" s="12" t="s">
        <v>10</v>
      </c>
      <c r="G61" s="12" t="str">
        <f ca="1">_xlfn.FORMULATEXT(D61)</f>
        <v>=0</v>
      </c>
      <c r="H61" s="12"/>
    </row>
    <row r="62" spans="1:8" x14ac:dyDescent="0.45">
      <c r="B62" s="11" t="s">
        <v>629</v>
      </c>
      <c r="C62" s="12" t="s">
        <v>630</v>
      </c>
      <c r="D62" s="24">
        <f>(al_cf4*gwp_cf4+al_c2f6*gwp_c2f6)/1000</f>
        <v>0.77400000000000002</v>
      </c>
      <c r="E62" s="12" t="s">
        <v>631</v>
      </c>
      <c r="F62" s="12" t="s">
        <v>18</v>
      </c>
      <c r="G62" s="12" t="str">
        <f ca="1">_xlfn.FORMULATEXT(D62)</f>
        <v>=(al_cf4*gwp_cf4+al_c2f6*gwp_c2f6)/1000</v>
      </c>
      <c r="H62" s="12"/>
    </row>
  </sheetData>
  <mergeCells count="1">
    <mergeCell ref="A2:H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4"/>
  <sheetViews>
    <sheetView workbookViewId="0"/>
  </sheetViews>
  <sheetFormatPr defaultRowHeight="14.25" x14ac:dyDescent="0.45"/>
  <cols>
    <col min="1" max="1" width="26" customWidth="1"/>
    <col min="2" max="2" width="13" customWidth="1"/>
    <col min="3" max="3" width="16" customWidth="1"/>
    <col min="4" max="8" width="10" customWidth="1"/>
    <col min="9" max="9" width="34" customWidth="1"/>
    <col min="10" max="23" width="10" customWidth="1"/>
  </cols>
  <sheetData>
    <row r="1" spans="1:24" ht="17.649999999999999" x14ac:dyDescent="0.5">
      <c r="A1" s="1" t="s">
        <v>632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45" customHeight="1" x14ac:dyDescent="0.45">
      <c r="A2" s="36" t="s">
        <v>633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4" spans="1:24" ht="39.4" x14ac:dyDescent="0.45">
      <c r="A4" s="10" t="s">
        <v>634</v>
      </c>
      <c r="B4" s="10" t="s">
        <v>152</v>
      </c>
      <c r="C4" s="10" t="s">
        <v>635</v>
      </c>
      <c r="D4" s="10" t="s">
        <v>636</v>
      </c>
      <c r="E4" s="10" t="s">
        <v>637</v>
      </c>
      <c r="F4" s="10" t="s">
        <v>638</v>
      </c>
      <c r="G4" s="10" t="s">
        <v>639</v>
      </c>
      <c r="H4" s="10" t="s">
        <v>640</v>
      </c>
      <c r="I4" s="10" t="s">
        <v>641</v>
      </c>
      <c r="J4" s="10" t="s">
        <v>642</v>
      </c>
      <c r="K4" s="10" t="s">
        <v>643</v>
      </c>
      <c r="L4" s="10" t="s">
        <v>644</v>
      </c>
      <c r="M4" s="10" t="s">
        <v>645</v>
      </c>
      <c r="N4" s="10" t="s">
        <v>646</v>
      </c>
      <c r="O4" s="10" t="s">
        <v>647</v>
      </c>
      <c r="P4" s="10" t="s">
        <v>648</v>
      </c>
      <c r="Q4" s="10" t="s">
        <v>649</v>
      </c>
      <c r="R4" s="10" t="s">
        <v>650</v>
      </c>
      <c r="S4" s="10" t="s">
        <v>651</v>
      </c>
      <c r="T4" s="10" t="s">
        <v>652</v>
      </c>
      <c r="U4" s="10" t="s">
        <v>653</v>
      </c>
      <c r="V4" s="10" t="s">
        <v>654</v>
      </c>
      <c r="W4" s="10" t="s">
        <v>655</v>
      </c>
      <c r="X4" s="10" t="s">
        <v>656</v>
      </c>
    </row>
    <row r="5" spans="1:24" x14ac:dyDescent="0.45">
      <c r="A5" s="17" t="s">
        <v>657</v>
      </c>
      <c r="B5" s="17" t="s">
        <v>658</v>
      </c>
      <c r="C5" s="17" t="s">
        <v>659</v>
      </c>
      <c r="D5" s="25">
        <f>dri_per_steel*ef_dri_fc+1*ef_eafd_fc</f>
        <v>0.17797724999999998</v>
      </c>
      <c r="E5" s="25">
        <f>dri_per_steel*ef_dri_fp+1*ef_eafd_fp</f>
        <v>0.3930135183789859</v>
      </c>
      <c r="F5" s="25">
        <f>dri_per_steel*ef_dri_np+1*ef_eafd_np</f>
        <v>3.7901015402547665E-2</v>
      </c>
      <c r="G5" s="25">
        <f>dri_per_steel*ef_dri_no+1*ef_eafd_no</f>
        <v>0</v>
      </c>
      <c r="H5" s="25">
        <f t="shared" ref="H5:H12" si="0">SUM(D5:G5)</f>
        <v>0.60889178378153352</v>
      </c>
      <c r="I5" s="17" t="s">
        <v>183</v>
      </c>
      <c r="J5" s="19">
        <f>0</f>
        <v>0</v>
      </c>
      <c r="K5" s="19">
        <f>0</f>
        <v>0</v>
      </c>
      <c r="L5" s="19">
        <f>0</f>
        <v>0</v>
      </c>
      <c r="M5" s="19">
        <f>0</f>
        <v>0</v>
      </c>
      <c r="N5" s="19">
        <f t="shared" ref="N5:N12" si="1">H5+SUM(J5:M5)</f>
        <v>0.60889178378153352</v>
      </c>
      <c r="O5" s="26">
        <v>0.12903000000000001</v>
      </c>
      <c r="P5" s="26">
        <v>0.56100000000000005</v>
      </c>
      <c r="Q5" s="26">
        <v>0.04</v>
      </c>
      <c r="R5" s="26">
        <v>0</v>
      </c>
      <c r="S5" s="26">
        <v>0</v>
      </c>
      <c r="T5" s="19">
        <f t="shared" ref="T5:T12" si="2">SUM(O5:S5)</f>
        <v>0.73003000000000007</v>
      </c>
      <c r="U5" s="19">
        <f t="shared" ref="U5:U12" si="3">H5-SUM(O5:R5)</f>
        <v>-0.12113821621846654</v>
      </c>
      <c r="V5" s="27">
        <v>1.82</v>
      </c>
      <c r="W5" s="28">
        <f t="shared" ref="W5:W12" si="4">IF(V5&gt;0,N5/V5,"")</f>
        <v>0.33455592515468874</v>
      </c>
      <c r="X5" s="27">
        <v>0.48099999999999998</v>
      </c>
    </row>
    <row r="6" spans="1:24" x14ac:dyDescent="0.45">
      <c r="A6" s="17" t="s">
        <v>660</v>
      </c>
      <c r="B6" s="17" t="s">
        <v>658</v>
      </c>
      <c r="C6" s="17" t="s">
        <v>661</v>
      </c>
      <c r="D6" s="25">
        <f>1*ef_eafs_fc</f>
        <v>4.4880000000000003E-2</v>
      </c>
      <c r="E6" s="25">
        <f>1*ef_eafs_fp</f>
        <v>0</v>
      </c>
      <c r="F6" s="25">
        <f>1*ef_eafs_np</f>
        <v>4.3981153159603693E-2</v>
      </c>
      <c r="G6" s="25">
        <f>1*ef_eafs_no</f>
        <v>0</v>
      </c>
      <c r="H6" s="25">
        <f t="shared" si="0"/>
        <v>8.886115315960369E-2</v>
      </c>
      <c r="I6" s="17" t="s">
        <v>183</v>
      </c>
      <c r="J6" s="19">
        <f>0</f>
        <v>0</v>
      </c>
      <c r="K6" s="19">
        <f>0</f>
        <v>0</v>
      </c>
      <c r="L6" s="19">
        <f>0</f>
        <v>0</v>
      </c>
      <c r="M6" s="19">
        <f>0</f>
        <v>0</v>
      </c>
      <c r="N6" s="19">
        <f t="shared" si="1"/>
        <v>8.886115315960369E-2</v>
      </c>
      <c r="O6" s="26">
        <v>0.14025000000000001</v>
      </c>
      <c r="P6" s="26">
        <v>0</v>
      </c>
      <c r="Q6" s="26">
        <v>1.4999999999999999E-2</v>
      </c>
      <c r="R6" s="26">
        <v>0</v>
      </c>
      <c r="S6" s="26">
        <v>0</v>
      </c>
      <c r="T6" s="19">
        <f t="shared" si="2"/>
        <v>0.15525</v>
      </c>
      <c r="U6" s="19">
        <f t="shared" si="3"/>
        <v>-6.6388846840396309E-2</v>
      </c>
      <c r="V6" s="27">
        <v>0.72</v>
      </c>
      <c r="W6" s="28">
        <f t="shared" si="4"/>
        <v>0.12341826827722735</v>
      </c>
      <c r="X6" s="27">
        <v>7.1999999999999995E-2</v>
      </c>
    </row>
    <row r="7" spans="1:24" x14ac:dyDescent="0.45">
      <c r="A7" s="27" t="s">
        <v>662</v>
      </c>
      <c r="B7" s="27" t="s">
        <v>658</v>
      </c>
      <c r="C7" s="27" t="s">
        <v>663</v>
      </c>
      <c r="D7" s="25">
        <f>1*ef_bof_fc</f>
        <v>0.16830000000000001</v>
      </c>
      <c r="E7" s="25">
        <f>1*ef_bof_fp</f>
        <v>1.2566802743318624</v>
      </c>
      <c r="F7" s="25">
        <f>1*ef_bof_np</f>
        <v>5.2765421737305911E-2</v>
      </c>
      <c r="G7" s="25">
        <f>1*ef_bof_no</f>
        <v>0</v>
      </c>
      <c r="H7" s="25">
        <f t="shared" si="0"/>
        <v>1.4777456960691682</v>
      </c>
      <c r="I7" s="17" t="s">
        <v>183</v>
      </c>
      <c r="J7" s="19">
        <f>0</f>
        <v>0</v>
      </c>
      <c r="K7" s="19">
        <f>0</f>
        <v>0</v>
      </c>
      <c r="L7" s="19">
        <f>0</f>
        <v>0</v>
      </c>
      <c r="M7" s="19">
        <f>0</f>
        <v>0</v>
      </c>
      <c r="N7" s="19">
        <f t="shared" si="1"/>
        <v>1.4777456960691682</v>
      </c>
      <c r="O7" s="26">
        <v>0.38440000000000002</v>
      </c>
      <c r="P7" s="26">
        <v>1.5376000000000001</v>
      </c>
      <c r="Q7" s="26">
        <v>0.25</v>
      </c>
      <c r="R7" s="26">
        <v>0</v>
      </c>
      <c r="S7" s="26">
        <v>0</v>
      </c>
      <c r="T7" s="19">
        <f t="shared" si="2"/>
        <v>2.1720000000000002</v>
      </c>
      <c r="U7" s="19">
        <f t="shared" si="3"/>
        <v>-0.69425430393083198</v>
      </c>
      <c r="V7" s="27">
        <v>2.8</v>
      </c>
      <c r="W7" s="28">
        <f t="shared" si="4"/>
        <v>0.52776632002470292</v>
      </c>
      <c r="X7" s="27">
        <v>1.37</v>
      </c>
    </row>
    <row r="8" spans="1:24" x14ac:dyDescent="0.45">
      <c r="A8" s="17" t="s">
        <v>664</v>
      </c>
      <c r="B8" s="17" t="s">
        <v>665</v>
      </c>
      <c r="C8" s="17" t="s">
        <v>666</v>
      </c>
      <c r="D8" s="25">
        <f>1*ef_clk_fc</f>
        <v>0.31356850000000003</v>
      </c>
      <c r="E8" s="25">
        <f>1*ef_clk_fp</f>
        <v>0</v>
      </c>
      <c r="F8" s="25">
        <f>1*ef_clk_np</f>
        <v>0.53702615873542825</v>
      </c>
      <c r="G8" s="25">
        <f>1*ef_clk_no</f>
        <v>0</v>
      </c>
      <c r="H8" s="25">
        <f t="shared" si="0"/>
        <v>0.85059465873542828</v>
      </c>
      <c r="I8" s="17" t="s">
        <v>183</v>
      </c>
      <c r="J8" s="19">
        <f>0</f>
        <v>0</v>
      </c>
      <c r="K8" s="19">
        <f>0</f>
        <v>0</v>
      </c>
      <c r="L8" s="19">
        <f>0</f>
        <v>0</v>
      </c>
      <c r="M8" s="19">
        <f>0</f>
        <v>0</v>
      </c>
      <c r="N8" s="19">
        <f t="shared" si="1"/>
        <v>0.85059465873542828</v>
      </c>
      <c r="O8" s="26">
        <v>0.2883</v>
      </c>
      <c r="P8" s="26">
        <v>0</v>
      </c>
      <c r="Q8" s="26">
        <v>0.52600000000000002</v>
      </c>
      <c r="R8" s="26">
        <v>0</v>
      </c>
      <c r="S8" s="26">
        <v>0</v>
      </c>
      <c r="T8" s="19">
        <f t="shared" si="2"/>
        <v>0.81430000000000002</v>
      </c>
      <c r="U8" s="19">
        <f t="shared" si="3"/>
        <v>3.6294658735428253E-2</v>
      </c>
      <c r="V8" s="27">
        <v>1.58</v>
      </c>
      <c r="W8" s="28">
        <f t="shared" si="4"/>
        <v>0.53835104983254956</v>
      </c>
      <c r="X8" s="27">
        <v>0.66600000000000004</v>
      </c>
    </row>
    <row r="9" spans="1:24" x14ac:dyDescent="0.45">
      <c r="A9" s="17" t="s">
        <v>667</v>
      </c>
      <c r="B9" s="17" t="s">
        <v>668</v>
      </c>
      <c r="C9" s="17" t="s">
        <v>669</v>
      </c>
      <c r="D9" s="25">
        <f>1*ef_nh3_fc</f>
        <v>0.71247000000000016</v>
      </c>
      <c r="E9" s="25">
        <f>1*ef_nh3_fp</f>
        <v>1.2622499999999999</v>
      </c>
      <c r="F9" s="25">
        <f>1*ef_nh3_np</f>
        <v>0</v>
      </c>
      <c r="G9" s="25">
        <f>1*ef_nh3_no</f>
        <v>0</v>
      </c>
      <c r="H9" s="25">
        <f t="shared" si="0"/>
        <v>1.97472</v>
      </c>
      <c r="I9" s="17" t="s">
        <v>183</v>
      </c>
      <c r="J9" s="19">
        <f>0</f>
        <v>0</v>
      </c>
      <c r="K9" s="19">
        <f>0</f>
        <v>0</v>
      </c>
      <c r="L9" s="19">
        <f>0</f>
        <v>0</v>
      </c>
      <c r="M9" s="19">
        <f>0</f>
        <v>0</v>
      </c>
      <c r="N9" s="19">
        <f t="shared" si="1"/>
        <v>1.97472</v>
      </c>
      <c r="O9" s="26">
        <v>0.39269999999999999</v>
      </c>
      <c r="P9" s="26">
        <v>1.4585999999999999</v>
      </c>
      <c r="Q9" s="26">
        <v>0</v>
      </c>
      <c r="R9" s="26">
        <v>0</v>
      </c>
      <c r="S9" s="26">
        <v>0</v>
      </c>
      <c r="T9" s="19">
        <f t="shared" si="2"/>
        <v>1.8512999999999999</v>
      </c>
      <c r="U9" s="19">
        <f t="shared" si="3"/>
        <v>0.12342000000000009</v>
      </c>
      <c r="V9" s="27">
        <v>2.0499999999999998</v>
      </c>
      <c r="W9" s="28">
        <f t="shared" si="4"/>
        <v>0.96327804878048795</v>
      </c>
      <c r="X9" s="27">
        <v>1.484</v>
      </c>
    </row>
    <row r="10" spans="1:24" x14ac:dyDescent="0.45">
      <c r="A10" s="17" t="s">
        <v>501</v>
      </c>
      <c r="B10" s="17" t="s">
        <v>670</v>
      </c>
      <c r="C10" s="17" t="s">
        <v>671</v>
      </c>
      <c r="D10" s="25">
        <f>1*ef_urea_fc</f>
        <v>0.11219999999999999</v>
      </c>
      <c r="E10" s="25">
        <f>1*ef_urea_fp</f>
        <v>0</v>
      </c>
      <c r="F10" s="25">
        <f>1*ef_urea_np</f>
        <v>0</v>
      </c>
      <c r="G10" s="25">
        <f>1*ef_urea_no</f>
        <v>0</v>
      </c>
      <c r="H10" s="25">
        <f t="shared" si="0"/>
        <v>0.11219999999999999</v>
      </c>
      <c r="I10" s="17" t="s">
        <v>672</v>
      </c>
      <c r="J10" s="19">
        <f>urea_nh3_in*ef_nh3_fc</f>
        <v>0.40610790000000008</v>
      </c>
      <c r="K10" s="19">
        <f>urea_nh3_in*ef_nh3_fp</f>
        <v>0.71948249999999991</v>
      </c>
      <c r="L10" s="19">
        <f>urea_nh3_in*ef_nh3_np</f>
        <v>0</v>
      </c>
      <c r="M10" s="19">
        <f>urea_nh3_in*ef_nh3_no</f>
        <v>0</v>
      </c>
      <c r="N10" s="19">
        <f t="shared" si="1"/>
        <v>1.2377904000000002</v>
      </c>
      <c r="O10" s="26">
        <v>0.11219999999999999</v>
      </c>
      <c r="P10" s="26">
        <v>0</v>
      </c>
      <c r="Q10" s="26">
        <v>-0.73299999999999998</v>
      </c>
      <c r="R10" s="26">
        <v>0</v>
      </c>
      <c r="S10" s="26">
        <v>1.0709496000000001</v>
      </c>
      <c r="T10" s="19">
        <f t="shared" si="2"/>
        <v>0.45014960000000004</v>
      </c>
      <c r="U10" s="19">
        <f t="shared" si="3"/>
        <v>0.73299999999999998</v>
      </c>
      <c r="V10" s="27">
        <v>1.39</v>
      </c>
      <c r="W10" s="28">
        <f t="shared" si="4"/>
        <v>0.89049669064748216</v>
      </c>
      <c r="X10" s="27">
        <v>0.90200000000000002</v>
      </c>
    </row>
    <row r="11" spans="1:24" x14ac:dyDescent="0.45">
      <c r="A11" s="17" t="s">
        <v>504</v>
      </c>
      <c r="B11" s="17" t="s">
        <v>673</v>
      </c>
      <c r="C11" s="17" t="s">
        <v>674</v>
      </c>
      <c r="D11" s="25">
        <f>1*ef_an_fc</f>
        <v>0.11219999999999999</v>
      </c>
      <c r="E11" s="25">
        <f>1*ef_an_fp</f>
        <v>0</v>
      </c>
      <c r="F11" s="25">
        <f>1*ef_an_np</f>
        <v>0</v>
      </c>
      <c r="G11" s="25">
        <f>1*ef_an_no</f>
        <v>0</v>
      </c>
      <c r="H11" s="25">
        <f t="shared" si="0"/>
        <v>0.11219999999999999</v>
      </c>
      <c r="I11" s="17" t="s">
        <v>675</v>
      </c>
      <c r="J11" s="19">
        <f>an_hno3_in*ef_hno3_fc+an_nh3_in*ef_nh3_fc+an_hno3_in*nh3_per_hno3_st*ef_nh3_fc</f>
        <v>0.30530954124452492</v>
      </c>
      <c r="K11" s="19">
        <f>an_hno3_in*ef_hno3_fp+an_nh3_in*ef_nh3_fp+an_hno3_in*nh3_per_hno3_st*ef_nh3_fp</f>
        <v>0.54090273055132343</v>
      </c>
      <c r="L11" s="19">
        <f>an_hno3_in*ef_hno3_np+an_nh3_in*ef_nh3_np+an_hno3_in*nh3_per_hno3_st*ef_nh3_np</f>
        <v>0</v>
      </c>
      <c r="M11" s="19">
        <f>an_hno3_in*ef_hno3_no+an_nh3_in*ef_nh3_no+an_hno3_in*nh3_per_hno3_st*ef_nh3_no</f>
        <v>0.99441250000000003</v>
      </c>
      <c r="N11" s="19">
        <f t="shared" si="1"/>
        <v>1.9528247717958485</v>
      </c>
      <c r="O11" s="26">
        <v>0.11219999999999999</v>
      </c>
      <c r="P11" s="26">
        <v>0</v>
      </c>
      <c r="Q11" s="26">
        <v>0</v>
      </c>
      <c r="R11" s="26">
        <v>0.97</v>
      </c>
      <c r="S11" s="26">
        <v>0.40137</v>
      </c>
      <c r="T11" s="19">
        <f t="shared" si="2"/>
        <v>1.4835700000000001</v>
      </c>
      <c r="U11" s="19">
        <f t="shared" si="3"/>
        <v>-0.97000000000000008</v>
      </c>
      <c r="V11" s="27">
        <v>2.64</v>
      </c>
      <c r="W11" s="28">
        <f t="shared" si="4"/>
        <v>0.73970635295297282</v>
      </c>
      <c r="X11" s="27">
        <v>0.30199999999999999</v>
      </c>
    </row>
    <row r="12" spans="1:24" x14ac:dyDescent="0.45">
      <c r="A12" s="17" t="s">
        <v>506</v>
      </c>
      <c r="B12" s="17" t="s">
        <v>676</v>
      </c>
      <c r="C12" s="17" t="s">
        <v>677</v>
      </c>
      <c r="D12" s="25">
        <f>1*ef_al_fc</f>
        <v>0.12342</v>
      </c>
      <c r="E12" s="25">
        <f>1*ef_al_fp</f>
        <v>0</v>
      </c>
      <c r="F12" s="25">
        <f>1*ef_al_np</f>
        <v>1.6234930447090168</v>
      </c>
      <c r="G12" s="25">
        <f>1*ef_al_no</f>
        <v>0.77400000000000002</v>
      </c>
      <c r="H12" s="25">
        <f t="shared" si="0"/>
        <v>2.5209130447090171</v>
      </c>
      <c r="I12" s="17" t="s">
        <v>183</v>
      </c>
      <c r="J12" s="19">
        <f>0</f>
        <v>0</v>
      </c>
      <c r="K12" s="19">
        <f>0</f>
        <v>0</v>
      </c>
      <c r="L12" s="19">
        <f>0</f>
        <v>0</v>
      </c>
      <c r="M12" s="19">
        <f>0</f>
        <v>0</v>
      </c>
      <c r="N12" s="19">
        <f t="shared" si="1"/>
        <v>2.5209130447090171</v>
      </c>
      <c r="O12" s="26">
        <v>0.156</v>
      </c>
      <c r="P12" s="26">
        <v>0</v>
      </c>
      <c r="Q12" s="26">
        <v>1.5</v>
      </c>
      <c r="R12" s="26">
        <v>0.85</v>
      </c>
      <c r="S12" s="26">
        <v>0</v>
      </c>
      <c r="T12" s="19">
        <f t="shared" si="2"/>
        <v>2.5059999999999998</v>
      </c>
      <c r="U12" s="19">
        <f t="shared" si="3"/>
        <v>1.4913044709017331E-2</v>
      </c>
      <c r="V12" s="27">
        <v>2.06</v>
      </c>
      <c r="W12" s="28">
        <f t="shared" si="4"/>
        <v>1.2237441964606879</v>
      </c>
      <c r="X12" s="27">
        <v>1.423</v>
      </c>
    </row>
    <row r="14" spans="1:24" x14ac:dyDescent="0.45">
      <c r="A14" s="29" t="s">
        <v>678</v>
      </c>
    </row>
  </sheetData>
  <mergeCells count="1">
    <mergeCell ref="A2:X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"/>
  <sheetViews>
    <sheetView workbookViewId="0"/>
  </sheetViews>
  <sheetFormatPr defaultRowHeight="14.25" x14ac:dyDescent="0.45"/>
  <cols>
    <col min="1" max="1" width="26" customWidth="1"/>
    <col min="2" max="2" width="13" customWidth="1"/>
    <col min="3" max="3" width="24" customWidth="1"/>
    <col min="4" max="7" width="9" customWidth="1"/>
    <col min="8" max="9" width="10" customWidth="1"/>
    <col min="10" max="10" width="11" customWidth="1"/>
    <col min="11" max="11" width="100" customWidth="1"/>
  </cols>
  <sheetData>
    <row r="1" spans="1:11" ht="17.649999999999999" x14ac:dyDescent="0.5">
      <c r="A1" s="1" t="s">
        <v>679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45" customHeight="1" x14ac:dyDescent="0.45">
      <c r="A2" s="36" t="s">
        <v>680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4" spans="1:11" ht="26.25" x14ac:dyDescent="0.45">
      <c r="A4" s="10" t="s">
        <v>634</v>
      </c>
      <c r="B4" s="10" t="s">
        <v>152</v>
      </c>
      <c r="C4" s="10" t="s">
        <v>681</v>
      </c>
      <c r="D4" s="10" t="s">
        <v>6</v>
      </c>
      <c r="E4" s="10" t="s">
        <v>10</v>
      </c>
      <c r="F4" s="10" t="s">
        <v>14</v>
      </c>
      <c r="G4" s="10" t="s">
        <v>18</v>
      </c>
      <c r="H4" s="10" t="s">
        <v>682</v>
      </c>
      <c r="I4" s="10" t="s">
        <v>683</v>
      </c>
      <c r="J4" s="10" t="s">
        <v>684</v>
      </c>
      <c r="K4" s="10" t="s">
        <v>685</v>
      </c>
    </row>
    <row r="5" spans="1:11" ht="25.5" x14ac:dyDescent="0.45">
      <c r="A5" s="12" t="s">
        <v>657</v>
      </c>
      <c r="B5" s="12" t="s">
        <v>658</v>
      </c>
      <c r="C5" s="12" t="s">
        <v>686</v>
      </c>
      <c r="D5" s="30">
        <f>Products!D5</f>
        <v>0.17797724999999998</v>
      </c>
      <c r="E5" s="30">
        <f>Products!E5</f>
        <v>0.3930135183789859</v>
      </c>
      <c r="F5" s="30">
        <f>Products!F5</f>
        <v>3.7901015402547665E-2</v>
      </c>
      <c r="G5" s="30">
        <f>Products!G5</f>
        <v>0</v>
      </c>
      <c r="H5" s="31">
        <f>Products!H5</f>
        <v>0.60889178378153352</v>
      </c>
      <c r="I5" s="31">
        <f>Products!N5</f>
        <v>0.60889178378153352</v>
      </c>
      <c r="J5" s="12" t="s">
        <v>327</v>
      </c>
      <c r="K5" s="12" t="s">
        <v>687</v>
      </c>
    </row>
    <row r="6" spans="1:11" x14ac:dyDescent="0.45">
      <c r="A6" s="12" t="s">
        <v>660</v>
      </c>
      <c r="B6" s="12" t="s">
        <v>658</v>
      </c>
      <c r="C6" s="12" t="s">
        <v>688</v>
      </c>
      <c r="D6" s="30">
        <f>Products!D6</f>
        <v>4.4880000000000003E-2</v>
      </c>
      <c r="E6" s="30">
        <f>Products!E6</f>
        <v>0</v>
      </c>
      <c r="F6" s="30">
        <f>Products!F6</f>
        <v>4.3981153159603693E-2</v>
      </c>
      <c r="G6" s="30">
        <f>Products!G6</f>
        <v>0</v>
      </c>
      <c r="H6" s="31">
        <f>Products!H6</f>
        <v>8.886115315960369E-2</v>
      </c>
      <c r="I6" s="31">
        <f>Products!N6</f>
        <v>8.886115315960369E-2</v>
      </c>
      <c r="J6" s="12" t="s">
        <v>327</v>
      </c>
      <c r="K6" s="12" t="s">
        <v>689</v>
      </c>
    </row>
    <row r="7" spans="1:11" x14ac:dyDescent="0.45">
      <c r="A7" s="32" t="s">
        <v>662</v>
      </c>
      <c r="B7" s="12" t="s">
        <v>658</v>
      </c>
      <c r="C7" s="12" t="s">
        <v>690</v>
      </c>
      <c r="D7" s="30">
        <f>Products!D7</f>
        <v>0.16830000000000001</v>
      </c>
      <c r="E7" s="30">
        <f>Products!E7</f>
        <v>1.2566802743318624</v>
      </c>
      <c r="F7" s="30">
        <f>Products!F7</f>
        <v>5.2765421737305911E-2</v>
      </c>
      <c r="G7" s="30">
        <f>Products!G7</f>
        <v>0</v>
      </c>
      <c r="H7" s="31">
        <f>Products!H7</f>
        <v>1.4777456960691682</v>
      </c>
      <c r="I7" s="31">
        <f>Products!N7</f>
        <v>1.4777456960691682</v>
      </c>
      <c r="J7" s="12" t="s">
        <v>360</v>
      </c>
      <c r="K7" s="12" t="s">
        <v>691</v>
      </c>
    </row>
    <row r="8" spans="1:11" x14ac:dyDescent="0.45">
      <c r="A8" s="12" t="s">
        <v>664</v>
      </c>
      <c r="B8" s="12" t="s">
        <v>665</v>
      </c>
      <c r="C8" s="12" t="s">
        <v>692</v>
      </c>
      <c r="D8" s="30">
        <f>Products!D8</f>
        <v>0.31356850000000003</v>
      </c>
      <c r="E8" s="30">
        <f>Products!E8</f>
        <v>0</v>
      </c>
      <c r="F8" s="30">
        <f>Products!F8</f>
        <v>0.53702615873542825</v>
      </c>
      <c r="G8" s="30">
        <f>Products!G8</f>
        <v>0</v>
      </c>
      <c r="H8" s="31">
        <f>Products!H8</f>
        <v>0.85059465873542828</v>
      </c>
      <c r="I8" s="31">
        <f>Products!N8</f>
        <v>0.85059465873542828</v>
      </c>
      <c r="J8" s="12" t="s">
        <v>327</v>
      </c>
      <c r="K8" s="12" t="s">
        <v>693</v>
      </c>
    </row>
    <row r="9" spans="1:11" x14ac:dyDescent="0.45">
      <c r="A9" s="12" t="s">
        <v>667</v>
      </c>
      <c r="B9" s="12" t="s">
        <v>668</v>
      </c>
      <c r="C9" s="12" t="s">
        <v>694</v>
      </c>
      <c r="D9" s="30">
        <f>Products!D9</f>
        <v>0.71247000000000016</v>
      </c>
      <c r="E9" s="30">
        <f>Products!E9</f>
        <v>1.2622499999999999</v>
      </c>
      <c r="F9" s="30">
        <f>Products!F9</f>
        <v>0</v>
      </c>
      <c r="G9" s="30">
        <f>Products!G9</f>
        <v>0</v>
      </c>
      <c r="H9" s="31">
        <f>Products!H9</f>
        <v>1.97472</v>
      </c>
      <c r="I9" s="31">
        <f>Products!N9</f>
        <v>1.97472</v>
      </c>
      <c r="J9" s="12" t="s">
        <v>327</v>
      </c>
      <c r="K9" s="12" t="s">
        <v>695</v>
      </c>
    </row>
    <row r="10" spans="1:11" x14ac:dyDescent="0.45">
      <c r="A10" s="12" t="s">
        <v>501</v>
      </c>
      <c r="B10" s="12" t="s">
        <v>670</v>
      </c>
      <c r="C10" s="12" t="s">
        <v>696</v>
      </c>
      <c r="D10" s="30">
        <f>Products!D10</f>
        <v>0.11219999999999999</v>
      </c>
      <c r="E10" s="30">
        <f>Products!E10</f>
        <v>0</v>
      </c>
      <c r="F10" s="30">
        <f>Products!F10</f>
        <v>0</v>
      </c>
      <c r="G10" s="30">
        <f>Products!G10</f>
        <v>0</v>
      </c>
      <c r="H10" s="31">
        <f>Products!H10</f>
        <v>0.11219999999999999</v>
      </c>
      <c r="I10" s="31">
        <f>Products!N10</f>
        <v>1.2377904000000002</v>
      </c>
      <c r="J10" s="12" t="s">
        <v>327</v>
      </c>
      <c r="K10" s="12" t="s">
        <v>697</v>
      </c>
    </row>
    <row r="11" spans="1:11" x14ac:dyDescent="0.45">
      <c r="A11" s="12" t="s">
        <v>504</v>
      </c>
      <c r="B11" s="12" t="s">
        <v>673</v>
      </c>
      <c r="C11" s="12" t="s">
        <v>698</v>
      </c>
      <c r="D11" s="30">
        <f>Products!D11</f>
        <v>0.11219999999999999</v>
      </c>
      <c r="E11" s="30">
        <f>Products!E11</f>
        <v>0</v>
      </c>
      <c r="F11" s="30">
        <f>Products!F11</f>
        <v>0</v>
      </c>
      <c r="G11" s="30">
        <f>Products!G11</f>
        <v>0</v>
      </c>
      <c r="H11" s="31">
        <f>Products!H11</f>
        <v>0.11219999999999999</v>
      </c>
      <c r="I11" s="31">
        <f>Products!N11</f>
        <v>1.9528247717958485</v>
      </c>
      <c r="J11" s="12" t="s">
        <v>327</v>
      </c>
      <c r="K11" s="12" t="s">
        <v>699</v>
      </c>
    </row>
    <row r="12" spans="1:11" x14ac:dyDescent="0.45">
      <c r="A12" s="12" t="s">
        <v>506</v>
      </c>
      <c r="B12" s="12" t="s">
        <v>676</v>
      </c>
      <c r="C12" s="12" t="s">
        <v>700</v>
      </c>
      <c r="D12" s="30">
        <f>Products!D12</f>
        <v>0.12342</v>
      </c>
      <c r="E12" s="30">
        <f>Products!E12</f>
        <v>0</v>
      </c>
      <c r="F12" s="30">
        <f>Products!F12</f>
        <v>1.6234930447090168</v>
      </c>
      <c r="G12" s="30">
        <f>Products!G12</f>
        <v>0.77400000000000002</v>
      </c>
      <c r="H12" s="31">
        <f>Products!H12</f>
        <v>2.5209130447090171</v>
      </c>
      <c r="I12" s="31">
        <f>Products!N12</f>
        <v>2.5209130447090171</v>
      </c>
      <c r="J12" s="12" t="s">
        <v>327</v>
      </c>
      <c r="K12" s="12" t="s">
        <v>701</v>
      </c>
    </row>
    <row r="14" spans="1:11" x14ac:dyDescent="0.45">
      <c r="A14" s="33" t="s">
        <v>702</v>
      </c>
      <c r="C14" s="29" t="str">
        <f>"GWP set: "&amp;gwp_set&amp;"; urea bound CO2: "&amp;urea_conv&amp;"; reference year: "&amp;ref_year</f>
        <v>GWP set: CBAM; urea bound CO2: CBAM; reference year: 2022</v>
      </c>
    </row>
    <row r="15" spans="1:11" x14ac:dyDescent="0.45">
      <c r="A15" s="33" t="s">
        <v>703</v>
      </c>
      <c r="C15" s="34">
        <f>clk_cement_memo</f>
        <v>0.723005459925114</v>
      </c>
      <c r="D15" s="29" t="str">
        <f>"tCO2/t cement at clinker ratio "&amp;TEXT(clk_ratio,"0.00")&amp;" (fc + np of clinker only)"</f>
        <v>tCO2/t cement at clinker ratio 0.85 (fc + np of clinker only)</v>
      </c>
    </row>
  </sheetData>
  <mergeCells count="1">
    <mergeCell ref="A2:K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workbookViewId="0"/>
  </sheetViews>
  <sheetFormatPr defaultRowHeight="14.25" x14ac:dyDescent="0.45"/>
  <cols>
    <col min="1" max="1" width="4" customWidth="1"/>
    <col min="2" max="2" width="70" customWidth="1"/>
    <col min="3" max="3" width="16" customWidth="1"/>
    <col min="4" max="4" width="10" customWidth="1"/>
    <col min="5" max="5" width="80" customWidth="1"/>
  </cols>
  <sheetData>
    <row r="1" spans="1:5" ht="17.649999999999999" x14ac:dyDescent="0.5">
      <c r="A1" s="1" t="s">
        <v>38</v>
      </c>
      <c r="B1" s="2"/>
      <c r="C1" s="2"/>
      <c r="D1" s="2"/>
      <c r="E1" s="2"/>
    </row>
    <row r="2" spans="1:5" ht="45" customHeight="1" x14ac:dyDescent="0.45">
      <c r="A2" s="36" t="s">
        <v>704</v>
      </c>
      <c r="B2" s="37"/>
      <c r="C2" s="37"/>
      <c r="D2" s="37"/>
      <c r="E2" s="37"/>
    </row>
    <row r="4" spans="1:5" x14ac:dyDescent="0.45">
      <c r="A4" s="10" t="s">
        <v>705</v>
      </c>
      <c r="B4" s="10" t="s">
        <v>706</v>
      </c>
      <c r="C4" s="10" t="s">
        <v>133</v>
      </c>
      <c r="D4" s="10" t="s">
        <v>707</v>
      </c>
      <c r="E4" s="10" t="s">
        <v>135</v>
      </c>
    </row>
    <row r="5" spans="1:5" x14ac:dyDescent="0.45">
      <c r="A5" s="12">
        <v>1</v>
      </c>
      <c r="B5" s="12" t="s">
        <v>708</v>
      </c>
      <c r="C5" s="23">
        <f>dri_check</f>
        <v>0</v>
      </c>
      <c r="D5" s="22" t="str">
        <f>IF(ABS(C5)&lt;0.000000001,"OK","FAIL")</f>
        <v>OK</v>
      </c>
      <c r="E5" s="12"/>
    </row>
    <row r="6" spans="1:5" x14ac:dyDescent="0.45">
      <c r="A6" s="12">
        <v>2</v>
      </c>
      <c r="B6" s="12" t="s">
        <v>709</v>
      </c>
      <c r="C6" s="23">
        <f>clk_sh_coal+clk_sh_petcoke+clk_sh_ng+clk_sh_hfo+clk_sh_af</f>
        <v>1.0000000000000002</v>
      </c>
      <c r="D6" s="22" t="str">
        <f>IF(ABS(C6-1)&lt;0.000000001,"OK","FAIL")</f>
        <v>OK</v>
      </c>
      <c r="E6" s="12"/>
    </row>
    <row r="7" spans="1:5" x14ac:dyDescent="0.45">
      <c r="A7" s="12">
        <v>3</v>
      </c>
      <c r="B7" s="12" t="s">
        <v>710</v>
      </c>
      <c r="C7" s="23">
        <f>nh3_ng_total-nh3_ng_feed</f>
        <v>12.700000000000003</v>
      </c>
      <c r="D7" s="22" t="str">
        <f>IF(C7&gt;=0,"OK","FAIL")</f>
        <v>OK</v>
      </c>
      <c r="E7" s="12" t="s">
        <v>711</v>
      </c>
    </row>
    <row r="8" spans="1:5" x14ac:dyDescent="0.45">
      <c r="A8" s="12">
        <v>4</v>
      </c>
      <c r="B8" s="12" t="s">
        <v>712</v>
      </c>
      <c r="C8" s="23">
        <f>dri_feed_share</f>
        <v>0.75</v>
      </c>
      <c r="D8" s="22" t="str">
        <f>IF(AND(C8&gt;=0,C8&lt;=1),"OK","FAIL")</f>
        <v>OK</v>
      </c>
      <c r="E8" s="12"/>
    </row>
    <row r="9" spans="1:5" x14ac:dyDescent="0.45">
      <c r="A9" s="12">
        <v>5</v>
      </c>
      <c r="B9" s="12" t="s">
        <v>713</v>
      </c>
      <c r="C9" s="23" t="str">
        <f>gwp_set</f>
        <v>CBAM</v>
      </c>
      <c r="D9" s="22" t="str">
        <f>IF(OR(C9="CBAM",C9="AR6"),"OK","FAIL")</f>
        <v>OK</v>
      </c>
      <c r="E9" s="12"/>
    </row>
    <row r="10" spans="1:5" x14ac:dyDescent="0.45">
      <c r="A10" s="12">
        <v>6</v>
      </c>
      <c r="B10" s="12" t="s">
        <v>714</v>
      </c>
      <c r="C10" s="23" t="str">
        <f>urea_conv</f>
        <v>CBAM</v>
      </c>
      <c r="D10" s="22" t="str">
        <f>IF(OR(C10="CBAM",C10="IPCC"),"OK","FAIL")</f>
        <v>OK</v>
      </c>
      <c r="E10" s="12"/>
    </row>
    <row r="11" spans="1:5" x14ac:dyDescent="0.45">
      <c r="A11" s="12">
        <v>7</v>
      </c>
      <c r="B11" s="12" t="s">
        <v>715</v>
      </c>
      <c r="C11" s="23">
        <f>SUMPRODUCT(ABS(Products!H5:H12-Products!D5:D12-Products!E5:E12-Products!F5:F12-Products!G5:G12))</f>
        <v>4.7878367936959876E-16</v>
      </c>
      <c r="D11" s="22" t="str">
        <f>IF(C11&lt;0.000000001,"OK","FAIL")</f>
        <v>OK</v>
      </c>
      <c r="E11" s="12"/>
    </row>
    <row r="12" spans="1:5" x14ac:dyDescent="0.45">
      <c r="A12" s="12">
        <v>8</v>
      </c>
      <c r="B12" s="12" t="s">
        <v>716</v>
      </c>
      <c r="C12" s="23">
        <f>MIN(Products!D5:G12)+IF(urea_conv="IPCC",co2_per_urea,0)</f>
        <v>0</v>
      </c>
      <c r="D12" s="22" t="str">
        <f>IF(C12&gt;=-0.000000001,"OK","FAIL")</f>
        <v>OK</v>
      </c>
      <c r="E12" s="12"/>
    </row>
    <row r="13" spans="1:5" ht="25.5" x14ac:dyDescent="0.45">
      <c r="A13" s="12">
        <v>9</v>
      </c>
      <c r="B13" s="12" t="s">
        <v>717</v>
      </c>
      <c r="C13" s="23">
        <f>Products!H9</f>
        <v>1.97472</v>
      </c>
      <c r="D13" s="22" t="str">
        <f>IF(AND(C13&gt;=ipcc_nh3_conv*0.95,C13&lt;=ipcc_nh3_euavg*1.05),"OK","REVIEW")</f>
        <v>OK</v>
      </c>
      <c r="E13" s="12" t="s">
        <v>718</v>
      </c>
    </row>
    <row r="14" spans="1:5" x14ac:dyDescent="0.45">
      <c r="A14" s="12">
        <v>10</v>
      </c>
      <c r="B14" s="12" t="s">
        <v>719</v>
      </c>
      <c r="C14" s="23">
        <f>ef_clk_np</f>
        <v>0.53702615873542825</v>
      </c>
      <c r="D14" s="22" t="str">
        <f>IF(AND(C14&gt;=0.5,C14&lt;=0.55),"OK","REVIEW")</f>
        <v>OK</v>
      </c>
      <c r="E14" s="12"/>
    </row>
    <row r="15" spans="1:5" x14ac:dyDescent="0.45">
      <c r="A15" s="12">
        <v>11</v>
      </c>
      <c r="B15" s="12" t="s">
        <v>720</v>
      </c>
      <c r="C15" s="23">
        <f>ef_al_np</f>
        <v>1.6234930447090168</v>
      </c>
      <c r="D15" s="22" t="str">
        <f>IF(AND(C15&gt;=1.45,C15&lt;=1.75),"OK","REVIEW")</f>
        <v>OK</v>
      </c>
      <c r="E15" s="12"/>
    </row>
    <row r="16" spans="1:5" x14ac:dyDescent="0.45">
      <c r="A16" s="12">
        <v>12</v>
      </c>
      <c r="B16" s="12" t="s">
        <v>721</v>
      </c>
      <c r="C16" s="23">
        <f>dri_co2_total/ipcc_dri_t1</f>
        <v>0.84150000000000003</v>
      </c>
      <c r="D16" s="22" t="str">
        <f>IF(AND(C16&gt;=0.7,C16&lt;=1.1),"OK","REVIEW")</f>
        <v>OK</v>
      </c>
      <c r="E16" s="12" t="s">
        <v>722</v>
      </c>
    </row>
    <row r="17" spans="1:5" x14ac:dyDescent="0.45">
      <c r="A17" s="12">
        <v>13</v>
      </c>
      <c r="B17" s="12" t="s">
        <v>723</v>
      </c>
      <c r="C17" s="23" t="str">
        <f>MAX(Products!W5:W6,Products!W8:W12)&amp;" max; "&amp;MIN(Products!W5:W6,Products!W8:W12)&amp;" min"</f>
        <v>1.22374419646069 max; 0.123418268277227 min</v>
      </c>
      <c r="D17" s="22" t="str">
        <f>"INFO"</f>
        <v>INFO</v>
      </c>
      <c r="E17" s="12" t="s">
        <v>724</v>
      </c>
    </row>
    <row r="18" spans="1:5" ht="25.5" x14ac:dyDescent="0.45">
      <c r="A18" s="12">
        <v>14</v>
      </c>
      <c r="B18" s="12" t="s">
        <v>725</v>
      </c>
      <c r="C18" s="23">
        <f>(prod_steel_dri*Products!H5+prod_steel_scrap*Products!H6+prod_clinker*Products!H8+prod_nh3*Products!H9+prod_urea*Products!H10+prod_an*Products!H11+prod_al*Products!H12)/1000</f>
        <v>50.724243682636043</v>
      </c>
      <c r="D18" s="22" t="str">
        <f>"INFO"</f>
        <v>INFO</v>
      </c>
      <c r="E18" s="12" t="s">
        <v>726</v>
      </c>
    </row>
    <row r="20" spans="1:5" x14ac:dyDescent="0.45">
      <c r="B20" s="33" t="s">
        <v>727</v>
      </c>
      <c r="D20" s="35" t="str">
        <f>IF(COUNTIF(D5:D18,"FAIL")=0,"OK","FAIL")</f>
        <v>OK</v>
      </c>
    </row>
  </sheetData>
  <mergeCells count="1">
    <mergeCell ref="A2:E2"/>
  </mergeCells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156</vt:i4>
      </vt:variant>
    </vt:vector>
  </HeadingPairs>
  <TitlesOfParts>
    <vt:vector size="165" baseType="lpstr">
      <vt:lpstr>ReadMe</vt:lpstr>
      <vt:lpstr>Sources</vt:lpstr>
      <vt:lpstr>Settings</vt:lpstr>
      <vt:lpstr>Factors</vt:lpstr>
      <vt:lpstr>Egypt_Inputs</vt:lpstr>
      <vt:lpstr>Derivation</vt:lpstr>
      <vt:lpstr>Products</vt:lpstr>
      <vt:lpstr>Summary</vt:lpstr>
      <vt:lpstr>Checks</vt:lpstr>
      <vt:lpstr>al_anode_ash</vt:lpstr>
      <vt:lpstr>al_anode_co2</vt:lpstr>
      <vt:lpstr>al_anode_net</vt:lpstr>
      <vt:lpstr>al_anode_s</vt:lpstr>
      <vt:lpstr>al_bake_np</vt:lpstr>
      <vt:lpstr>al_c2f6</vt:lpstr>
      <vt:lpstr>al_cf4</vt:lpstr>
      <vt:lpstr>al_ng_total</vt:lpstr>
      <vt:lpstr>an_fuel</vt:lpstr>
      <vt:lpstr>an_hno3_in</vt:lpstr>
      <vt:lpstr>an_nh3_in</vt:lpstr>
      <vt:lpstr>bf_coke</vt:lpstr>
      <vt:lpstr>bf_flux</vt:lpstr>
      <vt:lpstr>bf_pci</vt:lpstr>
      <vt:lpstr>bof_other_fuel</vt:lpstr>
      <vt:lpstr>c_to_co2</vt:lpstr>
      <vt:lpstr>cc_charge_carbon</vt:lpstr>
      <vt:lpstr>cc_coke</vt:lpstr>
      <vt:lpstr>cc_dri</vt:lpstr>
      <vt:lpstr>cc_electrode</vt:lpstr>
      <vt:lpstr>cc_pci_coal</vt:lpstr>
      <vt:lpstr>cc_pig_iron</vt:lpstr>
      <vt:lpstr>cc_steel</vt:lpstr>
      <vt:lpstr>clk_af_fossil</vt:lpstr>
      <vt:lpstr>clk_cao</vt:lpstr>
      <vt:lpstr>clk_cement_memo</vt:lpstr>
      <vt:lpstr>clk_ckd</vt:lpstr>
      <vt:lpstr>clk_ef_mix</vt:lpstr>
      <vt:lpstr>clk_mgo</vt:lpstr>
      <vt:lpstr>clk_ratio</vt:lpstr>
      <vt:lpstr>clk_sh_af</vt:lpstr>
      <vt:lpstr>clk_sh_coal</vt:lpstr>
      <vt:lpstr>clk_sh_hfo</vt:lpstr>
      <vt:lpstr>clk_sh_ng</vt:lpstr>
      <vt:lpstr>clk_sh_petcoke</vt:lpstr>
      <vt:lpstr>clk_thermal</vt:lpstr>
      <vt:lpstr>co2_per_urea</vt:lpstr>
      <vt:lpstr>dri_c_retained</vt:lpstr>
      <vt:lpstr>dri_check</vt:lpstr>
      <vt:lpstr>dri_co2_total</vt:lpstr>
      <vt:lpstr>dri_feed_share</vt:lpstr>
      <vt:lpstr>dri_ng_total</vt:lpstr>
      <vt:lpstr>dri_per_steel</vt:lpstr>
      <vt:lpstr>eaf_charge_c_dri</vt:lpstr>
      <vt:lpstr>eaf_charge_c_scrap</vt:lpstr>
      <vt:lpstr>eaf_electrode</vt:lpstr>
      <vt:lpstr>eaf_limestone</vt:lpstr>
      <vt:lpstr>eaf_ng_dri</vt:lpstr>
      <vt:lpstr>eaf_ng_scrap</vt:lpstr>
      <vt:lpstr>ef_af_fossil</vt:lpstr>
      <vt:lpstr>ef_al_fc</vt:lpstr>
      <vt:lpstr>ef_al_fp</vt:lpstr>
      <vt:lpstr>ef_al_no</vt:lpstr>
      <vt:lpstr>ef_al_np</vt:lpstr>
      <vt:lpstr>ef_an_fc</vt:lpstr>
      <vt:lpstr>ef_an_fp</vt:lpstr>
      <vt:lpstr>ef_an_no</vt:lpstr>
      <vt:lpstr>ef_an_np</vt:lpstr>
      <vt:lpstr>ef_bof_fc</vt:lpstr>
      <vt:lpstr>ef_bof_fp</vt:lpstr>
      <vt:lpstr>ef_bof_no</vt:lpstr>
      <vt:lpstr>ef_bof_np</vt:lpstr>
      <vt:lpstr>ef_caco3</vt:lpstr>
      <vt:lpstr>ef_cao</vt:lpstr>
      <vt:lpstr>ef_clk_fc</vt:lpstr>
      <vt:lpstr>ef_clk_fp</vt:lpstr>
      <vt:lpstr>ef_clk_no</vt:lpstr>
      <vt:lpstr>ef_clk_np</vt:lpstr>
      <vt:lpstr>ef_coal</vt:lpstr>
      <vt:lpstr>ef_cog</vt:lpstr>
      <vt:lpstr>ef_coke</vt:lpstr>
      <vt:lpstr>ef_diesel</vt:lpstr>
      <vt:lpstr>ef_dri_fc</vt:lpstr>
      <vt:lpstr>ef_dri_fp</vt:lpstr>
      <vt:lpstr>ef_dri_no</vt:lpstr>
      <vt:lpstr>ef_dri_np</vt:lpstr>
      <vt:lpstr>ef_eafd_fc</vt:lpstr>
      <vt:lpstr>ef_eafd_fp</vt:lpstr>
      <vt:lpstr>ef_eafd_no</vt:lpstr>
      <vt:lpstr>ef_eafd_np</vt:lpstr>
      <vt:lpstr>ef_eafs_fc</vt:lpstr>
      <vt:lpstr>ef_eafs_fp</vt:lpstr>
      <vt:lpstr>ef_eafs_no</vt:lpstr>
      <vt:lpstr>ef_eafs_np</vt:lpstr>
      <vt:lpstr>ef_hfo</vt:lpstr>
      <vt:lpstr>ef_hno3_fc</vt:lpstr>
      <vt:lpstr>ef_hno3_fp</vt:lpstr>
      <vt:lpstr>ef_hno3_no</vt:lpstr>
      <vt:lpstr>ef_hno3_np</vt:lpstr>
      <vt:lpstr>ef_mgo</vt:lpstr>
      <vt:lpstr>ef_ng</vt:lpstr>
      <vt:lpstr>ef_nh3_fc</vt:lpstr>
      <vt:lpstr>ef_nh3_fp</vt:lpstr>
      <vt:lpstr>ef_nh3_no</vt:lpstr>
      <vt:lpstr>ef_nh3_np</vt:lpstr>
      <vt:lpstr>ef_petcoke</vt:lpstr>
      <vt:lpstr>ef_urea_fc</vt:lpstr>
      <vt:lpstr>ef_urea_fp</vt:lpstr>
      <vt:lpstr>ef_urea_no</vt:lpstr>
      <vt:lpstr>ef_urea_np</vt:lpstr>
      <vt:lpstr>gwp_c2f6</vt:lpstr>
      <vt:lpstr>gwp_c2f6_ar6</vt:lpstr>
      <vt:lpstr>gwp_c2f6_cbam</vt:lpstr>
      <vt:lpstr>gwp_cf4</vt:lpstr>
      <vt:lpstr>gwp_cf4_ar6</vt:lpstr>
      <vt:lpstr>gwp_cf4_cbam</vt:lpstr>
      <vt:lpstr>gwp_n2o</vt:lpstr>
      <vt:lpstr>gwp_n2o_ar6</vt:lpstr>
      <vt:lpstr>gwp_n2o_cbam</vt:lpstr>
      <vt:lpstr>gwp_set</vt:lpstr>
      <vt:lpstr>hm_c</vt:lpstr>
      <vt:lpstr>hm_per_steel</vt:lpstr>
      <vt:lpstr>hno3_abat_share</vt:lpstr>
      <vt:lpstr>hno3_fuel</vt:lpstr>
      <vt:lpstr>hno3_n2o_abat</vt:lpstr>
      <vt:lpstr>hno3_n2o_rate</vt:lpstr>
      <vt:lpstr>hno3_n2o_unab</vt:lpstr>
      <vt:lpstr>hno3_per_an_st</vt:lpstr>
      <vt:lpstr>ipcc_anode_prebake</vt:lpstr>
      <vt:lpstr>ipcc_c2f6_cwpb</vt:lpstr>
      <vt:lpstr>ipcc_cf4_cwpb</vt:lpstr>
      <vt:lpstr>ipcc_clinker_t1</vt:lpstr>
      <vt:lpstr>ipcc_dri_t1</vt:lpstr>
      <vt:lpstr>ipcc_eaf_t1</vt:lpstr>
      <vt:lpstr>ipcc_n2o_destr</vt:lpstr>
      <vt:lpstr>ipcc_n2o_mp</vt:lpstr>
      <vt:lpstr>ipcc_nh3_conv</vt:lpstr>
      <vt:lpstr>ipcc_nh3_euavg</vt:lpstr>
      <vt:lpstr>m_an</vt:lpstr>
      <vt:lpstr>m_c</vt:lpstr>
      <vt:lpstr>m_caco3</vt:lpstr>
      <vt:lpstr>m_cao</vt:lpstr>
      <vt:lpstr>m_co2</vt:lpstr>
      <vt:lpstr>m_hno3</vt:lpstr>
      <vt:lpstr>m_mgo</vt:lpstr>
      <vt:lpstr>m_nh3</vt:lpstr>
      <vt:lpstr>m_urea</vt:lpstr>
      <vt:lpstr>ncv_ng</vt:lpstr>
      <vt:lpstr>nh3_ng_feed</vt:lpstr>
      <vt:lpstr>nh3_ng_fuel</vt:lpstr>
      <vt:lpstr>nh3_ng_total</vt:lpstr>
      <vt:lpstr>nh3_per_an_st</vt:lpstr>
      <vt:lpstr>nh3_per_hno3_st</vt:lpstr>
      <vt:lpstr>nh3_per_urea_st</vt:lpstr>
      <vt:lpstr>oxf</vt:lpstr>
      <vt:lpstr>prod_al</vt:lpstr>
      <vt:lpstr>prod_an</vt:lpstr>
      <vt:lpstr>prod_clinker</vt:lpstr>
      <vt:lpstr>prod_nh3</vt:lpstr>
      <vt:lpstr>prod_steel_dri</vt:lpstr>
      <vt:lpstr>prod_steel_scrap</vt:lpstr>
      <vt:lpstr>prod_urea</vt:lpstr>
      <vt:lpstr>ref_year</vt:lpstr>
      <vt:lpstr>urea_conv</vt:lpstr>
      <vt:lpstr>urea_fuel</vt:lpstr>
      <vt:lpstr>urea_nh3_in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John Stretton</cp:lastModifiedBy>
  <dcterms:created xsi:type="dcterms:W3CDTF">2026-10-02T22:26:26Z</dcterms:created>
  <dcterms:modified xsi:type="dcterms:W3CDTF">2026-10-02T22:26:31Z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2026-10-02T22:26:31Z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780aa7ae-6c0d-4be3-ab20-0fc9ba6e5988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