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PAT_v0.8_Table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SemiElasticity" sheetId="5" state="visible" r:id="rId5"/>
    <sheet xmlns:r="http://schemas.openxmlformats.org/officeDocument/2006/relationships" name="IPCC_Aggregate" sheetId="6" state="visible" r:id="rId6"/>
    <sheet xmlns:r="http://schemas.openxmlformats.org/officeDocument/2006/relationships" name="IPCC_T12_3" sheetId="7" state="visible" r:id="rId7"/>
    <sheet xmlns:r="http://schemas.openxmlformats.org/officeDocument/2006/relationships" name="IPCC_T11_3" sheetId="8" state="visible" r:id="rId8"/>
    <sheet xmlns:r="http://schemas.openxmlformats.org/officeDocument/2006/relationships" name="AR4_T7_9" sheetId="9" state="visible" r:id="rId9"/>
    <sheet xmlns:r="http://schemas.openxmlformats.org/officeDocument/2006/relationships" name="Econometric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0"/>
    <numFmt numFmtId="167" formatCode="0.000000"/>
  </numFmts>
  <fonts count="6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0" pivotButton="0" quotePrefix="0" xfId="0"/>
    <xf numFmtId="167" fontId="0" fillId="2" borderId="0" pivotButton="0" quotePrefix="0" xfId="0"/>
    <xf numFmtId="164" fontId="0" fillId="2" borderId="0" pivotButton="0" quotePrefix="0" xfId="0"/>
    <xf numFmtId="167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2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9" fontId="0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Responsiveness of industrial PROCESS emissions to carbon prices - CBAM sectors</t>
        </is>
      </c>
    </row>
    <row r="2">
      <c r="A2" s="2" t="inlineStr">
        <is>
          <t>Built 2026-10-02. Companion to ProcessEmissions_CarbonPriceResponse_Report.md/.docx (same folder).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Parameters  - option-level MACC inputs per sector (yellow cells are editable inputs; all downstream cells are formulas).</t>
        </is>
      </c>
    </row>
    <row r="6">
      <c r="A6" s="2" t="inlineStr">
        <is>
          <t>Results     - % process-emission reduction a(tau) at tau = 20/50/100/150/200 USD2019/tCO2e for the 2030 (deployment-constrained) and long-run horizons, the central case, and implied semi-elasticities.</t>
        </is>
      </c>
    </row>
    <row r="7">
      <c r="A7" s="2" t="inlineStr">
        <is>
          <t>SemiElasticity - derivation of the iso-semi-elastic model, worked example, bin-consistency check and saturating alternative.</t>
        </is>
      </c>
    </row>
    <row r="8">
      <c r="A8" s="2" t="inlineStr">
        <is>
          <t>IPCC_Aggregate - benchmark using IPCC AR6 WGIII Table 12.3 (2030 potentials by cost bin) against 2030 reference process emissions.</t>
        </is>
      </c>
    </row>
    <row r="9">
      <c r="A9" s="2" t="inlineStr">
        <is>
          <t>IPCC_T12_3, IPCC_T11_3, AR4_T7_9 - source extracts.</t>
        </is>
      </c>
    </row>
    <row r="10">
      <c r="A10" s="2" t="inlineStr">
        <is>
          <t>Econometric - empirical EU ETS evidence (total emissions, for comparison only).</t>
        </is>
      </c>
    </row>
    <row r="11">
      <c r="A11" s="2" t="inlineStr">
        <is>
          <t>Sources - full reference list.</t>
        </is>
      </c>
    </row>
    <row r="12">
      <c r="A12" s="2" t="inlineStr"/>
    </row>
    <row r="13">
      <c r="A13" s="3" t="inlineStr">
        <is>
          <t>Model</t>
        </is>
      </c>
    </row>
    <row r="14">
      <c r="A14" s="2" t="inlineStr">
        <is>
          <t>f_i(tau) = MIN(1, MAX(0, (tau - c_low_i)/(c_high_i - c_low_i)))   share of plants for which option i is in the money at carbon price tau (uniform cost heterogeneity).</t>
        </is>
      </c>
    </row>
    <row r="15">
      <c r="A15" s="2" t="inlineStr">
        <is>
          <t>a_h(tau) = 1 - PRODUCT_i (1 - r_i * s_i * d_i,h * f_i(tau))   abatement fraction of baseline process emissions, horizon h in {2030, LR}; options combined multiplicatively (conservative for disjoint pools, exact for sequential options on the same pool).</t>
        </is>
      </c>
    </row>
    <row r="16">
      <c r="A16" s="2" t="inlineStr">
        <is>
          <t>beta = ln(1 - a(100)) / 100  [per USD]  -&gt;  E(tau) = E0 * exp(beta * tau);  %ER per $1 = 100*beta.</t>
        </is>
      </c>
    </row>
    <row r="17">
      <c r="A17" s="2" t="inlineStr">
        <is>
          <t>Central case = arithmetic mean of 2030 and LR a(100) - a medium-run (10-15 yr) response suitable for policy models such as CPAT; see report section 5.</t>
        </is>
      </c>
    </row>
    <row r="18">
      <c r="A18" s="2" t="inlineStr">
        <is>
          <t>All costs USD2019 per tCO2e as in IPCC AR6 (no inflation correction; USD100 (2019) ~ USD122 (2024) at US CPI).</t>
        </is>
      </c>
    </row>
    <row r="19">
      <c r="A19" s="2" t="inlineStr">
        <is>
          <t>Same parameters are applied to Egypt and non-Egypt (user instruction); Egypt-specific remarks in report section 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2" customWidth="1" min="4" max="4"/>
    <col width="15" customWidth="1" min="5" max="5"/>
    <col width="13" customWidth="1" min="6" max="6"/>
    <col width="15" customWidth="1" min="7" max="7"/>
    <col width="13" customWidth="1" min="8" max="8"/>
    <col width="2" customWidth="1" min="9" max="9"/>
    <col width="15" customWidth="1" min="10" max="10"/>
    <col width="13" customWidth="1" min="11" max="11"/>
    <col width="90" customWidth="1" min="12" max="12"/>
  </cols>
  <sheetData>
    <row r="1">
      <c r="A1" s="4" t="inlineStr">
        <is>
          <t>Drop-in parameter table for CPAT_Industry_Kernel_Egypt_v0.8.xlsx - 'Manual inputs' rows 39-47 (D: Process, E: Half Elasticity, F: ER at $100)</t>
        </is>
      </c>
    </row>
    <row r="2" ht="45" customHeight="1">
      <c r="A2" s="5" t="inlineStr">
        <is>
          <t>Kernel convention (reverse-engineered from v0.8 values): Half Elasticity = -LN(1 - ER)/100, positive, fraction per USD/tCO2e; ER at $100 is a fraction (0.10 = 10%). Identical to this report's beta_iso with sign reversed and divided by 100. Recommended column = CENTRAL (see report A5/A11); 2030 and long-run alternatives on the right. Current v0.8 values shown for comparison.</t>
        </is>
      </c>
    </row>
    <row r="4">
      <c r="A4" s="6" t="inlineStr">
        <is>
          <t>Process</t>
        </is>
      </c>
      <c r="B4" s="6" t="inlineStr">
        <is>
          <t>Half Elasticity</t>
        </is>
      </c>
      <c r="C4" s="6" t="inlineStr">
        <is>
          <t>ER at $100 (%)</t>
        </is>
      </c>
      <c r="D4" s="6" t="inlineStr"/>
      <c r="E4" s="6" t="inlineStr">
        <is>
          <t>Half Elast. 2030</t>
        </is>
      </c>
      <c r="F4" s="6" t="inlineStr">
        <is>
          <t>ER $100 2030</t>
        </is>
      </c>
      <c r="G4" s="6" t="inlineStr">
        <is>
          <t>Half Elast. LR</t>
        </is>
      </c>
      <c r="H4" s="6" t="inlineStr">
        <is>
          <t>ER $100 LR</t>
        </is>
      </c>
      <c r="I4" s="6" t="inlineStr"/>
      <c r="J4" s="6" t="inlineStr">
        <is>
          <t>v0.8 Half Elast.</t>
        </is>
      </c>
      <c r="K4" s="6" t="inlineStr">
        <is>
          <t>v0.8 ER $100</t>
        </is>
      </c>
      <c r="L4" s="6" t="inlineStr">
        <is>
          <t>Mapping / note</t>
        </is>
      </c>
    </row>
    <row r="5">
      <c r="A5" t="inlineStr">
        <is>
          <t>DRI-EAF steel</t>
        </is>
      </c>
      <c r="B5" s="7">
        <f>-LN(1-C5)/100</f>
        <v/>
      </c>
      <c r="C5" s="8" t="n">
        <v>0.3433</v>
      </c>
      <c r="E5" s="9">
        <f>-LN(1-F5)/100</f>
        <v/>
      </c>
      <c r="F5" s="10" t="n">
        <v>0.1133</v>
      </c>
      <c r="G5" s="9">
        <f>-LN(1-H5)/100</f>
        <v/>
      </c>
      <c r="H5" s="10" t="n">
        <v>0.5734</v>
      </c>
      <c r="J5" s="9" t="n">
        <v>0.00105360515657826</v>
      </c>
      <c r="K5" s="10" t="n">
        <v>0.1</v>
      </c>
      <c r="L5" s="11" t="inlineStr">
        <is>
          <t>Report 7.3. Scope includes NG-reductant CO2, which the kernel classifies as fp (priced with fuel flags); the kernel applies the same half elasticity to fuel and process ER (Mitigation_Industry rows 351 and 362), so the mismatch is immaterial.</t>
        </is>
      </c>
    </row>
    <row r="6">
      <c r="A6" t="inlineStr">
        <is>
          <t>Scrap-EAF steel</t>
        </is>
      </c>
      <c r="B6" s="7">
        <f>-LN(1-C6)/100</f>
        <v/>
      </c>
      <c r="C6" s="8" t="n">
        <v>0.181</v>
      </c>
      <c r="E6" s="9">
        <f>-LN(1-F6)/100</f>
        <v/>
      </c>
      <c r="F6" s="10" t="n">
        <v>0.0951</v>
      </c>
      <c r="G6" s="9">
        <f>-LN(1-H6)/100</f>
        <v/>
      </c>
      <c r="H6" s="10" t="n">
        <v>0.2669</v>
      </c>
      <c r="J6" s="9" t="n">
        <v>0.000202027073175195</v>
      </c>
      <c r="K6" s="10" t="n">
        <v>0.02</v>
      </c>
      <c r="L6" s="11" t="inlineStr">
        <is>
          <t>Report 7.4 (electrode/charge carbon and flux CO2).</t>
        </is>
      </c>
    </row>
    <row r="7">
      <c r="A7" t="inlineStr">
        <is>
          <t>BF-BOF steel reference</t>
        </is>
      </c>
      <c r="B7" s="7">
        <f>-LN(1-C7)/100</f>
        <v/>
      </c>
      <c r="C7" s="8" t="n">
        <v>0.2803</v>
      </c>
      <c r="E7" s="9">
        <f>-LN(1-F7)/100</f>
        <v/>
      </c>
      <c r="F7" s="10" t="n">
        <v>0.1016</v>
      </c>
      <c r="G7" s="9">
        <f>-LN(1-H7)/100</f>
        <v/>
      </c>
      <c r="H7" s="10" t="n">
        <v>0.4589</v>
      </c>
      <c r="J7" s="9" t="n">
        <v>0.000512932943875506</v>
      </c>
      <c r="K7" s="10" t="n">
        <v>0.05</v>
      </c>
      <c r="L7" s="11" t="inlineStr">
        <is>
          <t>Report 7.2 (coke/limestone CO2; TGR+CCUS, H2-DRI switch, scrap share).</t>
        </is>
      </c>
    </row>
    <row r="8">
      <c r="A8" t="inlineStr">
        <is>
          <t>Grey clinker dry-process</t>
        </is>
      </c>
      <c r="B8" s="7">
        <f>-LN(1-C8)/100</f>
        <v/>
      </c>
      <c r="C8" s="8" t="n">
        <v>0.3352</v>
      </c>
      <c r="E8" s="9">
        <f>-LN(1-F8)/100</f>
        <v/>
      </c>
      <c r="F8" s="10" t="n">
        <v>0.1925</v>
      </c>
      <c r="G8" s="9">
        <f>-LN(1-H8)/100</f>
        <v/>
      </c>
      <c r="H8" s="10" t="n">
        <v>0.4779</v>
      </c>
      <c r="J8" s="9" t="n">
        <v>0.00083381608939051</v>
      </c>
      <c r="K8" s="10" t="n">
        <v>0.08</v>
      </c>
      <c r="L8" s="11" t="inlineStr">
        <is>
          <t>Report 7.1 (calcination CO2; clinker substitution, CCUS, alternative binders).</t>
        </is>
      </c>
    </row>
    <row r="9">
      <c r="A9" t="inlineStr">
        <is>
          <t>Ammonia net</t>
        </is>
      </c>
      <c r="B9" s="7">
        <f>-LN(1-C9)/100</f>
        <v/>
      </c>
      <c r="C9" s="8" t="n">
        <v>0.2974</v>
      </c>
      <c r="E9" s="9">
        <f>-LN(1-F9)/100</f>
        <v/>
      </c>
      <c r="F9" s="10" t="n">
        <v>0.1499</v>
      </c>
      <c r="G9" s="9">
        <f>-LN(1-H9)/100</f>
        <v/>
      </c>
      <c r="H9" s="10" t="n">
        <v>0.4449</v>
      </c>
      <c r="J9" s="9" t="n">
        <v>0.00198450938723838</v>
      </c>
      <c r="K9" s="10" t="n">
        <v>0.18</v>
      </c>
      <c r="L9" s="11" t="inlineStr">
        <is>
          <t>Report 7.6 (SMR feedstock CO2 = kernel fp; CCS of separated stream, electrolytic H2). Applies to merchant/non-urea NH3.</t>
        </is>
      </c>
    </row>
    <row r="10">
      <c r="A10" t="inlineStr">
        <is>
          <t>Urea</t>
        </is>
      </c>
      <c r="B10" s="7">
        <f>-LN(1-C10)/100</f>
        <v/>
      </c>
      <c r="C10" s="8" t="n">
        <v>0.1158</v>
      </c>
      <c r="E10" s="9">
        <f>-LN(1-F10)/100</f>
        <v/>
      </c>
      <c r="F10" s="10" t="n">
        <v>0.0479</v>
      </c>
      <c r="G10" s="9">
        <f>-LN(1-H10)/100</f>
        <v/>
      </c>
      <c r="H10" s="10" t="n">
        <v>0.1838</v>
      </c>
      <c r="J10" s="9" t="n">
        <v>0</v>
      </c>
      <c r="K10" s="10" t="n">
        <v>0</v>
      </c>
      <c r="L10" s="11" t="inlineStr">
        <is>
          <t>Report 7.7 (embedded NH3-stage CO2 counted under CBAM; abatement only via surplus-CO2 CCS or electrolytic H2 + alternative CO2). Kernel v0.8 has 0 because own np is floored at 0; use this value only if the embedded-NH3 column (M35) is priced.</t>
        </is>
      </c>
    </row>
    <row r="11">
      <c r="A11" t="inlineStr">
        <is>
          <t>AN</t>
        </is>
      </c>
      <c r="B11" s="7">
        <f>-LN(1-C11)/100</f>
        <v/>
      </c>
      <c r="C11" s="8" t="n">
        <v>0.721</v>
      </c>
      <c r="E11" s="9">
        <f>-LN(1-F11)/100</f>
        <v/>
      </c>
      <c r="F11" s="10" t="n">
        <v>0.6764</v>
      </c>
      <c r="G11" s="9">
        <f>-LN(1-H11)/100</f>
        <v/>
      </c>
      <c r="H11" s="10" t="n">
        <v>0.7655999999999999</v>
      </c>
      <c r="J11" s="9" t="n">
        <v>0.0104982212449868</v>
      </c>
      <c r="K11" s="10" t="n">
        <v>0.65</v>
      </c>
      <c r="L11" s="11" t="inlineStr">
        <is>
          <t>Report 7.9 composite, UNABATED nitric-acid N2O baseline - consistent with kernel S1.no = 0.97 tCO2e/t AN (K36). If Egyptian plants are already catalytically abated, use the 'AN abated' row instead: ER(100) = 32.9%.</t>
        </is>
      </c>
    </row>
    <row r="12">
      <c r="A12" t="inlineStr">
        <is>
          <t>Primary aluminium</t>
        </is>
      </c>
      <c r="B12" s="7">
        <f>-LN(1-C12)/100</f>
        <v/>
      </c>
      <c r="C12" s="8" t="n">
        <v>0.2164</v>
      </c>
      <c r="E12" s="9">
        <f>-LN(1-F12)/100</f>
        <v/>
      </c>
      <c r="F12" s="10" t="n">
        <v>0.06909999999999999</v>
      </c>
      <c r="G12" s="9">
        <f>-LN(1-H12)/100</f>
        <v/>
      </c>
      <c r="H12" s="10" t="n">
        <v>0.3638</v>
      </c>
      <c r="J12" s="9" t="n">
        <v>0.00083381608939051</v>
      </c>
      <c r="K12" s="10" t="n">
        <v>0.08</v>
      </c>
      <c r="L12" s="11" t="inlineStr">
        <is>
          <t>Report 7.5 (anode CO2 + PFC; PFC control, inert anodes).</t>
        </is>
      </c>
    </row>
    <row r="14" ht="30" customHeight="1">
      <c r="A14" s="5" t="inlineStr">
        <is>
          <t>How to paste: copy B5:C12 into 'Manual inputs'!E40:F47 (values only, or keep the formula in E so that F remains the single input). Row labels match v0.8 D40:D47 exactly.</t>
        </is>
      </c>
    </row>
    <row r="15" ht="30" customHeight="1">
      <c r="A15" s="5" t="inlineStr">
        <is>
          <t>Caveat: the kernel reuses this table for fuel-combustion ER (Mitigation_Industry row 351). The values here are derived for process emissions; fuel-combustion responsiveness is governed by the master elasticity table (Data_Elast) elsewhere in CPAT and may warrant a separate row set.</t>
        </is>
      </c>
    </row>
    <row r="16" ht="30" customHeight="1">
      <c r="A16" s="5" t="inlineStr">
        <is>
          <t>Prices are USD2019/tCO2e; USD100 (2019) ~ USD122 (2024). If the kernel's price path is in nominal/2024 dollars, deflate before applying, or scale ER accordingly (Results sheet gives a(tau) for 20/50/100/150/200).</t>
        </is>
      </c>
    </row>
  </sheetData>
  <mergeCells count="4">
    <mergeCell ref="A14:L14"/>
    <mergeCell ref="A2:L2"/>
    <mergeCell ref="A16:L16"/>
    <mergeCell ref="A15:L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8" customWidth="1" min="4" max="4"/>
    <col width="8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110" customWidth="1" min="25" max="25"/>
  </cols>
  <sheetData>
    <row r="1">
      <c r="A1" s="4" t="inlineStr">
        <is>
          <t>Option-level MACC parameters (yellow = input). Costs in USD2019/tCO2e. See README for formulas.</t>
        </is>
      </c>
    </row>
    <row r="2">
      <c r="A2" t="inlineStr">
        <is>
          <t>Price points tau -&gt;</t>
        </is>
      </c>
      <c r="J2" s="12" t="n">
        <v>20</v>
      </c>
      <c r="K2" s="12" t="n">
        <v>50</v>
      </c>
      <c r="L2" s="12" t="n">
        <v>100</v>
      </c>
      <c r="M2" s="12" t="n">
        <v>150</v>
      </c>
      <c r="N2" s="12" t="n">
        <v>200</v>
      </c>
    </row>
    <row r="3">
      <c r="A3" s="13" t="inlineStr">
        <is>
          <t>Sector key</t>
        </is>
      </c>
      <c r="B3" s="13" t="inlineStr">
        <is>
          <t>Sector</t>
        </is>
      </c>
      <c r="C3" s="13" t="inlineStr">
        <is>
          <t>Option</t>
        </is>
      </c>
      <c r="D3" s="13" t="inlineStr">
        <is>
          <t>c_low</t>
        </is>
      </c>
      <c r="E3" s="13" t="inlineStr">
        <is>
          <t>c_high</t>
        </is>
      </c>
      <c r="F3" s="13" t="inlineStr">
        <is>
          <t>r (tech. reduction)</t>
        </is>
      </c>
      <c r="G3" s="13" t="inlineStr">
        <is>
          <t>s (applicable share)</t>
        </is>
      </c>
      <c r="H3" s="13" t="inlineStr">
        <is>
          <t>d_2030</t>
        </is>
      </c>
      <c r="I3" s="13" t="inlineStr">
        <is>
          <t>d_LR</t>
        </is>
      </c>
      <c r="J3" s="13" t="inlineStr">
        <is>
          <t>f(tau=20)</t>
        </is>
      </c>
      <c r="K3" s="13" t="inlineStr">
        <is>
          <t>f(tau=50)</t>
        </is>
      </c>
      <c r="L3" s="13" t="inlineStr">
        <is>
          <t>f(tau=100)</t>
        </is>
      </c>
      <c r="M3" s="13" t="inlineStr">
        <is>
          <t>f(tau=150)</t>
        </is>
      </c>
      <c r="N3" s="13" t="inlineStr">
        <is>
          <t>f(tau=200)</t>
        </is>
      </c>
      <c r="O3" s="13" t="inlineStr">
        <is>
          <t>x2030(tau=20)</t>
        </is>
      </c>
      <c r="P3" s="13" t="inlineStr">
        <is>
          <t>x2030(tau=50)</t>
        </is>
      </c>
      <c r="Q3" s="13" t="inlineStr">
        <is>
          <t>x2030(tau=100)</t>
        </is>
      </c>
      <c r="R3" s="13" t="inlineStr">
        <is>
          <t>x2030(tau=150)</t>
        </is>
      </c>
      <c r="S3" s="13" t="inlineStr">
        <is>
          <t>x2030(tau=200)</t>
        </is>
      </c>
      <c r="T3" s="13" t="inlineStr">
        <is>
          <t>xLR(tau=20)</t>
        </is>
      </c>
      <c r="U3" s="13" t="inlineStr">
        <is>
          <t>xLR(tau=50)</t>
        </is>
      </c>
      <c r="V3" s="13" t="inlineStr">
        <is>
          <t>xLR(tau=100)</t>
        </is>
      </c>
      <c r="W3" s="13" t="inlineStr">
        <is>
          <t>xLR(tau=150)</t>
        </is>
      </c>
      <c r="X3" s="13" t="inlineStr">
        <is>
          <t>xLR(tau=200)</t>
        </is>
      </c>
      <c r="Y3" s="13" t="inlineStr">
        <is>
          <t>Source / notes</t>
        </is>
      </c>
    </row>
    <row r="4">
      <c r="A4" s="14" t="inlineStr">
        <is>
          <t>CEM</t>
        </is>
      </c>
      <c r="B4" s="14" t="inlineStr">
        <is>
          <t>Cement clinker / cement / concrete</t>
        </is>
      </c>
      <c r="C4" s="14" t="inlineStr">
        <is>
          <t>Clinker substitution (SCMs: slag, fly ash, calcined clay/LC3, limestone filler) and blended cements</t>
        </is>
      </c>
      <c r="D4" s="15" t="n">
        <v>0</v>
      </c>
      <c r="E4" s="15" t="n">
        <v>50</v>
      </c>
      <c r="F4" s="15" t="n">
        <v>0.3</v>
      </c>
      <c r="G4" s="15" t="n">
        <v>1</v>
      </c>
      <c r="H4" s="15" t="n">
        <v>0.55</v>
      </c>
      <c r="I4" s="15" t="n">
        <v>0.85</v>
      </c>
      <c r="J4" s="16">
        <f>IF(E4&lt;=D4,IF(J$2&gt;=D4,1,0),MIN(1,MAX(0,(J$2-D4)/(E4-D4))))</f>
        <v/>
      </c>
      <c r="K4" s="16">
        <f>IF(E4&lt;=D4,IF(K$2&gt;=D4,1,0),MIN(1,MAX(0,(K$2-D4)/(E4-D4))))</f>
        <v/>
      </c>
      <c r="L4" s="16">
        <f>IF(E4&lt;=D4,IF(L$2&gt;=D4,1,0),MIN(1,MAX(0,(L$2-D4)/(E4-D4))))</f>
        <v/>
      </c>
      <c r="M4" s="16">
        <f>IF(E4&lt;=D4,IF(M$2&gt;=D4,1,0),MIN(1,MAX(0,(M$2-D4)/(E4-D4))))</f>
        <v/>
      </c>
      <c r="N4" s="16">
        <f>IF(E4&lt;=D4,IF(N$2&gt;=D4,1,0),MIN(1,MAX(0,(N$2-D4)/(E4-D4))))</f>
        <v/>
      </c>
      <c r="O4" s="17">
        <f>F4*G4*H4*J4</f>
        <v/>
      </c>
      <c r="P4" s="17">
        <f>F4*G4*H4*K4</f>
        <v/>
      </c>
      <c r="Q4" s="17">
        <f>F4*G4*H4*L4</f>
        <v/>
      </c>
      <c r="R4" s="17">
        <f>F4*G4*H4*M4</f>
        <v/>
      </c>
      <c r="S4" s="17">
        <f>F4*G4*H4*N4</f>
        <v/>
      </c>
      <c r="T4" s="17">
        <f>F4*G4*I4*J4</f>
        <v/>
      </c>
      <c r="U4" s="17">
        <f>F4*G4*I4*K4</f>
        <v/>
      </c>
      <c r="V4" s="17">
        <f>F4*G4*I4*L4</f>
        <v/>
      </c>
      <c r="W4" s="17">
        <f>F4*G4*I4*M4</f>
        <v/>
      </c>
      <c r="X4" s="17">
        <f>F4*G4*I4*N4</f>
        <v/>
      </c>
      <c r="Y4" s="11" t="inlineStr">
        <is>
          <t>IPCC AR6 Table 11.3: clinker substitution 40-50% reduction of plant GHG at 'near-zero' cost; Table 12.3: cementitious substitution 0.28 Gt in USD20-50 bin (2030); Fig 11.13 FeedCI 20-50. r=0.30 from clinker ratio 0.71 (2019, Ch.11) -&gt; technical floor ~0.50 (IEA G7 2022): 1-0.50/0.71. d2030=0.55 reproduces 0.28 Gt / ~1.65 Gt 2030 reference calcination CO2 (~17%).</t>
        </is>
      </c>
    </row>
    <row r="5">
      <c r="A5" s="14" t="inlineStr">
        <is>
          <t>CEM</t>
        </is>
      </c>
      <c r="B5" s="14" t="inlineStr">
        <is>
          <t>Cement clinker / cement / concrete</t>
        </is>
      </c>
      <c r="C5" s="14" t="inlineStr">
        <is>
          <t>Novel binders / alternative chemistries (CSA, belite, alkali-activated) in niche applications</t>
        </is>
      </c>
      <c r="D5" s="15" t="n">
        <v>50</v>
      </c>
      <c r="E5" s="15" t="n">
        <v>150</v>
      </c>
      <c r="F5" s="15" t="n">
        <v>0.5</v>
      </c>
      <c r="G5" s="15" t="n">
        <v>0.2</v>
      </c>
      <c r="H5" s="15" t="n">
        <v>0.1</v>
      </c>
      <c r="I5" s="15" t="n">
        <v>0.5</v>
      </c>
      <c r="J5" s="16">
        <f>IF(E5&lt;=D5,IF(J$2&gt;=D5,1,0),MIN(1,MAX(0,(J$2-D5)/(E5-D5))))</f>
        <v/>
      </c>
      <c r="K5" s="16">
        <f>IF(E5&lt;=D5,IF(K$2&gt;=D5,1,0),MIN(1,MAX(0,(K$2-D5)/(E5-D5))))</f>
        <v/>
      </c>
      <c r="L5" s="16">
        <f>IF(E5&lt;=D5,IF(L$2&gt;=D5,1,0),MIN(1,MAX(0,(L$2-D5)/(E5-D5))))</f>
        <v/>
      </c>
      <c r="M5" s="16">
        <f>IF(E5&lt;=D5,IF(M$2&gt;=D5,1,0),MIN(1,MAX(0,(M$2-D5)/(E5-D5))))</f>
        <v/>
      </c>
      <c r="N5" s="16">
        <f>IF(E5&lt;=D5,IF(N$2&gt;=D5,1,0),MIN(1,MAX(0,(N$2-D5)/(E5-D5))))</f>
        <v/>
      </c>
      <c r="O5" s="17">
        <f>F5*G5*H5*J5</f>
        <v/>
      </c>
      <c r="P5" s="17">
        <f>F5*G5*H5*K5</f>
        <v/>
      </c>
      <c r="Q5" s="17">
        <f>F5*G5*H5*L5</f>
        <v/>
      </c>
      <c r="R5" s="17">
        <f>F5*G5*H5*M5</f>
        <v/>
      </c>
      <c r="S5" s="17">
        <f>F5*G5*H5*N5</f>
        <v/>
      </c>
      <c r="T5" s="17">
        <f>F5*G5*I5*J5</f>
        <v/>
      </c>
      <c r="U5" s="17">
        <f>F5*G5*I5*K5</f>
        <v/>
      </c>
      <c r="V5" s="17">
        <f>F5*G5*I5*L5</f>
        <v/>
      </c>
      <c r="W5" s="17">
        <f>F5*G5*I5*M5</f>
        <v/>
      </c>
      <c r="X5" s="17">
        <f>F5*G5*I5*N5</f>
        <v/>
      </c>
      <c r="Y5" s="11" t="inlineStr">
        <is>
          <t>IPCC AR6 SPM C.5.2: 'until new chemistries are mastered'; Ch.11 11.4.1.2. Cost range analyst judgement; niche share s=0.2.</t>
        </is>
      </c>
    </row>
    <row r="6">
      <c r="A6" s="14" t="inlineStr">
        <is>
          <t>CEM</t>
        </is>
      </c>
      <c r="B6" s="14" t="inlineStr">
        <is>
          <t>Cement clinker / cement / concrete</t>
        </is>
      </c>
      <c r="C6" s="14" t="inlineStr">
        <is>
          <t>CO2 capture on calcination stream (indirect calcination/LEILAC, oxyfuel, post-combustion) + transport &amp; storage</t>
        </is>
      </c>
      <c r="D6" s="15" t="n">
        <v>50</v>
      </c>
      <c r="E6" s="15" t="n">
        <v>130</v>
      </c>
      <c r="F6" s="15" t="n">
        <v>0.9</v>
      </c>
      <c r="G6" s="15" t="n">
        <v>1</v>
      </c>
      <c r="H6" s="15" t="n">
        <v>0.05</v>
      </c>
      <c r="I6" s="15" t="n">
        <v>0.5</v>
      </c>
      <c r="J6" s="16">
        <f>IF(E6&lt;=D6,IF(J$2&gt;=D6,1,0),MIN(1,MAX(0,(J$2-D6)/(E6-D6))))</f>
        <v/>
      </c>
      <c r="K6" s="16">
        <f>IF(E6&lt;=D6,IF(K$2&gt;=D6,1,0),MIN(1,MAX(0,(K$2-D6)/(E6-D6))))</f>
        <v/>
      </c>
      <c r="L6" s="16">
        <f>IF(E6&lt;=D6,IF(L$2&gt;=D6,1,0),MIN(1,MAX(0,(L$2-D6)/(E6-D6))))</f>
        <v/>
      </c>
      <c r="M6" s="16">
        <f>IF(E6&lt;=D6,IF(M$2&gt;=D6,1,0),MIN(1,MAX(0,(M$2-D6)/(E6-D6))))</f>
        <v/>
      </c>
      <c r="N6" s="16">
        <f>IF(E6&lt;=D6,IF(N$2&gt;=D6,1,0),MIN(1,MAX(0,(N$2-D6)/(E6-D6))))</f>
        <v/>
      </c>
      <c r="O6" s="17">
        <f>F6*G6*H6*J6</f>
        <v/>
      </c>
      <c r="P6" s="17">
        <f>F6*G6*H6*K6</f>
        <v/>
      </c>
      <c r="Q6" s="17">
        <f>F6*G6*H6*L6</f>
        <v/>
      </c>
      <c r="R6" s="17">
        <f>F6*G6*H6*M6</f>
        <v/>
      </c>
      <c r="S6" s="17">
        <f>F6*G6*H6*N6</f>
        <v/>
      </c>
      <c r="T6" s="17">
        <f>F6*G6*I6*J6</f>
        <v/>
      </c>
      <c r="U6" s="17">
        <f>F6*G6*I6*K6</f>
        <v/>
      </c>
      <c r="V6" s="17">
        <f>F6*G6*I6*L6</f>
        <v/>
      </c>
      <c r="W6" s="17">
        <f>F6*G6*I6*M6</f>
        <v/>
      </c>
      <c r="X6" s="17">
        <f>F6*G6*I6*N6</f>
        <v/>
      </c>
      <c r="Y6" s="11" t="inlineStr">
        <is>
          <t>IPCC AR6 Table 11.3: CCUS 99% of calcination CO2 at &lt;=USD40 capture (TRL 5-7, 2025) + storage of concentrated CO2 USD10-40 (fn f) -&gt; ~50-80 USD; diluted post-combustion 60-170 (Leeson 2017), most &lt;120; Fig 11.13 cement CCUS 60-130; Rootzen &amp; Johnsson 25-110 EUR; ETC 110-130. Table 12.3 puts 2030 industrial CCUS wholly in USD100-200 bin -&gt; d2030 ~0. dLR=0.5 (storage access; Material Economics CCS share 29-79%, Table 11.5).</t>
        </is>
      </c>
    </row>
    <row r="7">
      <c r="A7" s="14" t="inlineStr">
        <is>
          <t>BOF</t>
        </is>
      </c>
      <c r="B7" s="14" t="inlineStr">
        <is>
          <t>Primary steel: BF-BOF route</t>
        </is>
      </c>
      <c r="C7" s="14" t="inlineStr">
        <is>
          <t>Incremental: higher scrap charge in BOF, H2/biomass/plastics injection in BF, top-gas efficiency</t>
        </is>
      </c>
      <c r="D7" s="15" t="n">
        <v>20</v>
      </c>
      <c r="E7" s="15" t="n">
        <v>80</v>
      </c>
      <c r="F7" s="15" t="n">
        <v>0.2</v>
      </c>
      <c r="G7" s="15" t="n">
        <v>1</v>
      </c>
      <c r="H7" s="15" t="n">
        <v>0.3</v>
      </c>
      <c r="I7" s="15" t="n">
        <v>0.7</v>
      </c>
      <c r="J7" s="16">
        <f>IF(E7&lt;=D7,IF(J$2&gt;=D7,1,0),MIN(1,MAX(0,(J$2-D7)/(E7-D7))))</f>
        <v/>
      </c>
      <c r="K7" s="16">
        <f>IF(E7&lt;=D7,IF(K$2&gt;=D7,1,0),MIN(1,MAX(0,(K$2-D7)/(E7-D7))))</f>
        <v/>
      </c>
      <c r="L7" s="16">
        <f>IF(E7&lt;=D7,IF(L$2&gt;=D7,1,0),MIN(1,MAX(0,(L$2-D7)/(E7-D7))))</f>
        <v/>
      </c>
      <c r="M7" s="16">
        <f>IF(E7&lt;=D7,IF(M$2&gt;=D7,1,0),MIN(1,MAX(0,(M$2-D7)/(E7-D7))))</f>
        <v/>
      </c>
      <c r="N7" s="16">
        <f>IF(E7&lt;=D7,IF(N$2&gt;=D7,1,0),MIN(1,MAX(0,(N$2-D7)/(E7-D7))))</f>
        <v/>
      </c>
      <c r="O7" s="17">
        <f>F7*G7*H7*J7</f>
        <v/>
      </c>
      <c r="P7" s="17">
        <f>F7*G7*H7*K7</f>
        <v/>
      </c>
      <c r="Q7" s="17">
        <f>F7*G7*H7*L7</f>
        <v/>
      </c>
      <c r="R7" s="17">
        <f>F7*G7*H7*M7</f>
        <v/>
      </c>
      <c r="S7" s="17">
        <f>F7*G7*H7*N7</f>
        <v/>
      </c>
      <c r="T7" s="17">
        <f>F7*G7*I7*J7</f>
        <v/>
      </c>
      <c r="U7" s="17">
        <f>F7*G7*I7*K7</f>
        <v/>
      </c>
      <c r="V7" s="17">
        <f>F7*G7*I7*L7</f>
        <v/>
      </c>
      <c r="W7" s="17">
        <f>F7*G7*I7*M7</f>
        <v/>
      </c>
      <c r="X7" s="17">
        <f>F7*G7*I7*N7</f>
        <v/>
      </c>
      <c r="Y7" s="11" t="inlineStr">
        <is>
          <t>IPCC AR6 Ch.11: H2 co-firing 30-40% max (coke needed for stack integrity); 15% energy-efficiency potential (Fig 11.8); bio-coal limited by biomass demand. Costs: Fig 11.13 steel EE &lt;20, ME/circ 20-50, FeedCI 20-80.</t>
        </is>
      </c>
    </row>
    <row r="8">
      <c r="A8" s="14" t="inlineStr">
        <is>
          <t>BOF</t>
        </is>
      </c>
      <c r="B8" s="14" t="inlineStr">
        <is>
          <t>Primary steel: BF-BOF route</t>
        </is>
      </c>
      <c r="C8" s="14" t="inlineStr">
        <is>
          <t>BF-BOF with top-gas recycling + CCUS (retrofit, &lt;=50-60% capture)</t>
        </is>
      </c>
      <c r="D8" s="15" t="n">
        <v>70</v>
      </c>
      <c r="E8" s="15" t="n">
        <v>130</v>
      </c>
      <c r="F8" s="15" t="n">
        <v>0.6</v>
      </c>
      <c r="G8" s="15" t="n">
        <v>1</v>
      </c>
      <c r="H8" s="15" t="n">
        <v>0.03</v>
      </c>
      <c r="I8" s="15" t="n">
        <v>0.4</v>
      </c>
      <c r="J8" s="16">
        <f>IF(E8&lt;=D8,IF(J$2&gt;=D8,1,0),MIN(1,MAX(0,(J$2-D8)/(E8-D8))))</f>
        <v/>
      </c>
      <c r="K8" s="16">
        <f>IF(E8&lt;=D8,IF(K$2&gt;=D8,1,0),MIN(1,MAX(0,(K$2-D8)/(E8-D8))))</f>
        <v/>
      </c>
      <c r="L8" s="16">
        <f>IF(E8&lt;=D8,IF(L$2&gt;=D8,1,0),MIN(1,MAX(0,(L$2-D8)/(E8-D8))))</f>
        <v/>
      </c>
      <c r="M8" s="16">
        <f>IF(E8&lt;=D8,IF(M$2&gt;=D8,1,0),MIN(1,MAX(0,(M$2-D8)/(E8-D8))))</f>
        <v/>
      </c>
      <c r="N8" s="16">
        <f>IF(E8&lt;=D8,IF(N$2&gt;=D8,1,0),MIN(1,MAX(0,(N$2-D8)/(E8-D8))))</f>
        <v/>
      </c>
      <c r="O8" s="17">
        <f>F8*G8*H8*J8</f>
        <v/>
      </c>
      <c r="P8" s="17">
        <f>F8*G8*H8*K8</f>
        <v/>
      </c>
      <c r="Q8" s="17">
        <f>F8*G8*H8*L8</f>
        <v/>
      </c>
      <c r="R8" s="17">
        <f>F8*G8*H8*M8</f>
        <v/>
      </c>
      <c r="S8" s="17">
        <f>F8*G8*H8*N8</f>
        <v/>
      </c>
      <c r="T8" s="17">
        <f>F8*G8*I8*J8</f>
        <v/>
      </c>
      <c r="U8" s="17">
        <f>F8*G8*I8*K8</f>
        <v/>
      </c>
      <c r="V8" s="17">
        <f>F8*G8*I8*L8</f>
        <v/>
      </c>
      <c r="W8" s="17">
        <f>F8*G8*I8*M8</f>
        <v/>
      </c>
      <c r="X8" s="17">
        <f>F8*G8*I8*N8</f>
        <v/>
      </c>
      <c r="Y8" s="11" t="inlineStr">
        <is>
          <t>IPCC AR6 Table 11.3: BF-BOF + TGR + CCUS 60% at USD70-130 (2025-30); Ch.11: hard to retrofit beyond 50% capture; Fig 11.13 steel CCUS 60-100. Table 12.3 2030 CCUS in 100-200 bin -&gt; d2030 ~0.</t>
        </is>
      </c>
    </row>
    <row r="9">
      <c r="A9" s="14" t="inlineStr">
        <is>
          <t>BOF</t>
        </is>
      </c>
      <c r="B9" s="14" t="inlineStr">
        <is>
          <t>Primary steel: BF-BOF route</t>
        </is>
      </c>
      <c r="C9" s="14" t="inlineStr">
        <is>
          <t>Route switch at relining: H2-DRI-EAF (or HIsarna+CCS, syngas DRI+CCS)</t>
        </is>
      </c>
      <c r="D9" s="15" t="n">
        <v>40</v>
      </c>
      <c r="E9" s="15" t="n">
        <v>120</v>
      </c>
      <c r="F9" s="15" t="n">
        <v>0.95</v>
      </c>
      <c r="G9" s="15" t="n">
        <v>1</v>
      </c>
      <c r="H9" s="15" t="n">
        <v>0.05</v>
      </c>
      <c r="I9" s="15" t="n">
        <v>0.4</v>
      </c>
      <c r="J9" s="16">
        <f>IF(E9&lt;=D9,IF(J$2&gt;=D9,1,0),MIN(1,MAX(0,(J$2-D9)/(E9-D9))))</f>
        <v/>
      </c>
      <c r="K9" s="16">
        <f>IF(E9&lt;=D9,IF(K$2&gt;=D9,1,0),MIN(1,MAX(0,(K$2-D9)/(E9-D9))))</f>
        <v/>
      </c>
      <c r="L9" s="16">
        <f>IF(E9&lt;=D9,IF(L$2&gt;=D9,1,0),MIN(1,MAX(0,(L$2-D9)/(E9-D9))))</f>
        <v/>
      </c>
      <c r="M9" s="16">
        <f>IF(E9&lt;=D9,IF(M$2&gt;=D9,1,0),MIN(1,MAX(0,(M$2-D9)/(E9-D9))))</f>
        <v/>
      </c>
      <c r="N9" s="16">
        <f>IF(E9&lt;=D9,IF(N$2&gt;=D9,1,0),MIN(1,MAX(0,(N$2-D9)/(E9-D9))))</f>
        <v/>
      </c>
      <c r="O9" s="17">
        <f>F9*G9*H9*J9</f>
        <v/>
      </c>
      <c r="P9" s="17">
        <f>F9*G9*H9*K9</f>
        <v/>
      </c>
      <c r="Q9" s="17">
        <f>F9*G9*H9*L9</f>
        <v/>
      </c>
      <c r="R9" s="17">
        <f>F9*G9*H9*M9</f>
        <v/>
      </c>
      <c r="S9" s="17">
        <f>F9*G9*H9*N9</f>
        <v/>
      </c>
      <c r="T9" s="17">
        <f>F9*G9*I9*J9</f>
        <v/>
      </c>
      <c r="U9" s="17">
        <f>F9*G9*I9*K9</f>
        <v/>
      </c>
      <c r="V9" s="17">
        <f>F9*G9*I9*L9</f>
        <v/>
      </c>
      <c r="W9" s="17">
        <f>F9*G9*I9*M9</f>
        <v/>
      </c>
      <c r="X9" s="17">
        <f>F9*G9*I9*N9</f>
        <v/>
      </c>
      <c r="Y9" s="11" t="inlineStr">
        <is>
          <t>IPCC AR6 Table 11.3: H2-DRI-EAF up to 99% at USD39-79 (EUR40/MWh electricity); HIsarna+CCS 80-90% at USD40-70; syngas DRI-EAF+CCUS &gt;=90% at &gt;=USD40; ETC steel avg USD60; Material Economics new-process pathway EUR91. Upper bound 120 reflects higher electricity prices. SPM C.5.2: H2-DRI 'near-commercial'. Relining cycle 15-25 yrs -&gt; dLR=0.4 at USD100.</t>
        </is>
      </c>
    </row>
    <row r="10">
      <c r="A10" s="14" t="inlineStr">
        <is>
          <t>DRI</t>
        </is>
      </c>
      <c r="B10" s="14" t="inlineStr">
        <is>
          <t>Primary steel: natural-gas DRI-EAF route (Egypt-type)</t>
        </is>
      </c>
      <c r="C10" s="14" t="inlineStr">
        <is>
          <t>CO2 capture on DRI process gas (concentrated top-gas stream) + T&amp;S (Al Reyadah/Emirates Steel type)</t>
        </is>
      </c>
      <c r="D10" s="15" t="n">
        <v>40</v>
      </c>
      <c r="E10" s="15" t="n">
        <v>90</v>
      </c>
      <c r="F10" s="15" t="n">
        <v>0.85</v>
      </c>
      <c r="G10" s="15" t="n">
        <v>0.85</v>
      </c>
      <c r="H10" s="15" t="n">
        <v>0.1</v>
      </c>
      <c r="I10" s="15" t="n">
        <v>0.6</v>
      </c>
      <c r="J10" s="16">
        <f>IF(E10&lt;=D10,IF(J$2&gt;=D10,1,0),MIN(1,MAX(0,(J$2-D10)/(E10-D10))))</f>
        <v/>
      </c>
      <c r="K10" s="16">
        <f>IF(E10&lt;=D10,IF(K$2&gt;=D10,1,0),MIN(1,MAX(0,(K$2-D10)/(E10-D10))))</f>
        <v/>
      </c>
      <c r="L10" s="16">
        <f>IF(E10&lt;=D10,IF(L$2&gt;=D10,1,0),MIN(1,MAX(0,(L$2-D10)/(E10-D10))))</f>
        <v/>
      </c>
      <c r="M10" s="16">
        <f>IF(E10&lt;=D10,IF(M$2&gt;=D10,1,0),MIN(1,MAX(0,(M$2-D10)/(E10-D10))))</f>
        <v/>
      </c>
      <c r="N10" s="16">
        <f>IF(E10&lt;=D10,IF(N$2&gt;=D10,1,0),MIN(1,MAX(0,(N$2-D10)/(E10-D10))))</f>
        <v/>
      </c>
      <c r="O10" s="17">
        <f>F10*G10*H10*J10</f>
        <v/>
      </c>
      <c r="P10" s="17">
        <f>F10*G10*H10*K10</f>
        <v/>
      </c>
      <c r="Q10" s="17">
        <f>F10*G10*H10*L10</f>
        <v/>
      </c>
      <c r="R10" s="17">
        <f>F10*G10*H10*M10</f>
        <v/>
      </c>
      <c r="S10" s="17">
        <f>F10*G10*H10*N10</f>
        <v/>
      </c>
      <c r="T10" s="17">
        <f>F10*G10*I10*J10</f>
        <v/>
      </c>
      <c r="U10" s="17">
        <f>F10*G10*I10*K10</f>
        <v/>
      </c>
      <c r="V10" s="17">
        <f>F10*G10*I10*L10</f>
        <v/>
      </c>
      <c r="W10" s="17">
        <f>F10*G10*I10*M10</f>
        <v/>
      </c>
      <c r="X10" s="17">
        <f>F10*G10*I10*N10</f>
        <v/>
      </c>
      <c r="Y10" s="11" t="inlineStr">
        <is>
          <t>IPCC AR6 Table 11.3: syngas DRI-EAF + CCUS &gt;=90% at &gt;=USD40; Ch.11 11.4.1.1 Abu Dhabi DRI capture operating since 2016; concentrated-CO2 storage USD10-40 (fn f). s=0.85 = DRI share of route process emissions.</t>
        </is>
      </c>
    </row>
    <row r="11">
      <c r="A11" s="14" t="inlineStr">
        <is>
          <t>DRI</t>
        </is>
      </c>
      <c r="B11" s="14" t="inlineStr">
        <is>
          <t>Primary steel: natural-gas DRI-EAF route (Egypt-type)</t>
        </is>
      </c>
      <c r="C11" s="14" t="inlineStr">
        <is>
          <t>Hydrogen blending &lt;=30% in existing DRI shaft (no process change)</t>
        </is>
      </c>
      <c r="D11" s="15" t="n">
        <v>70</v>
      </c>
      <c r="E11" s="15" t="n">
        <v>400</v>
      </c>
      <c r="F11" s="15" t="n">
        <v>0.3</v>
      </c>
      <c r="G11" s="15" t="n">
        <v>0.85</v>
      </c>
      <c r="H11" s="15" t="n">
        <v>0.3</v>
      </c>
      <c r="I11" s="15" t="n">
        <v>0.8</v>
      </c>
      <c r="J11" s="16">
        <f>IF(E11&lt;=D11,IF(J$2&gt;=D11,1,0),MIN(1,MAX(0,(J$2-D11)/(E11-D11))))</f>
        <v/>
      </c>
      <c r="K11" s="16">
        <f>IF(E11&lt;=D11,IF(K$2&gt;=D11,1,0),MIN(1,MAX(0,(K$2-D11)/(E11-D11))))</f>
        <v/>
      </c>
      <c r="L11" s="16">
        <f>IF(E11&lt;=D11,IF(L$2&gt;=D11,1,0),MIN(1,MAX(0,(L$2-D11)/(E11-D11))))</f>
        <v/>
      </c>
      <c r="M11" s="16">
        <f>IF(E11&lt;=D11,IF(M$2&gt;=D11,1,0),MIN(1,MAX(0,(M$2-D11)/(E11-D11))))</f>
        <v/>
      </c>
      <c r="N11" s="16">
        <f>IF(E11&lt;=D11,IF(N$2&gt;=D11,1,0),MIN(1,MAX(0,(N$2-D11)/(E11-D11))))</f>
        <v/>
      </c>
      <c r="O11" s="17">
        <f>F11*G11*H11*J11</f>
        <v/>
      </c>
      <c r="P11" s="17">
        <f>F11*G11*H11*K11</f>
        <v/>
      </c>
      <c r="Q11" s="17">
        <f>F11*G11*H11*L11</f>
        <v/>
      </c>
      <c r="R11" s="17">
        <f>F11*G11*H11*M11</f>
        <v/>
      </c>
      <c r="S11" s="17">
        <f>F11*G11*H11*N11</f>
        <v/>
      </c>
      <c r="T11" s="17">
        <f>F11*G11*I11*J11</f>
        <v/>
      </c>
      <c r="U11" s="17">
        <f>F11*G11*I11*K11</f>
        <v/>
      </c>
      <c r="V11" s="17">
        <f>F11*G11*I11*L11</f>
        <v/>
      </c>
      <c r="W11" s="17">
        <f>F11*G11*I11*M11</f>
        <v/>
      </c>
      <c r="X11" s="17">
        <f>F11*G11*I11*N11</f>
        <v/>
      </c>
      <c r="Y11" s="11" t="inlineStr">
        <is>
          <t>IPCC AR6 Ch.11: &lt;=30% H2 substitutable without process change. Cost = H2 premium: at H2 USD1.0-3.0/kg vs gas USD5/MMBtu, abatement cost ~70-400 USD/tCO2 (own calc.: 1 kg H2 displaces 0.114 MMBtu gas = 6 kgCO2).</t>
        </is>
      </c>
    </row>
    <row r="12">
      <c r="A12" s="14" t="inlineStr">
        <is>
          <t>DRI</t>
        </is>
      </c>
      <c r="B12" s="14" t="inlineStr">
        <is>
          <t>Primary steel: natural-gas DRI-EAF route (Egypt-type)</t>
        </is>
      </c>
      <c r="C12" s="14" t="inlineStr">
        <is>
          <t>Full conversion to H2-DRI (electrolytic hydrogen)</t>
        </is>
      </c>
      <c r="D12" s="15" t="n">
        <v>40</v>
      </c>
      <c r="E12" s="15" t="n">
        <v>120</v>
      </c>
      <c r="F12" s="15" t="n">
        <v>0.95</v>
      </c>
      <c r="G12" s="15" t="n">
        <v>0.85</v>
      </c>
      <c r="H12" s="15" t="n">
        <v>0.05</v>
      </c>
      <c r="I12" s="15" t="n">
        <v>0.35</v>
      </c>
      <c r="J12" s="16">
        <f>IF(E12&lt;=D12,IF(J$2&gt;=D12,1,0),MIN(1,MAX(0,(J$2-D12)/(E12-D12))))</f>
        <v/>
      </c>
      <c r="K12" s="16">
        <f>IF(E12&lt;=D12,IF(K$2&gt;=D12,1,0),MIN(1,MAX(0,(K$2-D12)/(E12-D12))))</f>
        <v/>
      </c>
      <c r="L12" s="16">
        <f>IF(E12&lt;=D12,IF(L$2&gt;=D12,1,0),MIN(1,MAX(0,(L$2-D12)/(E12-D12))))</f>
        <v/>
      </c>
      <c r="M12" s="16">
        <f>IF(E12&lt;=D12,IF(M$2&gt;=D12,1,0),MIN(1,MAX(0,(M$2-D12)/(E12-D12))))</f>
        <v/>
      </c>
      <c r="N12" s="16">
        <f>IF(E12&lt;=D12,IF(N$2&gt;=D12,1,0),MIN(1,MAX(0,(N$2-D12)/(E12-D12))))</f>
        <v/>
      </c>
      <c r="O12" s="17">
        <f>F12*G12*H12*J12</f>
        <v/>
      </c>
      <c r="P12" s="17">
        <f>F12*G12*H12*K12</f>
        <v/>
      </c>
      <c r="Q12" s="17">
        <f>F12*G12*H12*L12</f>
        <v/>
      </c>
      <c r="R12" s="17">
        <f>F12*G12*H12*M12</f>
        <v/>
      </c>
      <c r="S12" s="17">
        <f>F12*G12*H12*N12</f>
        <v/>
      </c>
      <c r="T12" s="17">
        <f>F12*G12*I12*J12</f>
        <v/>
      </c>
      <c r="U12" s="17">
        <f>F12*G12*I12*K12</f>
        <v/>
      </c>
      <c r="V12" s="17">
        <f>F12*G12*I12*L12</f>
        <v/>
      </c>
      <c r="W12" s="17">
        <f>F12*G12*I12*M12</f>
        <v/>
      </c>
      <c r="X12" s="17">
        <f>F12*G12*I12*N12</f>
        <v/>
      </c>
      <c r="Y12" s="11" t="inlineStr">
        <is>
          <t>IPCC AR6 Table 11.3: H2-DRI-EAF up to 99% at USD39-79 (converted from EUR2018 34-68; EUR40/MWh). Brownfield DRI plants are the easiest conversion candidates.</t>
        </is>
      </c>
    </row>
    <row r="13">
      <c r="A13" s="14" t="inlineStr">
        <is>
          <t>DRI</t>
        </is>
      </c>
      <c r="B13" s="14" t="inlineStr">
        <is>
          <t>Primary steel: natural-gas DRI-EAF route (Egypt-type)</t>
        </is>
      </c>
      <c r="C13" s="14" t="inlineStr">
        <is>
          <t>EAF: bio-based charge carbon/electrodes, lime from decarbonised kilns</t>
        </is>
      </c>
      <c r="D13" s="15" t="n">
        <v>50</v>
      </c>
      <c r="E13" s="15" t="n">
        <v>150</v>
      </c>
      <c r="F13" s="15" t="n">
        <v>0.5</v>
      </c>
      <c r="G13" s="15" t="n">
        <v>0.15</v>
      </c>
      <c r="H13" s="15" t="n">
        <v>0.2</v>
      </c>
      <c r="I13" s="15" t="n">
        <v>0.7</v>
      </c>
      <c r="J13" s="16">
        <f>IF(E13&lt;=D13,IF(J$2&gt;=D13,1,0),MIN(1,MAX(0,(J$2-D13)/(E13-D13))))</f>
        <v/>
      </c>
      <c r="K13" s="16">
        <f>IF(E13&lt;=D13,IF(K$2&gt;=D13,1,0),MIN(1,MAX(0,(K$2-D13)/(E13-D13))))</f>
        <v/>
      </c>
      <c r="L13" s="16">
        <f>IF(E13&lt;=D13,IF(L$2&gt;=D13,1,0),MIN(1,MAX(0,(L$2-D13)/(E13-D13))))</f>
        <v/>
      </c>
      <c r="M13" s="16">
        <f>IF(E13&lt;=D13,IF(M$2&gt;=D13,1,0),MIN(1,MAX(0,(M$2-D13)/(E13-D13))))</f>
        <v/>
      </c>
      <c r="N13" s="16">
        <f>IF(E13&lt;=D13,IF(N$2&gt;=D13,1,0),MIN(1,MAX(0,(N$2-D13)/(E13-D13))))</f>
        <v/>
      </c>
      <c r="O13" s="17">
        <f>F13*G13*H13*J13</f>
        <v/>
      </c>
      <c r="P13" s="17">
        <f>F13*G13*H13*K13</f>
        <v/>
      </c>
      <c r="Q13" s="17">
        <f>F13*G13*H13*L13</f>
        <v/>
      </c>
      <c r="R13" s="17">
        <f>F13*G13*H13*M13</f>
        <v/>
      </c>
      <c r="S13" s="17">
        <f>F13*G13*H13*N13</f>
        <v/>
      </c>
      <c r="T13" s="17">
        <f>F13*G13*I13*J13</f>
        <v/>
      </c>
      <c r="U13" s="17">
        <f>F13*G13*I13*K13</f>
        <v/>
      </c>
      <c r="V13" s="17">
        <f>F13*G13*I13*L13</f>
        <v/>
      </c>
      <c r="W13" s="17">
        <f>F13*G13*I13*M13</f>
        <v/>
      </c>
      <c r="X13" s="17">
        <f>F13*G13*I13*N13</f>
        <v/>
      </c>
      <c r="Y13" s="11" t="inlineStr">
        <is>
          <t>Analyst judgement; see scrap-EAF row for sources.</t>
        </is>
      </c>
    </row>
    <row r="14">
      <c r="A14" s="14" t="inlineStr">
        <is>
          <t>EAF</t>
        </is>
      </c>
      <c r="B14" s="14" t="inlineStr">
        <is>
          <t>Secondary steel: scrap-EAF</t>
        </is>
      </c>
      <c r="C14" s="14" t="inlineStr">
        <is>
          <t>Operational optimisation (electrode consumption, carbon injection control, foamy-slag practice)</t>
        </is>
      </c>
      <c r="D14" s="15" t="n">
        <v>0</v>
      </c>
      <c r="E14" s="15" t="n">
        <v>20</v>
      </c>
      <c r="F14" s="15" t="n">
        <v>0.15</v>
      </c>
      <c r="G14" s="15" t="n">
        <v>0.7</v>
      </c>
      <c r="H14" s="15" t="n">
        <v>0.5</v>
      </c>
      <c r="I14" s="15" t="n">
        <v>0.8</v>
      </c>
      <c r="J14" s="16">
        <f>IF(E14&lt;=D14,IF(J$2&gt;=D14,1,0),MIN(1,MAX(0,(J$2-D14)/(E14-D14))))</f>
        <v/>
      </c>
      <c r="K14" s="16">
        <f>IF(E14&lt;=D14,IF(K$2&gt;=D14,1,0),MIN(1,MAX(0,(K$2-D14)/(E14-D14))))</f>
        <v/>
      </c>
      <c r="L14" s="16">
        <f>IF(E14&lt;=D14,IF(L$2&gt;=D14,1,0),MIN(1,MAX(0,(L$2-D14)/(E14-D14))))</f>
        <v/>
      </c>
      <c r="M14" s="16">
        <f>IF(E14&lt;=D14,IF(M$2&gt;=D14,1,0),MIN(1,MAX(0,(M$2-D14)/(E14-D14))))</f>
        <v/>
      </c>
      <c r="N14" s="16">
        <f>IF(E14&lt;=D14,IF(N$2&gt;=D14,1,0),MIN(1,MAX(0,(N$2-D14)/(E14-D14))))</f>
        <v/>
      </c>
      <c r="O14" s="17">
        <f>F14*G14*H14*J14</f>
        <v/>
      </c>
      <c r="P14" s="17">
        <f>F14*G14*H14*K14</f>
        <v/>
      </c>
      <c r="Q14" s="17">
        <f>F14*G14*H14*L14</f>
        <v/>
      </c>
      <c r="R14" s="17">
        <f>F14*G14*H14*M14</f>
        <v/>
      </c>
      <c r="S14" s="17">
        <f>F14*G14*H14*N14</f>
        <v/>
      </c>
      <c r="T14" s="17">
        <f>F14*G14*I14*J14</f>
        <v/>
      </c>
      <c r="U14" s="17">
        <f>F14*G14*I14*K14</f>
        <v/>
      </c>
      <c r="V14" s="17">
        <f>F14*G14*I14*L14</f>
        <v/>
      </c>
      <c r="W14" s="17">
        <f>F14*G14*I14*M14</f>
        <v/>
      </c>
      <c r="X14" s="17">
        <f>F14*G14*I14*N14</f>
        <v/>
      </c>
      <c r="Y14" s="11" t="inlineStr">
        <is>
          <t>Low/no-cost measures; s=0.7 = share of EAF process CO2 from carbon inputs (remainder = flux calcination). Analyst judgement, consistent with IPCC Fig 11.13 steel EE &lt;USD20.</t>
        </is>
      </c>
    </row>
    <row r="15">
      <c r="A15" s="14" t="inlineStr">
        <is>
          <t>EAF</t>
        </is>
      </c>
      <c r="B15" s="14" t="inlineStr">
        <is>
          <t>Secondary steel: scrap-EAF</t>
        </is>
      </c>
      <c r="C15" s="14" t="inlineStr">
        <is>
          <t>Bio-based charge carbon / biochar, bio-derived electrodes</t>
        </is>
      </c>
      <c r="D15" s="15" t="n">
        <v>50</v>
      </c>
      <c r="E15" s="15" t="n">
        <v>150</v>
      </c>
      <c r="F15" s="15" t="n">
        <v>0.6</v>
      </c>
      <c r="G15" s="15" t="n">
        <v>0.7</v>
      </c>
      <c r="H15" s="15" t="n">
        <v>0.2</v>
      </c>
      <c r="I15" s="15" t="n">
        <v>0.7</v>
      </c>
      <c r="J15" s="16">
        <f>IF(E15&lt;=D15,IF(J$2&gt;=D15,1,0),MIN(1,MAX(0,(J$2-D15)/(E15-D15))))</f>
        <v/>
      </c>
      <c r="K15" s="16">
        <f>IF(E15&lt;=D15,IF(K$2&gt;=D15,1,0),MIN(1,MAX(0,(K$2-D15)/(E15-D15))))</f>
        <v/>
      </c>
      <c r="L15" s="16">
        <f>IF(E15&lt;=D15,IF(L$2&gt;=D15,1,0),MIN(1,MAX(0,(L$2-D15)/(E15-D15))))</f>
        <v/>
      </c>
      <c r="M15" s="16">
        <f>IF(E15&lt;=D15,IF(M$2&gt;=D15,1,0),MIN(1,MAX(0,(M$2-D15)/(E15-D15))))</f>
        <v/>
      </c>
      <c r="N15" s="16">
        <f>IF(E15&lt;=D15,IF(N$2&gt;=D15,1,0),MIN(1,MAX(0,(N$2-D15)/(E15-D15))))</f>
        <v/>
      </c>
      <c r="O15" s="17">
        <f>F15*G15*H15*J15</f>
        <v/>
      </c>
      <c r="P15" s="17">
        <f>F15*G15*H15*K15</f>
        <v/>
      </c>
      <c r="Q15" s="17">
        <f>F15*G15*H15*L15</f>
        <v/>
      </c>
      <c r="R15" s="17">
        <f>F15*G15*H15*M15</f>
        <v/>
      </c>
      <c r="S15" s="17">
        <f>F15*G15*H15*N15</f>
        <v/>
      </c>
      <c r="T15" s="17">
        <f>F15*G15*I15*J15</f>
        <v/>
      </c>
      <c r="U15" s="17">
        <f>F15*G15*I15*K15</f>
        <v/>
      </c>
      <c r="V15" s="17">
        <f>F15*G15*I15*L15</f>
        <v/>
      </c>
      <c r="W15" s="17">
        <f>F15*G15*I15*M15</f>
        <v/>
      </c>
      <c r="X15" s="17">
        <f>F15*G15*I15*N15</f>
        <v/>
      </c>
      <c r="Y15" s="11" t="inlineStr">
        <is>
          <t>IPCC AR6 Ch.11: bio-based fuels can substitute part of coal input but limited by biomass demand; cost range from biochar price premium (analyst calc.).</t>
        </is>
      </c>
    </row>
    <row r="16">
      <c r="A16" s="14" t="inlineStr">
        <is>
          <t>EAF</t>
        </is>
      </c>
      <c r="B16" s="14" t="inlineStr">
        <is>
          <t>Secondary steel: scrap-EAF</t>
        </is>
      </c>
      <c r="C16" s="14" t="inlineStr">
        <is>
          <t>Lime/dolime from kilns with CO2 capture (supply-chain measure)</t>
        </is>
      </c>
      <c r="D16" s="15" t="n">
        <v>60</v>
      </c>
      <c r="E16" s="15" t="n">
        <v>130</v>
      </c>
      <c r="F16" s="15" t="n">
        <v>0.9</v>
      </c>
      <c r="G16" s="15" t="n">
        <v>0.3</v>
      </c>
      <c r="H16" s="15" t="n">
        <v>0.02</v>
      </c>
      <c r="I16" s="15" t="n">
        <v>0.4</v>
      </c>
      <c r="J16" s="16">
        <f>IF(E16&lt;=D16,IF(J$2&gt;=D16,1,0),MIN(1,MAX(0,(J$2-D16)/(E16-D16))))</f>
        <v/>
      </c>
      <c r="K16" s="16">
        <f>IF(E16&lt;=D16,IF(K$2&gt;=D16,1,0),MIN(1,MAX(0,(K$2-D16)/(E16-D16))))</f>
        <v/>
      </c>
      <c r="L16" s="16">
        <f>IF(E16&lt;=D16,IF(L$2&gt;=D16,1,0),MIN(1,MAX(0,(L$2-D16)/(E16-D16))))</f>
        <v/>
      </c>
      <c r="M16" s="16">
        <f>IF(E16&lt;=D16,IF(M$2&gt;=D16,1,0),MIN(1,MAX(0,(M$2-D16)/(E16-D16))))</f>
        <v/>
      </c>
      <c r="N16" s="16">
        <f>IF(E16&lt;=D16,IF(N$2&gt;=D16,1,0),MIN(1,MAX(0,(N$2-D16)/(E16-D16))))</f>
        <v/>
      </c>
      <c r="O16" s="17">
        <f>F16*G16*H16*J16</f>
        <v/>
      </c>
      <c r="P16" s="17">
        <f>F16*G16*H16*K16</f>
        <v/>
      </c>
      <c r="Q16" s="17">
        <f>F16*G16*H16*L16</f>
        <v/>
      </c>
      <c r="R16" s="17">
        <f>F16*G16*H16*M16</f>
        <v/>
      </c>
      <c r="S16" s="17">
        <f>F16*G16*H16*N16</f>
        <v/>
      </c>
      <c r="T16" s="17">
        <f>F16*G16*I16*J16</f>
        <v/>
      </c>
      <c r="U16" s="17">
        <f>F16*G16*I16*K16</f>
        <v/>
      </c>
      <c r="V16" s="17">
        <f>F16*G16*I16*L16</f>
        <v/>
      </c>
      <c r="W16" s="17">
        <f>F16*G16*I16*M16</f>
        <v/>
      </c>
      <c r="X16" s="17">
        <f>F16*G16*I16*N16</f>
        <v/>
      </c>
      <c r="Y16" s="11" t="inlineStr">
        <is>
          <t>Same cost basis as cement calcination capture (IPCC Table 11.3 / Fig 11.13).</t>
        </is>
      </c>
    </row>
    <row r="17">
      <c r="A17" s="14" t="inlineStr">
        <is>
          <t>ALU</t>
        </is>
      </c>
      <c r="B17" s="14" t="inlineStr">
        <is>
          <t>Primary aluminium (Hall-Heroult)</t>
        </is>
      </c>
      <c r="C17" s="14" t="inlineStr">
        <is>
          <t>PFC control: anode-effect reduction (point feeders, process control, LV-PFC management)</t>
        </is>
      </c>
      <c r="D17" s="15" t="n">
        <v>0</v>
      </c>
      <c r="E17" s="15" t="n">
        <v>20</v>
      </c>
      <c r="F17" s="15" t="n">
        <v>0.7</v>
      </c>
      <c r="G17" s="15" t="n">
        <v>0.28</v>
      </c>
      <c r="H17" s="15" t="n">
        <v>0.3</v>
      </c>
      <c r="I17" s="15" t="n">
        <v>0.8</v>
      </c>
      <c r="J17" s="16">
        <f>IF(E17&lt;=D17,IF(J$2&gt;=D17,1,0),MIN(1,MAX(0,(J$2-D17)/(E17-D17))))</f>
        <v/>
      </c>
      <c r="K17" s="16">
        <f>IF(E17&lt;=D17,IF(K$2&gt;=D17,1,0),MIN(1,MAX(0,(K$2-D17)/(E17-D17))))</f>
        <v/>
      </c>
      <c r="L17" s="16">
        <f>IF(E17&lt;=D17,IF(L$2&gt;=D17,1,0),MIN(1,MAX(0,(L$2-D17)/(E17-D17))))</f>
        <v/>
      </c>
      <c r="M17" s="16">
        <f>IF(E17&lt;=D17,IF(M$2&gt;=D17,1,0),MIN(1,MAX(0,(M$2-D17)/(E17-D17))))</f>
        <v/>
      </c>
      <c r="N17" s="16">
        <f>IF(E17&lt;=D17,IF(N$2&gt;=D17,1,0),MIN(1,MAX(0,(N$2-D17)/(E17-D17))))</f>
        <v/>
      </c>
      <c r="O17" s="17">
        <f>F17*G17*H17*J17</f>
        <v/>
      </c>
      <c r="P17" s="17">
        <f>F17*G17*H17*K17</f>
        <v/>
      </c>
      <c r="Q17" s="17">
        <f>F17*G17*H17*L17</f>
        <v/>
      </c>
      <c r="R17" s="17">
        <f>F17*G17*H17*M17</f>
        <v/>
      </c>
      <c r="S17" s="17">
        <f>F17*G17*H17*N17</f>
        <v/>
      </c>
      <c r="T17" s="17">
        <f>F17*G17*I17*J17</f>
        <v/>
      </c>
      <c r="U17" s="17">
        <f>F17*G17*I17*K17</f>
        <v/>
      </c>
      <c r="V17" s="17">
        <f>F17*G17*I17*L17</f>
        <v/>
      </c>
      <c r="W17" s="17">
        <f>F17*G17*I17*M17</f>
        <v/>
      </c>
      <c r="X17" s="17">
        <f>F17*G17*I17*N17</f>
        <v/>
      </c>
      <c r="Y17" s="11" t="inlineStr">
        <is>
          <t>IPCC AR4 Ch.7: PFC steps 'mainly low or no-cost'; intensity fell 4.4 -&gt; 1.2 tCO2e/t 1990-2004; AR4 Table 7.9: 7.6 of 51 Mt (15%) of 2030 PFC baseline &lt;USD20 (remaining potential concentrated in non-BAT smelters). r=0.7 for non-BAT smelters.</t>
        </is>
      </c>
    </row>
    <row r="18">
      <c r="A18" s="14" t="inlineStr">
        <is>
          <t>ALU</t>
        </is>
      </c>
      <c r="B18" s="14" t="inlineStr">
        <is>
          <t>Primary aluminium (Hall-Heroult)</t>
        </is>
      </c>
      <c r="C18" s="14" t="inlineStr">
        <is>
          <t>Inert (non-carbon) anodes - eliminates anode CO2 and PFCs</t>
        </is>
      </c>
      <c r="D18" s="15" t="n">
        <v>40</v>
      </c>
      <c r="E18" s="15" t="n">
        <v>150</v>
      </c>
      <c r="F18" s="15" t="n">
        <v>1</v>
      </c>
      <c r="G18" s="15" t="n">
        <v>1</v>
      </c>
      <c r="H18" s="15" t="n">
        <v>0.02</v>
      </c>
      <c r="I18" s="15" t="n">
        <v>0.45</v>
      </c>
      <c r="J18" s="16">
        <f>IF(E18&lt;=D18,IF(J$2&gt;=D18,1,0),MIN(1,MAX(0,(J$2-D18)/(E18-D18))))</f>
        <v/>
      </c>
      <c r="K18" s="16">
        <f>IF(E18&lt;=D18,IF(K$2&gt;=D18,1,0),MIN(1,MAX(0,(K$2-D18)/(E18-D18))))</f>
        <v/>
      </c>
      <c r="L18" s="16">
        <f>IF(E18&lt;=D18,IF(L$2&gt;=D18,1,0),MIN(1,MAX(0,(L$2-D18)/(E18-D18))))</f>
        <v/>
      </c>
      <c r="M18" s="16">
        <f>IF(E18&lt;=D18,IF(M$2&gt;=D18,1,0),MIN(1,MAX(0,(M$2-D18)/(E18-D18))))</f>
        <v/>
      </c>
      <c r="N18" s="16">
        <f>IF(E18&lt;=D18,IF(N$2&gt;=D18,1,0),MIN(1,MAX(0,(N$2-D18)/(E18-D18))))</f>
        <v/>
      </c>
      <c r="O18" s="17">
        <f>F18*G18*H18*J18</f>
        <v/>
      </c>
      <c r="P18" s="17">
        <f>F18*G18*H18*K18</f>
        <v/>
      </c>
      <c r="Q18" s="17">
        <f>F18*G18*H18*L18</f>
        <v/>
      </c>
      <c r="R18" s="17">
        <f>F18*G18*H18*M18</f>
        <v/>
      </c>
      <c r="S18" s="17">
        <f>F18*G18*H18*N18</f>
        <v/>
      </c>
      <c r="T18" s="17">
        <f>F18*G18*I18*J18</f>
        <v/>
      </c>
      <c r="U18" s="17">
        <f>F18*G18*I18*K18</f>
        <v/>
      </c>
      <c r="V18" s="17">
        <f>F18*G18*I18*L18</f>
        <v/>
      </c>
      <c r="W18" s="17">
        <f>F18*G18*I18*M18</f>
        <v/>
      </c>
      <c r="X18" s="17">
        <f>F18*G18*I18*N18</f>
        <v/>
      </c>
      <c r="Y18" s="11" t="inlineStr">
        <is>
          <t>IPCC AR6 Table 11.3 &amp; fn h: inert electrodes 100% of process emissions at 'relatively low' cost, TRL 6-7, commercialisation target 2024 (ELYSIS); no USD/tCO2 figure given -&gt; wide analyst range 40-150. Pot relining cycle ~5-7 yrs allows retrofit; dLR=0.45.</t>
        </is>
      </c>
    </row>
    <row r="19">
      <c r="A19" s="14" t="inlineStr">
        <is>
          <t>NH3</t>
        </is>
      </c>
      <c r="B19" s="14" t="inlineStr">
        <is>
          <t>Ammonia (natural-gas SMR; merchant and non-urea uses)</t>
        </is>
      </c>
      <c r="C19" s="14" t="inlineStr">
        <is>
          <t>CCS of already-separated process CO2 (compression + T&amp;S) - plants not integrated with urea</t>
        </is>
      </c>
      <c r="D19" s="15" t="n">
        <v>15</v>
      </c>
      <c r="E19" s="15" t="n">
        <v>50</v>
      </c>
      <c r="F19" s="15" t="n">
        <v>0.95</v>
      </c>
      <c r="G19" s="15" t="n">
        <v>0.45</v>
      </c>
      <c r="H19" s="15" t="n">
        <v>0.3</v>
      </c>
      <c r="I19" s="15" t="n">
        <v>0.8</v>
      </c>
      <c r="J19" s="16">
        <f>IF(E19&lt;=D19,IF(J$2&gt;=D19,1,0),MIN(1,MAX(0,(J$2-D19)/(E19-D19))))</f>
        <v/>
      </c>
      <c r="K19" s="16">
        <f>IF(E19&lt;=D19,IF(K$2&gt;=D19,1,0),MIN(1,MAX(0,(K$2-D19)/(E19-D19))))</f>
        <v/>
      </c>
      <c r="L19" s="16">
        <f>IF(E19&lt;=D19,IF(L$2&gt;=D19,1,0),MIN(1,MAX(0,(L$2-D19)/(E19-D19))))</f>
        <v/>
      </c>
      <c r="M19" s="16">
        <f>IF(E19&lt;=D19,IF(M$2&gt;=D19,1,0),MIN(1,MAX(0,(M$2-D19)/(E19-D19))))</f>
        <v/>
      </c>
      <c r="N19" s="16">
        <f>IF(E19&lt;=D19,IF(N$2&gt;=D19,1,0),MIN(1,MAX(0,(N$2-D19)/(E19-D19))))</f>
        <v/>
      </c>
      <c r="O19" s="17">
        <f>F19*G19*H19*J19</f>
        <v/>
      </c>
      <c r="P19" s="17">
        <f>F19*G19*H19*K19</f>
        <v/>
      </c>
      <c r="Q19" s="17">
        <f>F19*G19*H19*L19</f>
        <v/>
      </c>
      <c r="R19" s="17">
        <f>F19*G19*H19*M19</f>
        <v/>
      </c>
      <c r="S19" s="17">
        <f>F19*G19*H19*N19</f>
        <v/>
      </c>
      <c r="T19" s="17">
        <f>F19*G19*I19*J19</f>
        <v/>
      </c>
      <c r="U19" s="17">
        <f>F19*G19*I19*K19</f>
        <v/>
      </c>
      <c r="V19" s="17">
        <f>F19*G19*I19*L19</f>
        <v/>
      </c>
      <c r="W19" s="17">
        <f>F19*G19*I19*M19</f>
        <v/>
      </c>
      <c r="X19" s="17">
        <f>F19*G19*I19*N19</f>
        <v/>
      </c>
      <c r="Y19" s="11" t="inlineStr">
        <is>
          <t>IPCC AR6 Table 11.3 fn f: CCS of concentrated CO2 USD15-40 commercial; SMR+CCS 56% (process stream) at &lt;=USD40. s=0.45: ~55% of global NH3 goes to urea (IEA Ammonia Roadmap 2021: 177 Mt urea x 0.57 t NH3/t = ~100 Mt of ~183 Mt NH3) and that CO2 is consumed, not storable.</t>
        </is>
      </c>
    </row>
    <row r="20">
      <c r="A20" s="14" t="inlineStr">
        <is>
          <t>NH3</t>
        </is>
      </c>
      <c r="B20" s="14" t="inlineStr">
        <is>
          <t>Ammonia (natural-gas SMR; merchant and non-urea uses)</t>
        </is>
      </c>
      <c r="C20" s="14" t="inlineStr">
        <is>
          <t>Electrolytic (renewable) hydrogen feed - full replacement</t>
        </is>
      </c>
      <c r="D20" s="15" t="n">
        <v>50</v>
      </c>
      <c r="E20" s="15" t="n">
        <v>200</v>
      </c>
      <c r="F20" s="15" t="n">
        <v>1</v>
      </c>
      <c r="G20" s="15" t="n">
        <v>1</v>
      </c>
      <c r="H20" s="15" t="n">
        <v>0.03</v>
      </c>
      <c r="I20" s="15" t="n">
        <v>0.35</v>
      </c>
      <c r="J20" s="16">
        <f>IF(E20&lt;=D20,IF(J$2&gt;=D20,1,0),MIN(1,MAX(0,(J$2-D20)/(E20-D20))))</f>
        <v/>
      </c>
      <c r="K20" s="16">
        <f>IF(E20&lt;=D20,IF(K$2&gt;=D20,1,0),MIN(1,MAX(0,(K$2-D20)/(E20-D20))))</f>
        <v/>
      </c>
      <c r="L20" s="16">
        <f>IF(E20&lt;=D20,IF(L$2&gt;=D20,1,0),MIN(1,MAX(0,(L$2-D20)/(E20-D20))))</f>
        <v/>
      </c>
      <c r="M20" s="16">
        <f>IF(E20&lt;=D20,IF(M$2&gt;=D20,1,0),MIN(1,MAX(0,(M$2-D20)/(E20-D20))))</f>
        <v/>
      </c>
      <c r="N20" s="16">
        <f>IF(E20&lt;=D20,IF(N$2&gt;=D20,1,0),MIN(1,MAX(0,(N$2-D20)/(E20-D20))))</f>
        <v/>
      </c>
      <c r="O20" s="17">
        <f>F20*G20*H20*J20</f>
        <v/>
      </c>
      <c r="P20" s="17">
        <f>F20*G20*H20*K20</f>
        <v/>
      </c>
      <c r="Q20" s="17">
        <f>F20*G20*H20*L20</f>
        <v/>
      </c>
      <c r="R20" s="17">
        <f>F20*G20*H20*M20</f>
        <v/>
      </c>
      <c r="S20" s="17">
        <f>F20*G20*H20*N20</f>
        <v/>
      </c>
      <c r="T20" s="17">
        <f>F20*G20*I20*J20</f>
        <v/>
      </c>
      <c r="U20" s="17">
        <f>F20*G20*I20*K20</f>
        <v/>
      </c>
      <c r="V20" s="17">
        <f>F20*G20*I20*L20</f>
        <v/>
      </c>
      <c r="W20" s="17">
        <f>F20*G20*I20*M20</f>
        <v/>
      </c>
      <c r="X20" s="17">
        <f>F20*G20*I20*N20</f>
        <v/>
      </c>
      <c r="Y20" s="11" t="inlineStr">
        <is>
          <t>IPCC AR6 Table 11.3: low-GHG H2 &lt;=99% 'at cost of H2'; electrolysis H2 ~USD50/t at low-cost renewables; IEA Ammonia Roadmap 2021: electrolysis competitive with CCS only at very low electricity prices -&gt; upper bound 200.</t>
        </is>
      </c>
    </row>
    <row r="21">
      <c r="A21" s="14" t="inlineStr">
        <is>
          <t>NH3</t>
        </is>
      </c>
      <c r="B21" s="14" t="inlineStr">
        <is>
          <t>Ammonia (natural-gas SMR; merchant and non-urea uses)</t>
        </is>
      </c>
      <c r="C21" s="14" t="inlineStr">
        <is>
          <t>Partial electrolysis (hybrid 10-20% H2) and feedstock-efficiency improvements</t>
        </is>
      </c>
      <c r="D21" s="15" t="n">
        <v>50</v>
      </c>
      <c r="E21" s="15" t="n">
        <v>150</v>
      </c>
      <c r="F21" s="15" t="n">
        <v>0.15</v>
      </c>
      <c r="G21" s="15" t="n">
        <v>1</v>
      </c>
      <c r="H21" s="15" t="n">
        <v>0.2</v>
      </c>
      <c r="I21" s="15" t="n">
        <v>0.6</v>
      </c>
      <c r="J21" s="16">
        <f>IF(E21&lt;=D21,IF(J$2&gt;=D21,1,0),MIN(1,MAX(0,(J$2-D21)/(E21-D21))))</f>
        <v/>
      </c>
      <c r="K21" s="16">
        <f>IF(E21&lt;=D21,IF(K$2&gt;=D21,1,0),MIN(1,MAX(0,(K$2-D21)/(E21-D21))))</f>
        <v/>
      </c>
      <c r="L21" s="16">
        <f>IF(E21&lt;=D21,IF(L$2&gt;=D21,1,0),MIN(1,MAX(0,(L$2-D21)/(E21-D21))))</f>
        <v/>
      </c>
      <c r="M21" s="16">
        <f>IF(E21&lt;=D21,IF(M$2&gt;=D21,1,0),MIN(1,MAX(0,(M$2-D21)/(E21-D21))))</f>
        <v/>
      </c>
      <c r="N21" s="16">
        <f>IF(E21&lt;=D21,IF(N$2&gt;=D21,1,0),MIN(1,MAX(0,(N$2-D21)/(E21-D21))))</f>
        <v/>
      </c>
      <c r="O21" s="17">
        <f>F21*G21*H21*J21</f>
        <v/>
      </c>
      <c r="P21" s="17">
        <f>F21*G21*H21*K21</f>
        <v/>
      </c>
      <c r="Q21" s="17">
        <f>F21*G21*H21*L21</f>
        <v/>
      </c>
      <c r="R21" s="17">
        <f>F21*G21*H21*M21</f>
        <v/>
      </c>
      <c r="S21" s="17">
        <f>F21*G21*H21*N21</f>
        <v/>
      </c>
      <c r="T21" s="17">
        <f>F21*G21*I21*J21</f>
        <v/>
      </c>
      <c r="U21" s="17">
        <f>F21*G21*I21*K21</f>
        <v/>
      </c>
      <c r="V21" s="17">
        <f>F21*G21*I21*L21</f>
        <v/>
      </c>
      <c r="W21" s="17">
        <f>F21*G21*I21*M21</f>
        <v/>
      </c>
      <c r="X21" s="17">
        <f>F21*G21*I21*N21</f>
        <v/>
      </c>
      <c r="Y21" s="11" t="inlineStr">
        <is>
          <t>Analyst judgement; same H2 cost basis.</t>
        </is>
      </c>
    </row>
    <row r="22">
      <c r="A22" s="14" t="inlineStr">
        <is>
          <t>UREA</t>
        </is>
      </c>
      <c r="B22" s="14" t="inlineStr">
        <is>
          <t>Urea (ammonia precursor + urea plant)</t>
        </is>
      </c>
      <c r="C22" s="14" t="inlineStr">
        <is>
          <t>CCS of surplus process CO2 (plants with CO2 in excess of urea stoichiometry, ~10%)</t>
        </is>
      </c>
      <c r="D22" s="15" t="n">
        <v>15</v>
      </c>
      <c r="E22" s="15" t="n">
        <v>50</v>
      </c>
      <c r="F22" s="15" t="n">
        <v>0.95</v>
      </c>
      <c r="G22" s="15" t="n">
        <v>0.1</v>
      </c>
      <c r="H22" s="15" t="n">
        <v>0.3</v>
      </c>
      <c r="I22" s="15" t="n">
        <v>0.8</v>
      </c>
      <c r="J22" s="16">
        <f>IF(E22&lt;=D22,IF(J$2&gt;=D22,1,0),MIN(1,MAX(0,(J$2-D22)/(E22-D22))))</f>
        <v/>
      </c>
      <c r="K22" s="16">
        <f>IF(E22&lt;=D22,IF(K$2&gt;=D22,1,0),MIN(1,MAX(0,(K$2-D22)/(E22-D22))))</f>
        <v/>
      </c>
      <c r="L22" s="16">
        <f>IF(E22&lt;=D22,IF(L$2&gt;=D22,1,0),MIN(1,MAX(0,(L$2-D22)/(E22-D22))))</f>
        <v/>
      </c>
      <c r="M22" s="16">
        <f>IF(E22&lt;=D22,IF(M$2&gt;=D22,1,0),MIN(1,MAX(0,(M$2-D22)/(E22-D22))))</f>
        <v/>
      </c>
      <c r="N22" s="16">
        <f>IF(E22&lt;=D22,IF(N$2&gt;=D22,1,0),MIN(1,MAX(0,(N$2-D22)/(E22-D22))))</f>
        <v/>
      </c>
      <c r="O22" s="17">
        <f>F22*G22*H22*J22</f>
        <v/>
      </c>
      <c r="P22" s="17">
        <f>F22*G22*H22*K22</f>
        <v/>
      </c>
      <c r="Q22" s="17">
        <f>F22*G22*H22*L22</f>
        <v/>
      </c>
      <c r="R22" s="17">
        <f>F22*G22*H22*M22</f>
        <v/>
      </c>
      <c r="S22" s="17">
        <f>F22*G22*H22*N22</f>
        <v/>
      </c>
      <c r="T22" s="17">
        <f>F22*G22*I22*J22</f>
        <v/>
      </c>
      <c r="U22" s="17">
        <f>F22*G22*I22*K22</f>
        <v/>
      </c>
      <c r="V22" s="17">
        <f>F22*G22*I22*L22</f>
        <v/>
      </c>
      <c r="W22" s="17">
        <f>F22*G22*I22*M22</f>
        <v/>
      </c>
      <c r="X22" s="17">
        <f>F22*G22*I22*N22</f>
        <v/>
      </c>
      <c r="Y22" s="11" t="inlineStr">
        <is>
          <t>Same cost basis as ammonia CCS; s=0.10 analyst estimate of surplus CO2.</t>
        </is>
      </c>
    </row>
    <row r="23">
      <c r="A23" s="14" t="inlineStr">
        <is>
          <t>UREA</t>
        </is>
      </c>
      <c r="B23" s="14" t="inlineStr">
        <is>
          <t>Urea (ammonia precursor + urea plant)</t>
        </is>
      </c>
      <c r="C23" s="14" t="inlineStr">
        <is>
          <t>Electrolytic H2 + alternative CO2 source (bio-CO2, captured fuel CO2, DAC)</t>
        </is>
      </c>
      <c r="D23" s="15" t="n">
        <v>60</v>
      </c>
      <c r="E23" s="15" t="n">
        <v>220</v>
      </c>
      <c r="F23" s="15" t="n">
        <v>1</v>
      </c>
      <c r="G23" s="15" t="n">
        <v>1</v>
      </c>
      <c r="H23" s="15" t="n">
        <v>0.02</v>
      </c>
      <c r="I23" s="15" t="n">
        <v>0.3</v>
      </c>
      <c r="J23" s="16">
        <f>IF(E23&lt;=D23,IF(J$2&gt;=D23,1,0),MIN(1,MAX(0,(J$2-D23)/(E23-D23))))</f>
        <v/>
      </c>
      <c r="K23" s="16">
        <f>IF(E23&lt;=D23,IF(K$2&gt;=D23,1,0),MIN(1,MAX(0,(K$2-D23)/(E23-D23))))</f>
        <v/>
      </c>
      <c r="L23" s="16">
        <f>IF(E23&lt;=D23,IF(L$2&gt;=D23,1,0),MIN(1,MAX(0,(L$2-D23)/(E23-D23))))</f>
        <v/>
      </c>
      <c r="M23" s="16">
        <f>IF(E23&lt;=D23,IF(M$2&gt;=D23,1,0),MIN(1,MAX(0,(M$2-D23)/(E23-D23))))</f>
        <v/>
      </c>
      <c r="N23" s="16">
        <f>IF(E23&lt;=D23,IF(N$2&gt;=D23,1,0),MIN(1,MAX(0,(N$2-D23)/(E23-D23))))</f>
        <v/>
      </c>
      <c r="O23" s="17">
        <f>F23*G23*H23*J23</f>
        <v/>
      </c>
      <c r="P23" s="17">
        <f>F23*G23*H23*K23</f>
        <v/>
      </c>
      <c r="Q23" s="17">
        <f>F23*G23*H23*L23</f>
        <v/>
      </c>
      <c r="R23" s="17">
        <f>F23*G23*H23*M23</f>
        <v/>
      </c>
      <c r="S23" s="17">
        <f>F23*G23*H23*N23</f>
        <v/>
      </c>
      <c r="T23" s="17">
        <f>F23*G23*I23*J23</f>
        <v/>
      </c>
      <c r="U23" s="17">
        <f>F23*G23*I23*K23</f>
        <v/>
      </c>
      <c r="V23" s="17">
        <f>F23*G23*I23*L23</f>
        <v/>
      </c>
      <c r="W23" s="17">
        <f>F23*G23*I23*M23</f>
        <v/>
      </c>
      <c r="X23" s="17">
        <f>F23*G23*I23*N23</f>
        <v/>
      </c>
      <c r="Y23" s="11" t="inlineStr">
        <is>
          <t>IPCC AR6 Table 11.3 (cost of H2) + Ch.11 p.1185: DAC-sourced CO2 feedstock very high cost today; bio-CO2 cheaper. Upper bound raised vs ammonia for CO2 sourcing.</t>
        </is>
      </c>
    </row>
    <row r="24">
      <c r="A24" s="14" t="inlineStr">
        <is>
          <t>UREA</t>
        </is>
      </c>
      <c r="B24" s="14" t="inlineStr">
        <is>
          <t>Urea (ammonia precursor + urea plant)</t>
        </is>
      </c>
      <c r="C24" s="14" t="inlineStr">
        <is>
          <t>Hybrid partial electrolysis / efficiency</t>
        </is>
      </c>
      <c r="D24" s="15" t="n">
        <v>50</v>
      </c>
      <c r="E24" s="15" t="n">
        <v>150</v>
      </c>
      <c r="F24" s="15" t="n">
        <v>0.15</v>
      </c>
      <c r="G24" s="15" t="n">
        <v>1</v>
      </c>
      <c r="H24" s="15" t="n">
        <v>0.2</v>
      </c>
      <c r="I24" s="15" t="n">
        <v>0.6</v>
      </c>
      <c r="J24" s="16">
        <f>IF(E24&lt;=D24,IF(J$2&gt;=D24,1,0),MIN(1,MAX(0,(J$2-D24)/(E24-D24))))</f>
        <v/>
      </c>
      <c r="K24" s="16">
        <f>IF(E24&lt;=D24,IF(K$2&gt;=D24,1,0),MIN(1,MAX(0,(K$2-D24)/(E24-D24))))</f>
        <v/>
      </c>
      <c r="L24" s="16">
        <f>IF(E24&lt;=D24,IF(L$2&gt;=D24,1,0),MIN(1,MAX(0,(L$2-D24)/(E24-D24))))</f>
        <v/>
      </c>
      <c r="M24" s="16">
        <f>IF(E24&lt;=D24,IF(M$2&gt;=D24,1,0),MIN(1,MAX(0,(M$2-D24)/(E24-D24))))</f>
        <v/>
      </c>
      <c r="N24" s="16">
        <f>IF(E24&lt;=D24,IF(N$2&gt;=D24,1,0),MIN(1,MAX(0,(N$2-D24)/(E24-D24))))</f>
        <v/>
      </c>
      <c r="O24" s="17">
        <f>F24*G24*H24*J24</f>
        <v/>
      </c>
      <c r="P24" s="17">
        <f>F24*G24*H24*K24</f>
        <v/>
      </c>
      <c r="Q24" s="17">
        <f>F24*G24*H24*L24</f>
        <v/>
      </c>
      <c r="R24" s="17">
        <f>F24*G24*H24*M24</f>
        <v/>
      </c>
      <c r="S24" s="17">
        <f>F24*G24*H24*N24</f>
        <v/>
      </c>
      <c r="T24" s="17">
        <f>F24*G24*I24*J24</f>
        <v/>
      </c>
      <c r="U24" s="17">
        <f>F24*G24*I24*K24</f>
        <v/>
      </c>
      <c r="V24" s="17">
        <f>F24*G24*I24*L24</f>
        <v/>
      </c>
      <c r="W24" s="17">
        <f>F24*G24*I24*M24</f>
        <v/>
      </c>
      <c r="X24" s="17">
        <f>F24*G24*I24*N24</f>
        <v/>
      </c>
      <c r="Y24" s="11" t="inlineStr">
        <is>
          <t>Analyst judgement.</t>
        </is>
      </c>
    </row>
    <row r="25">
      <c r="A25" s="14" t="inlineStr">
        <is>
          <t>HNO3</t>
        </is>
      </c>
      <c r="B25" s="14" t="inlineStr">
        <is>
          <t>Nitric acid (N2O) - component of ammonium nitrate and other N fertilisers</t>
        </is>
      </c>
      <c r="C25" s="14" t="inlineStr">
        <is>
          <t>Secondary / tertiary N2O decomposition catalysts (de-N2O)</t>
        </is>
      </c>
      <c r="D25" s="15" t="n">
        <v>2</v>
      </c>
      <c r="E25" s="15" t="n">
        <v>10</v>
      </c>
      <c r="F25" s="15" t="n">
        <v>0.88</v>
      </c>
      <c r="G25" s="15" t="n">
        <v>1</v>
      </c>
      <c r="H25" s="15" t="n">
        <v>0.9</v>
      </c>
      <c r="I25" s="15" t="n">
        <v>0.95</v>
      </c>
      <c r="J25" s="16">
        <f>IF(E25&lt;=D25,IF(J$2&gt;=D25,1,0),MIN(1,MAX(0,(J$2-D25)/(E25-D25))))</f>
        <v/>
      </c>
      <c r="K25" s="16">
        <f>IF(E25&lt;=D25,IF(K$2&gt;=D25,1,0),MIN(1,MAX(0,(K$2-D25)/(E25-D25))))</f>
        <v/>
      </c>
      <c r="L25" s="16">
        <f>IF(E25&lt;=D25,IF(L$2&gt;=D25,1,0),MIN(1,MAX(0,(L$2-D25)/(E25-D25))))</f>
        <v/>
      </c>
      <c r="M25" s="16">
        <f>IF(E25&lt;=D25,IF(M$2&gt;=D25,1,0),MIN(1,MAX(0,(M$2-D25)/(E25-D25))))</f>
        <v/>
      </c>
      <c r="N25" s="16">
        <f>IF(E25&lt;=D25,IF(N$2&gt;=D25,1,0),MIN(1,MAX(0,(N$2-D25)/(E25-D25))))</f>
        <v/>
      </c>
      <c r="O25" s="17">
        <f>F25*G25*H25*J25</f>
        <v/>
      </c>
      <c r="P25" s="17">
        <f>F25*G25*H25*K25</f>
        <v/>
      </c>
      <c r="Q25" s="17">
        <f>F25*G25*H25*L25</f>
        <v/>
      </c>
      <c r="R25" s="17">
        <f>F25*G25*H25*M25</f>
        <v/>
      </c>
      <c r="S25" s="17">
        <f>F25*G25*H25*N25</f>
        <v/>
      </c>
      <c r="T25" s="17">
        <f>F25*G25*I25*J25</f>
        <v/>
      </c>
      <c r="U25" s="17">
        <f>F25*G25*I25*K25</f>
        <v/>
      </c>
      <c r="V25" s="17">
        <f>F25*G25*I25*L25</f>
        <v/>
      </c>
      <c r="W25" s="17">
        <f>F25*G25*I25*M25</f>
        <v/>
      </c>
      <c r="X25" s="17">
        <f>F25*G25*I25*N25</f>
        <v/>
      </c>
      <c r="Y25" s="11" t="inlineStr">
        <is>
          <t>IPCC AR4 WGIII Ch.7 7.4.3.4: costs USD2000 2.0-5.8/tCO2e (= ~USD2019 3-9), potential 70% to 'almost 100%', 89% typical; AR4 Table 7.9: 158 of 190 Mt (83%) of 2030 baseline &lt;USD0 and 174 (92%) &lt;USD100. NACAG FAQ 2024: secondary 70-90%, tertiary up to 99%; 'low-cost'. Quick retrofit -&gt; d2030=0.9.</t>
        </is>
      </c>
    </row>
    <row r="26">
      <c r="A26" s="14" t="inlineStr">
        <is>
          <t>H2</t>
        </is>
      </c>
      <c r="B26" s="14" t="inlineStr">
        <is>
          <t>Hydrogen (merchant, SMR)</t>
        </is>
      </c>
      <c r="C26" s="14" t="inlineStr">
        <is>
          <t>CCS of concentrated process CO2 stream (+ T&amp;S)</t>
        </is>
      </c>
      <c r="D26" s="15" t="n">
        <v>15</v>
      </c>
      <c r="E26" s="15" t="n">
        <v>50</v>
      </c>
      <c r="F26" s="15" t="n">
        <v>0.95</v>
      </c>
      <c r="G26" s="15" t="n">
        <v>1</v>
      </c>
      <c r="H26" s="15" t="n">
        <v>0.15</v>
      </c>
      <c r="I26" s="15" t="n">
        <v>0.7</v>
      </c>
      <c r="J26" s="16">
        <f>IF(E26&lt;=D26,IF(J$2&gt;=D26,1,0),MIN(1,MAX(0,(J$2-D26)/(E26-D26))))</f>
        <v/>
      </c>
      <c r="K26" s="16">
        <f>IF(E26&lt;=D26,IF(K$2&gt;=D26,1,0),MIN(1,MAX(0,(K$2-D26)/(E26-D26))))</f>
        <v/>
      </c>
      <c r="L26" s="16">
        <f>IF(E26&lt;=D26,IF(L$2&gt;=D26,1,0),MIN(1,MAX(0,(L$2-D26)/(E26-D26))))</f>
        <v/>
      </c>
      <c r="M26" s="16">
        <f>IF(E26&lt;=D26,IF(M$2&gt;=D26,1,0),MIN(1,MAX(0,(M$2-D26)/(E26-D26))))</f>
        <v/>
      </c>
      <c r="N26" s="16">
        <f>IF(E26&lt;=D26,IF(N$2&gt;=D26,1,0),MIN(1,MAX(0,(N$2-D26)/(E26-D26))))</f>
        <v/>
      </c>
      <c r="O26" s="17">
        <f>F26*G26*H26*J26</f>
        <v/>
      </c>
      <c r="P26" s="17">
        <f>F26*G26*H26*K26</f>
        <v/>
      </c>
      <c r="Q26" s="17">
        <f>F26*G26*H26*L26</f>
        <v/>
      </c>
      <c r="R26" s="17">
        <f>F26*G26*H26*M26</f>
        <v/>
      </c>
      <c r="S26" s="17">
        <f>F26*G26*H26*N26</f>
        <v/>
      </c>
      <c r="T26" s="17">
        <f>F26*G26*I26*J26</f>
        <v/>
      </c>
      <c r="U26" s="17">
        <f>F26*G26*I26*K26</f>
        <v/>
      </c>
      <c r="V26" s="17">
        <f>F26*G26*I26*L26</f>
        <v/>
      </c>
      <c r="W26" s="17">
        <f>F26*G26*I26*M26</f>
        <v/>
      </c>
      <c r="X26" s="17">
        <f>F26*G26*I26*N26</f>
        <v/>
      </c>
      <c r="Y26" s="11" t="inlineStr">
        <is>
          <t>IPCC AR6 Table 11.3: SMR + CCS 56% at &lt;=USD40 (chem. stream), &lt;=90% at &lt;=USD120 incl. heat; fn f concentrated CO2 USD15-40. d2030=0.15 reflects IEA project pipeline.</t>
        </is>
      </c>
    </row>
    <row r="27">
      <c r="A27" s="14" t="inlineStr">
        <is>
          <t>H2</t>
        </is>
      </c>
      <c r="B27" s="14" t="inlineStr">
        <is>
          <t>Hydrogen (merchant, SMR)</t>
        </is>
      </c>
      <c r="C27" s="14" t="inlineStr">
        <is>
          <t>Electrolysis (renewable) replacing SMR</t>
        </is>
      </c>
      <c r="D27" s="15" t="n">
        <v>50</v>
      </c>
      <c r="E27" s="15" t="n">
        <v>200</v>
      </c>
      <c r="F27" s="15" t="n">
        <v>1</v>
      </c>
      <c r="G27" s="15" t="n">
        <v>1</v>
      </c>
      <c r="H27" s="15" t="n">
        <v>0.05</v>
      </c>
      <c r="I27" s="15" t="n">
        <v>0.35</v>
      </c>
      <c r="J27" s="16">
        <f>IF(E27&lt;=D27,IF(J$2&gt;=D27,1,0),MIN(1,MAX(0,(J$2-D27)/(E27-D27))))</f>
        <v/>
      </c>
      <c r="K27" s="16">
        <f>IF(E27&lt;=D27,IF(K$2&gt;=D27,1,0),MIN(1,MAX(0,(K$2-D27)/(E27-D27))))</f>
        <v/>
      </c>
      <c r="L27" s="16">
        <f>IF(E27&lt;=D27,IF(L$2&gt;=D27,1,0),MIN(1,MAX(0,(L$2-D27)/(E27-D27))))</f>
        <v/>
      </c>
      <c r="M27" s="16">
        <f>IF(E27&lt;=D27,IF(M$2&gt;=D27,1,0),MIN(1,MAX(0,(M$2-D27)/(E27-D27))))</f>
        <v/>
      </c>
      <c r="N27" s="16">
        <f>IF(E27&lt;=D27,IF(N$2&gt;=D27,1,0),MIN(1,MAX(0,(N$2-D27)/(E27-D27))))</f>
        <v/>
      </c>
      <c r="O27" s="17">
        <f>F27*G27*H27*J27</f>
        <v/>
      </c>
      <c r="P27" s="17">
        <f>F27*G27*H27*K27</f>
        <v/>
      </c>
      <c r="Q27" s="17">
        <f>F27*G27*H27*L27</f>
        <v/>
      </c>
      <c r="R27" s="17">
        <f>F27*G27*H27*M27</f>
        <v/>
      </c>
      <c r="S27" s="17">
        <f>F27*G27*H27*N27</f>
        <v/>
      </c>
      <c r="T27" s="17">
        <f>F27*G27*I27*J27</f>
        <v/>
      </c>
      <c r="U27" s="17">
        <f>F27*G27*I27*K27</f>
        <v/>
      </c>
      <c r="V27" s="17">
        <f>F27*G27*I27*L27</f>
        <v/>
      </c>
      <c r="W27" s="17">
        <f>F27*G27*I27*M27</f>
        <v/>
      </c>
      <c r="X27" s="17">
        <f>F27*G27*I27*N27</f>
        <v/>
      </c>
      <c r="Y27" s="11" t="inlineStr">
        <is>
          <t>IPCC AR6 Table 11.3: electrolysis H2 ~USD50/t with low-cost renewables; wide range for electricity price.</t>
        </is>
      </c>
    </row>
    <row r="28">
      <c r="A28" s="14" t="inlineStr">
        <is>
          <t>HNO3_resid</t>
        </is>
      </c>
      <c r="B28" s="14" t="inlineStr">
        <is>
          <t>Nitric acid - residual N2O at already-abated plants (secondary -&gt; tertiary)</t>
        </is>
      </c>
      <c r="C28" s="14" t="inlineStr">
        <is>
          <t>Upgrade to tertiary catalyst / optimisation of existing de-N2O</t>
        </is>
      </c>
      <c r="D28" s="15" t="n">
        <v>2</v>
      </c>
      <c r="E28" s="15" t="n">
        <v>10</v>
      </c>
      <c r="F28" s="15" t="n">
        <v>0.5</v>
      </c>
      <c r="G28" s="15" t="n">
        <v>1</v>
      </c>
      <c r="H28" s="15" t="n">
        <v>0.7</v>
      </c>
      <c r="I28" s="15" t="n">
        <v>0.9</v>
      </c>
      <c r="J28" s="16">
        <f>IF(E28&lt;=D28,IF(J$2&gt;=D28,1,0),MIN(1,MAX(0,(J$2-D28)/(E28-D28))))</f>
        <v/>
      </c>
      <c r="K28" s="16">
        <f>IF(E28&lt;=D28,IF(K$2&gt;=D28,1,0),MIN(1,MAX(0,(K$2-D28)/(E28-D28))))</f>
        <v/>
      </c>
      <c r="L28" s="16">
        <f>IF(E28&lt;=D28,IF(L$2&gt;=D28,1,0),MIN(1,MAX(0,(L$2-D28)/(E28-D28))))</f>
        <v/>
      </c>
      <c r="M28" s="16">
        <f>IF(E28&lt;=D28,IF(M$2&gt;=D28,1,0),MIN(1,MAX(0,(M$2-D28)/(E28-D28))))</f>
        <v/>
      </c>
      <c r="N28" s="16">
        <f>IF(E28&lt;=D28,IF(N$2&gt;=D28,1,0),MIN(1,MAX(0,(N$2-D28)/(E28-D28))))</f>
        <v/>
      </c>
      <c r="O28" s="17">
        <f>F28*G28*H28*J28</f>
        <v/>
      </c>
      <c r="P28" s="17">
        <f>F28*G28*H28*K28</f>
        <v/>
      </c>
      <c r="Q28" s="17">
        <f>F28*G28*H28*L28</f>
        <v/>
      </c>
      <c r="R28" s="17">
        <f>F28*G28*H28*M28</f>
        <v/>
      </c>
      <c r="S28" s="17">
        <f>F28*G28*H28*N28</f>
        <v/>
      </c>
      <c r="T28" s="17">
        <f>F28*G28*I28*J28</f>
        <v/>
      </c>
      <c r="U28" s="17">
        <f>F28*G28*I28*K28</f>
        <v/>
      </c>
      <c r="V28" s="17">
        <f>F28*G28*I28*L28</f>
        <v/>
      </c>
      <c r="W28" s="17">
        <f>F28*G28*I28*M28</f>
        <v/>
      </c>
      <c r="X28" s="17">
        <f>F28*G28*I28*N28</f>
        <v/>
      </c>
      <c r="Y28" s="11" t="inlineStr">
        <is>
          <t>Analyst assumption: half of residual N2O removable at same cost as primary abatement.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Process-emission abatement a(tau) by sector and horizon, and implied semi-elasticities (all formulas)</t>
        </is>
      </c>
    </row>
    <row r="3">
      <c r="A3" s="13" t="inlineStr">
        <is>
          <t>Key</t>
        </is>
      </c>
      <c r="B3" s="13" t="inlineStr">
        <is>
          <t>Sector</t>
        </is>
      </c>
      <c r="C3" s="13" t="inlineStr">
        <is>
          <t>a_2030(20)</t>
        </is>
      </c>
      <c r="D3" s="13" t="inlineStr">
        <is>
          <t>a_2030(50)</t>
        </is>
      </c>
      <c r="E3" s="13" t="inlineStr">
        <is>
          <t>a_2030(100)</t>
        </is>
      </c>
      <c r="F3" s="13" t="inlineStr">
        <is>
          <t>a_2030(150)</t>
        </is>
      </c>
      <c r="G3" s="13" t="inlineStr">
        <is>
          <t>a_2030(200)</t>
        </is>
      </c>
      <c r="H3" s="13" t="inlineStr">
        <is>
          <t>a_LR(20)</t>
        </is>
      </c>
      <c r="I3" s="13" t="inlineStr">
        <is>
          <t>a_LR(50)</t>
        </is>
      </c>
      <c r="J3" s="13" t="inlineStr">
        <is>
          <t>a_LR(100)</t>
        </is>
      </c>
      <c r="K3" s="13" t="inlineStr">
        <is>
          <t>a_LR(150)</t>
        </is>
      </c>
      <c r="L3" s="13" t="inlineStr">
        <is>
          <t>a_LR(200)</t>
        </is>
      </c>
      <c r="M3" s="13" t="inlineStr">
        <is>
          <t>a_central(100)</t>
        </is>
      </c>
      <c r="N3" s="13" t="inlineStr">
        <is>
          <t>beta_iso 2030 (%/$)</t>
        </is>
      </c>
      <c r="O3" s="13" t="inlineStr">
        <is>
          <t>beta_iso LR (%/$)</t>
        </is>
      </c>
      <c r="P3" s="13" t="inlineStr">
        <is>
          <t>beta_iso central (%/$)</t>
        </is>
      </c>
      <c r="Q3" s="13" t="inlineStr">
        <is>
          <t>beta_linear central (%/$)</t>
        </is>
      </c>
      <c r="R3" s="13" t="inlineStr">
        <is>
          <t>elasticity at $100 (beta*100)</t>
        </is>
      </c>
    </row>
    <row r="4">
      <c r="A4" t="inlineStr">
        <is>
          <t>CEM</t>
        </is>
      </c>
      <c r="B4" t="inlineStr">
        <is>
          <t>Cement clinker / cement / concrete</t>
        </is>
      </c>
      <c r="C4" s="10">
        <f>1-EXP(SUMPRODUCT(LN(1-Parameters!O4:O6)))</f>
        <v/>
      </c>
      <c r="D4" s="10">
        <f>1-EXP(SUMPRODUCT(LN(1-Parameters!P4:P6)))</f>
        <v/>
      </c>
      <c r="E4" s="10">
        <f>1-EXP(SUMPRODUCT(LN(1-Parameters!Q4:Q6)))</f>
        <v/>
      </c>
      <c r="F4" s="10">
        <f>1-EXP(SUMPRODUCT(LN(1-Parameters!R4:R6)))</f>
        <v/>
      </c>
      <c r="G4" s="10">
        <f>1-EXP(SUMPRODUCT(LN(1-Parameters!S4:S6)))</f>
        <v/>
      </c>
      <c r="H4" s="10">
        <f>1-EXP(SUMPRODUCT(LN(1-Parameters!T4:T6)))</f>
        <v/>
      </c>
      <c r="I4" s="10">
        <f>1-EXP(SUMPRODUCT(LN(1-Parameters!U4:U6)))</f>
        <v/>
      </c>
      <c r="J4" s="10">
        <f>1-EXP(SUMPRODUCT(LN(1-Parameters!V4:V6)))</f>
        <v/>
      </c>
      <c r="K4" s="10">
        <f>1-EXP(SUMPRODUCT(LN(1-Parameters!W4:W6)))</f>
        <v/>
      </c>
      <c r="L4" s="10">
        <f>1-EXP(SUMPRODUCT(LN(1-Parameters!X4:X6)))</f>
        <v/>
      </c>
      <c r="M4" s="10">
        <f>AVERAGE(E4,J4)</f>
        <v/>
      </c>
      <c r="N4" s="18">
        <f>100*LN(1-E4)/100</f>
        <v/>
      </c>
      <c r="O4" s="18">
        <f>100*LN(1-J4)/100</f>
        <v/>
      </c>
      <c r="P4" s="18">
        <f>100*LN(1-M4)/100</f>
        <v/>
      </c>
      <c r="Q4" s="18">
        <f>-100*M4/100</f>
        <v/>
      </c>
      <c r="R4" s="18">
        <f>P4</f>
        <v/>
      </c>
    </row>
    <row r="5">
      <c r="A5" t="inlineStr">
        <is>
          <t>BOF</t>
        </is>
      </c>
      <c r="B5" t="inlineStr">
        <is>
          <t>Primary steel: BF-BOF route</t>
        </is>
      </c>
      <c r="C5" s="10">
        <f>1-EXP(SUMPRODUCT(LN(1-Parameters!O7:O9)))</f>
        <v/>
      </c>
      <c r="D5" s="10">
        <f>1-EXP(SUMPRODUCT(LN(1-Parameters!P7:P9)))</f>
        <v/>
      </c>
      <c r="E5" s="10">
        <f>1-EXP(SUMPRODUCT(LN(1-Parameters!Q7:Q9)))</f>
        <v/>
      </c>
      <c r="F5" s="10">
        <f>1-EXP(SUMPRODUCT(LN(1-Parameters!R7:R9)))</f>
        <v/>
      </c>
      <c r="G5" s="10">
        <f>1-EXP(SUMPRODUCT(LN(1-Parameters!S7:S9)))</f>
        <v/>
      </c>
      <c r="H5" s="10">
        <f>1-EXP(SUMPRODUCT(LN(1-Parameters!T7:T9)))</f>
        <v/>
      </c>
      <c r="I5" s="10">
        <f>1-EXP(SUMPRODUCT(LN(1-Parameters!U7:U9)))</f>
        <v/>
      </c>
      <c r="J5" s="10">
        <f>1-EXP(SUMPRODUCT(LN(1-Parameters!V7:V9)))</f>
        <v/>
      </c>
      <c r="K5" s="10">
        <f>1-EXP(SUMPRODUCT(LN(1-Parameters!W7:W9)))</f>
        <v/>
      </c>
      <c r="L5" s="10">
        <f>1-EXP(SUMPRODUCT(LN(1-Parameters!X7:X9)))</f>
        <v/>
      </c>
      <c r="M5" s="10">
        <f>AVERAGE(E5,J5)</f>
        <v/>
      </c>
      <c r="N5" s="18">
        <f>100*LN(1-E5)/100</f>
        <v/>
      </c>
      <c r="O5" s="18">
        <f>100*LN(1-J5)/100</f>
        <v/>
      </c>
      <c r="P5" s="18">
        <f>100*LN(1-M5)/100</f>
        <v/>
      </c>
      <c r="Q5" s="18">
        <f>-100*M5/100</f>
        <v/>
      </c>
      <c r="R5" s="18">
        <f>P5</f>
        <v/>
      </c>
    </row>
    <row r="6">
      <c r="A6" t="inlineStr">
        <is>
          <t>DRI</t>
        </is>
      </c>
      <c r="B6" t="inlineStr">
        <is>
          <t>Primary steel: natural-gas DRI-EAF route (Egypt-type)</t>
        </is>
      </c>
      <c r="C6" s="10">
        <f>1-EXP(SUMPRODUCT(LN(1-Parameters!O10:O13)))</f>
        <v/>
      </c>
      <c r="D6" s="10">
        <f>1-EXP(SUMPRODUCT(LN(1-Parameters!P10:P13)))</f>
        <v/>
      </c>
      <c r="E6" s="10">
        <f>1-EXP(SUMPRODUCT(LN(1-Parameters!Q10:Q13)))</f>
        <v/>
      </c>
      <c r="F6" s="10">
        <f>1-EXP(SUMPRODUCT(LN(1-Parameters!R10:R13)))</f>
        <v/>
      </c>
      <c r="G6" s="10">
        <f>1-EXP(SUMPRODUCT(LN(1-Parameters!S10:S13)))</f>
        <v/>
      </c>
      <c r="H6" s="10">
        <f>1-EXP(SUMPRODUCT(LN(1-Parameters!T10:T13)))</f>
        <v/>
      </c>
      <c r="I6" s="10">
        <f>1-EXP(SUMPRODUCT(LN(1-Parameters!U10:U13)))</f>
        <v/>
      </c>
      <c r="J6" s="10">
        <f>1-EXP(SUMPRODUCT(LN(1-Parameters!V10:V13)))</f>
        <v/>
      </c>
      <c r="K6" s="10">
        <f>1-EXP(SUMPRODUCT(LN(1-Parameters!W10:W13)))</f>
        <v/>
      </c>
      <c r="L6" s="10">
        <f>1-EXP(SUMPRODUCT(LN(1-Parameters!X10:X13)))</f>
        <v/>
      </c>
      <c r="M6" s="10">
        <f>AVERAGE(E6,J6)</f>
        <v/>
      </c>
      <c r="N6" s="18">
        <f>100*LN(1-E6)/100</f>
        <v/>
      </c>
      <c r="O6" s="18">
        <f>100*LN(1-J6)/100</f>
        <v/>
      </c>
      <c r="P6" s="18">
        <f>100*LN(1-M6)/100</f>
        <v/>
      </c>
      <c r="Q6" s="18">
        <f>-100*M6/100</f>
        <v/>
      </c>
      <c r="R6" s="18">
        <f>P6</f>
        <v/>
      </c>
    </row>
    <row r="7">
      <c r="A7" t="inlineStr">
        <is>
          <t>EAF</t>
        </is>
      </c>
      <c r="B7" t="inlineStr">
        <is>
          <t>Secondary steel: scrap-EAF</t>
        </is>
      </c>
      <c r="C7" s="10">
        <f>1-EXP(SUMPRODUCT(LN(1-Parameters!O14:O16)))</f>
        <v/>
      </c>
      <c r="D7" s="10">
        <f>1-EXP(SUMPRODUCT(LN(1-Parameters!P14:P16)))</f>
        <v/>
      </c>
      <c r="E7" s="10">
        <f>1-EXP(SUMPRODUCT(LN(1-Parameters!Q14:Q16)))</f>
        <v/>
      </c>
      <c r="F7" s="10">
        <f>1-EXP(SUMPRODUCT(LN(1-Parameters!R14:R16)))</f>
        <v/>
      </c>
      <c r="G7" s="10">
        <f>1-EXP(SUMPRODUCT(LN(1-Parameters!S14:S16)))</f>
        <v/>
      </c>
      <c r="H7" s="10">
        <f>1-EXP(SUMPRODUCT(LN(1-Parameters!T14:T16)))</f>
        <v/>
      </c>
      <c r="I7" s="10">
        <f>1-EXP(SUMPRODUCT(LN(1-Parameters!U14:U16)))</f>
        <v/>
      </c>
      <c r="J7" s="10">
        <f>1-EXP(SUMPRODUCT(LN(1-Parameters!V14:V16)))</f>
        <v/>
      </c>
      <c r="K7" s="10">
        <f>1-EXP(SUMPRODUCT(LN(1-Parameters!W14:W16)))</f>
        <v/>
      </c>
      <c r="L7" s="10">
        <f>1-EXP(SUMPRODUCT(LN(1-Parameters!X14:X16)))</f>
        <v/>
      </c>
      <c r="M7" s="10">
        <f>AVERAGE(E7,J7)</f>
        <v/>
      </c>
      <c r="N7" s="18">
        <f>100*LN(1-E7)/100</f>
        <v/>
      </c>
      <c r="O7" s="18">
        <f>100*LN(1-J7)/100</f>
        <v/>
      </c>
      <c r="P7" s="18">
        <f>100*LN(1-M7)/100</f>
        <v/>
      </c>
      <c r="Q7" s="18">
        <f>-100*M7/100</f>
        <v/>
      </c>
      <c r="R7" s="18">
        <f>P7</f>
        <v/>
      </c>
    </row>
    <row r="8">
      <c r="A8" t="inlineStr">
        <is>
          <t>ALU</t>
        </is>
      </c>
      <c r="B8" t="inlineStr">
        <is>
          <t>Primary aluminium (Hall-Heroult)</t>
        </is>
      </c>
      <c r="C8" s="10">
        <f>1-EXP(SUMPRODUCT(LN(1-Parameters!O17:O18)))</f>
        <v/>
      </c>
      <c r="D8" s="10">
        <f>1-EXP(SUMPRODUCT(LN(1-Parameters!P17:P18)))</f>
        <v/>
      </c>
      <c r="E8" s="10">
        <f>1-EXP(SUMPRODUCT(LN(1-Parameters!Q17:Q18)))</f>
        <v/>
      </c>
      <c r="F8" s="10">
        <f>1-EXP(SUMPRODUCT(LN(1-Parameters!R17:R18)))</f>
        <v/>
      </c>
      <c r="G8" s="10">
        <f>1-EXP(SUMPRODUCT(LN(1-Parameters!S17:S18)))</f>
        <v/>
      </c>
      <c r="H8" s="10">
        <f>1-EXP(SUMPRODUCT(LN(1-Parameters!T17:T18)))</f>
        <v/>
      </c>
      <c r="I8" s="10">
        <f>1-EXP(SUMPRODUCT(LN(1-Parameters!U17:U18)))</f>
        <v/>
      </c>
      <c r="J8" s="10">
        <f>1-EXP(SUMPRODUCT(LN(1-Parameters!V17:V18)))</f>
        <v/>
      </c>
      <c r="K8" s="10">
        <f>1-EXP(SUMPRODUCT(LN(1-Parameters!W17:W18)))</f>
        <v/>
      </c>
      <c r="L8" s="10">
        <f>1-EXP(SUMPRODUCT(LN(1-Parameters!X17:X18)))</f>
        <v/>
      </c>
      <c r="M8" s="10">
        <f>AVERAGE(E8,J8)</f>
        <v/>
      </c>
      <c r="N8" s="18">
        <f>100*LN(1-E8)/100</f>
        <v/>
      </c>
      <c r="O8" s="18">
        <f>100*LN(1-J8)/100</f>
        <v/>
      </c>
      <c r="P8" s="18">
        <f>100*LN(1-M8)/100</f>
        <v/>
      </c>
      <c r="Q8" s="18">
        <f>-100*M8/100</f>
        <v/>
      </c>
      <c r="R8" s="18">
        <f>P8</f>
        <v/>
      </c>
    </row>
    <row r="9">
      <c r="A9" t="inlineStr">
        <is>
          <t>NH3</t>
        </is>
      </c>
      <c r="B9" t="inlineStr">
        <is>
          <t>Ammonia (natural-gas SMR; merchant and non-urea uses)</t>
        </is>
      </c>
      <c r="C9" s="10">
        <f>1-EXP(SUMPRODUCT(LN(1-Parameters!O19:O21)))</f>
        <v/>
      </c>
      <c r="D9" s="10">
        <f>1-EXP(SUMPRODUCT(LN(1-Parameters!P19:P21)))</f>
        <v/>
      </c>
      <c r="E9" s="10">
        <f>1-EXP(SUMPRODUCT(LN(1-Parameters!Q19:Q21)))</f>
        <v/>
      </c>
      <c r="F9" s="10">
        <f>1-EXP(SUMPRODUCT(LN(1-Parameters!R19:R21)))</f>
        <v/>
      </c>
      <c r="G9" s="10">
        <f>1-EXP(SUMPRODUCT(LN(1-Parameters!S19:S21)))</f>
        <v/>
      </c>
      <c r="H9" s="10">
        <f>1-EXP(SUMPRODUCT(LN(1-Parameters!T19:T21)))</f>
        <v/>
      </c>
      <c r="I9" s="10">
        <f>1-EXP(SUMPRODUCT(LN(1-Parameters!U19:U21)))</f>
        <v/>
      </c>
      <c r="J9" s="10">
        <f>1-EXP(SUMPRODUCT(LN(1-Parameters!V19:V21)))</f>
        <v/>
      </c>
      <c r="K9" s="10">
        <f>1-EXP(SUMPRODUCT(LN(1-Parameters!W19:W21)))</f>
        <v/>
      </c>
      <c r="L9" s="10">
        <f>1-EXP(SUMPRODUCT(LN(1-Parameters!X19:X21)))</f>
        <v/>
      </c>
      <c r="M9" s="10">
        <f>AVERAGE(E9,J9)</f>
        <v/>
      </c>
      <c r="N9" s="18">
        <f>100*LN(1-E9)/100</f>
        <v/>
      </c>
      <c r="O9" s="18">
        <f>100*LN(1-J9)/100</f>
        <v/>
      </c>
      <c r="P9" s="18">
        <f>100*LN(1-M9)/100</f>
        <v/>
      </c>
      <c r="Q9" s="18">
        <f>-100*M9/100</f>
        <v/>
      </c>
      <c r="R9" s="18">
        <f>P9</f>
        <v/>
      </c>
    </row>
    <row r="10">
      <c r="A10" t="inlineStr">
        <is>
          <t>UREA</t>
        </is>
      </c>
      <c r="B10" t="inlineStr">
        <is>
          <t>Urea (ammonia precursor + urea plant)</t>
        </is>
      </c>
      <c r="C10" s="10">
        <f>1-EXP(SUMPRODUCT(LN(1-Parameters!O22:O24)))</f>
        <v/>
      </c>
      <c r="D10" s="10">
        <f>1-EXP(SUMPRODUCT(LN(1-Parameters!P22:P24)))</f>
        <v/>
      </c>
      <c r="E10" s="10">
        <f>1-EXP(SUMPRODUCT(LN(1-Parameters!Q22:Q24)))</f>
        <v/>
      </c>
      <c r="F10" s="10">
        <f>1-EXP(SUMPRODUCT(LN(1-Parameters!R22:R24)))</f>
        <v/>
      </c>
      <c r="G10" s="10">
        <f>1-EXP(SUMPRODUCT(LN(1-Parameters!S22:S24)))</f>
        <v/>
      </c>
      <c r="H10" s="10">
        <f>1-EXP(SUMPRODUCT(LN(1-Parameters!T22:T24)))</f>
        <v/>
      </c>
      <c r="I10" s="10">
        <f>1-EXP(SUMPRODUCT(LN(1-Parameters!U22:U24)))</f>
        <v/>
      </c>
      <c r="J10" s="10">
        <f>1-EXP(SUMPRODUCT(LN(1-Parameters!V22:V24)))</f>
        <v/>
      </c>
      <c r="K10" s="10">
        <f>1-EXP(SUMPRODUCT(LN(1-Parameters!W22:W24)))</f>
        <v/>
      </c>
      <c r="L10" s="10">
        <f>1-EXP(SUMPRODUCT(LN(1-Parameters!X22:X24)))</f>
        <v/>
      </c>
      <c r="M10" s="10">
        <f>AVERAGE(E10,J10)</f>
        <v/>
      </c>
      <c r="N10" s="18">
        <f>100*LN(1-E10)/100</f>
        <v/>
      </c>
      <c r="O10" s="18">
        <f>100*LN(1-J10)/100</f>
        <v/>
      </c>
      <c r="P10" s="18">
        <f>100*LN(1-M10)/100</f>
        <v/>
      </c>
      <c r="Q10" s="18">
        <f>-100*M10/100</f>
        <v/>
      </c>
      <c r="R10" s="18">
        <f>P10</f>
        <v/>
      </c>
    </row>
    <row r="11">
      <c r="A11" t="inlineStr">
        <is>
          <t>HNO3</t>
        </is>
      </c>
      <c r="B11" t="inlineStr">
        <is>
          <t>Nitric acid (N2O) - component of ammonium nitrate and other N fertilisers</t>
        </is>
      </c>
      <c r="C11" s="10">
        <f>1-EXP(SUMPRODUCT(LN(1-Parameters!O25:O25)))</f>
        <v/>
      </c>
      <c r="D11" s="10">
        <f>1-EXP(SUMPRODUCT(LN(1-Parameters!P25:P25)))</f>
        <v/>
      </c>
      <c r="E11" s="10">
        <f>1-EXP(SUMPRODUCT(LN(1-Parameters!Q25:Q25)))</f>
        <v/>
      </c>
      <c r="F11" s="10">
        <f>1-EXP(SUMPRODUCT(LN(1-Parameters!R25:R25)))</f>
        <v/>
      </c>
      <c r="G11" s="10">
        <f>1-EXP(SUMPRODUCT(LN(1-Parameters!S25:S25)))</f>
        <v/>
      </c>
      <c r="H11" s="10">
        <f>1-EXP(SUMPRODUCT(LN(1-Parameters!T25:T25)))</f>
        <v/>
      </c>
      <c r="I11" s="10">
        <f>1-EXP(SUMPRODUCT(LN(1-Parameters!U25:U25)))</f>
        <v/>
      </c>
      <c r="J11" s="10">
        <f>1-EXP(SUMPRODUCT(LN(1-Parameters!V25:V25)))</f>
        <v/>
      </c>
      <c r="K11" s="10">
        <f>1-EXP(SUMPRODUCT(LN(1-Parameters!W25:W25)))</f>
        <v/>
      </c>
      <c r="L11" s="10">
        <f>1-EXP(SUMPRODUCT(LN(1-Parameters!X25:X25)))</f>
        <v/>
      </c>
      <c r="M11" s="10">
        <f>AVERAGE(E11,J11)</f>
        <v/>
      </c>
      <c r="N11" s="18">
        <f>100*LN(1-E11)/100</f>
        <v/>
      </c>
      <c r="O11" s="18">
        <f>100*LN(1-J11)/100</f>
        <v/>
      </c>
      <c r="P11" s="18">
        <f>100*LN(1-M11)/100</f>
        <v/>
      </c>
      <c r="Q11" s="18">
        <f>-100*M11/100</f>
        <v/>
      </c>
      <c r="R11" s="18">
        <f>P11</f>
        <v/>
      </c>
    </row>
    <row r="12">
      <c r="A12" t="inlineStr">
        <is>
          <t>AN_U</t>
        </is>
      </c>
      <c r="B12" t="inlineStr">
        <is>
          <t>Ammonium nitrate - unabated N2O baseline</t>
        </is>
      </c>
      <c r="C12" s="10">
        <f>0.82*C11+0.18*C9</f>
        <v/>
      </c>
      <c r="D12" s="10">
        <f>0.82*D11+0.18*D9</f>
        <v/>
      </c>
      <c r="E12" s="10">
        <f>0.82*E11+0.18*E9</f>
        <v/>
      </c>
      <c r="F12" s="10">
        <f>0.82*F11+0.18*F9</f>
        <v/>
      </c>
      <c r="G12" s="10">
        <f>0.82*G11+0.18*G9</f>
        <v/>
      </c>
      <c r="H12" s="10">
        <f>0.82*H11+0.18*H9</f>
        <v/>
      </c>
      <c r="I12" s="10">
        <f>0.82*I11+0.18*I9</f>
        <v/>
      </c>
      <c r="J12" s="10">
        <f>0.82*J11+0.18*J9</f>
        <v/>
      </c>
      <c r="K12" s="10">
        <f>0.82*K11+0.18*K9</f>
        <v/>
      </c>
      <c r="L12" s="10">
        <f>0.82*L11+0.18*L9</f>
        <v/>
      </c>
      <c r="M12" s="10">
        <f>AVERAGE(E12,J12)</f>
        <v/>
      </c>
      <c r="N12" s="18">
        <f>100*LN(1-E12)/100</f>
        <v/>
      </c>
      <c r="O12" s="18">
        <f>100*LN(1-J12)/100</f>
        <v/>
      </c>
      <c r="P12" s="18">
        <f>100*LN(1-M12)/100</f>
        <v/>
      </c>
      <c r="Q12" s="18">
        <f>-100*M12/100</f>
        <v/>
      </c>
      <c r="R12" s="18">
        <f>P12</f>
        <v/>
      </c>
    </row>
    <row r="13">
      <c r="A13" t="inlineStr">
        <is>
          <t>AN_A</t>
        </is>
      </c>
      <c r="B13" t="inlineStr">
        <is>
          <t>Ammonium nitrate - N2O already ~90% abated (EU / CDM-legacy plants)</t>
        </is>
      </c>
      <c r="C13" s="10">
        <f>0.31*(1-EXP(SUMPRODUCT(LN(1-Parameters!O28:O28))))+0.69*C9</f>
        <v/>
      </c>
      <c r="D13" s="10">
        <f>0.31*(1-EXP(SUMPRODUCT(LN(1-Parameters!P28:P28))))+0.69*D9</f>
        <v/>
      </c>
      <c r="E13" s="10">
        <f>0.31*(1-EXP(SUMPRODUCT(LN(1-Parameters!Q28:Q28))))+0.69*E9</f>
        <v/>
      </c>
      <c r="F13" s="10">
        <f>0.31*(1-EXP(SUMPRODUCT(LN(1-Parameters!R28:R28))))+0.69*F9</f>
        <v/>
      </c>
      <c r="G13" s="10">
        <f>0.31*(1-EXP(SUMPRODUCT(LN(1-Parameters!S28:S28))))+0.69*G9</f>
        <v/>
      </c>
      <c r="H13" s="10">
        <f>0.31*(1-EXP(SUMPRODUCT(LN(1-Parameters!T28:T28))))+0.69*H9</f>
        <v/>
      </c>
      <c r="I13" s="10">
        <f>0.31*(1-EXP(SUMPRODUCT(LN(1-Parameters!U28:U28))))+0.69*I9</f>
        <v/>
      </c>
      <c r="J13" s="10">
        <f>0.31*(1-EXP(SUMPRODUCT(LN(1-Parameters!V28:V28))))+0.69*J9</f>
        <v/>
      </c>
      <c r="K13" s="10">
        <f>0.31*(1-EXP(SUMPRODUCT(LN(1-Parameters!W28:W28))))+0.69*K9</f>
        <v/>
      </c>
      <c r="L13" s="10">
        <f>0.31*(1-EXP(SUMPRODUCT(LN(1-Parameters!X28:X28))))+0.69*L9</f>
        <v/>
      </c>
      <c r="M13" s="10">
        <f>AVERAGE(E13,J13)</f>
        <v/>
      </c>
      <c r="N13" s="18">
        <f>100*LN(1-E13)/100</f>
        <v/>
      </c>
      <c r="O13" s="18">
        <f>100*LN(1-J13)/100</f>
        <v/>
      </c>
      <c r="P13" s="18">
        <f>100*LN(1-M13)/100</f>
        <v/>
      </c>
      <c r="Q13" s="18">
        <f>-100*M13/100</f>
        <v/>
      </c>
      <c r="R13" s="18">
        <f>P13</f>
        <v/>
      </c>
    </row>
    <row r="14">
      <c r="A14" t="inlineStr">
        <is>
          <t>H2</t>
        </is>
      </c>
      <c r="B14" t="inlineStr">
        <is>
          <t>Hydrogen (merchant, SMR)</t>
        </is>
      </c>
      <c r="C14" s="10">
        <f>1-EXP(SUMPRODUCT(LN(1-Parameters!O26:O27)))</f>
        <v/>
      </c>
      <c r="D14" s="10">
        <f>1-EXP(SUMPRODUCT(LN(1-Parameters!P26:P27)))</f>
        <v/>
      </c>
      <c r="E14" s="10">
        <f>1-EXP(SUMPRODUCT(LN(1-Parameters!Q26:Q27)))</f>
        <v/>
      </c>
      <c r="F14" s="10">
        <f>1-EXP(SUMPRODUCT(LN(1-Parameters!R26:R27)))</f>
        <v/>
      </c>
      <c r="G14" s="10">
        <f>1-EXP(SUMPRODUCT(LN(1-Parameters!S26:S27)))</f>
        <v/>
      </c>
      <c r="H14" s="10">
        <f>1-EXP(SUMPRODUCT(LN(1-Parameters!T26:T27)))</f>
        <v/>
      </c>
      <c r="I14" s="10">
        <f>1-EXP(SUMPRODUCT(LN(1-Parameters!U26:U27)))</f>
        <v/>
      </c>
      <c r="J14" s="10">
        <f>1-EXP(SUMPRODUCT(LN(1-Parameters!V26:V27)))</f>
        <v/>
      </c>
      <c r="K14" s="10">
        <f>1-EXP(SUMPRODUCT(LN(1-Parameters!W26:W27)))</f>
        <v/>
      </c>
      <c r="L14" s="10">
        <f>1-EXP(SUMPRODUCT(LN(1-Parameters!X26:X27)))</f>
        <v/>
      </c>
      <c r="M14" s="10">
        <f>AVERAGE(E14,J14)</f>
        <v/>
      </c>
      <c r="N14" s="18">
        <f>100*LN(1-E14)/100</f>
        <v/>
      </c>
      <c r="O14" s="18">
        <f>100*LN(1-J14)/100</f>
        <v/>
      </c>
      <c r="P14" s="18">
        <f>100*LN(1-M14)/100</f>
        <v/>
      </c>
      <c r="Q14" s="18">
        <f>-100*M14/100</f>
        <v/>
      </c>
      <c r="R14" s="18">
        <f>P14</f>
        <v/>
      </c>
    </row>
    <row r="16">
      <c r="A16" s="4" t="inlineStr">
        <is>
          <t>Existing CPAT workbook process semi-elasticity (for comparison)</t>
        </is>
      </c>
      <c r="M16" s="10">
        <f>1-EXP(P16/100*100)</f>
        <v/>
      </c>
      <c r="P16" s="18" t="n">
        <v>-0.10401964469367</v>
      </c>
    </row>
    <row r="17">
      <c r="A17" s="4" t="inlineStr">
        <is>
          <t>IPCC AR6 aggregate industry-process benchmark (2030, &lt;=USD100) - see IPCC_Aggregate</t>
        </is>
      </c>
      <c r="M17" s="10">
        <f>IPCC_Aggregate!B12</f>
        <v/>
      </c>
      <c r="P17" s="18">
        <f>100*LN(1-M17)/100</f>
        <v/>
      </c>
    </row>
    <row r="19">
      <c r="A19" s="4" t="inlineStr">
        <is>
          <t>Bin-consistency check: beta_k = 100*ln(1-a(tau_k))/tau_k  (central horizon = mean of 2030 and LR), %/$</t>
        </is>
      </c>
    </row>
    <row r="20">
      <c r="A20" s="13" t="inlineStr">
        <is>
          <t>Key</t>
        </is>
      </c>
      <c r="B20" s="13" t="inlineStr">
        <is>
          <t>Sector</t>
        </is>
      </c>
      <c r="C20" s="13" t="inlineStr">
        <is>
          <t>beta(20)</t>
        </is>
      </c>
      <c r="D20" s="13" t="inlineStr">
        <is>
          <t>beta(50)</t>
        </is>
      </c>
      <c r="E20" s="13" t="inlineStr">
        <is>
          <t>beta(100)</t>
        </is>
      </c>
      <c r="F20" s="13" t="inlineStr">
        <is>
          <t>beta(150)</t>
        </is>
      </c>
      <c r="G20" s="13" t="inlineStr">
        <is>
          <t>beta(200)</t>
        </is>
      </c>
      <c r="H20" s="13" t="inlineStr">
        <is>
          <t>Pattern</t>
        </is>
      </c>
    </row>
    <row r="21">
      <c r="A21" t="inlineStr">
        <is>
          <t>CEM</t>
        </is>
      </c>
      <c r="B21" t="inlineStr">
        <is>
          <t>Cement clinker / cement / concrete</t>
        </is>
      </c>
      <c r="C21" s="18">
        <f>IFERROR(100*LN(1-AVERAGE(C4,H4))/20,"")</f>
        <v/>
      </c>
      <c r="D21" s="18">
        <f>IFERROR(100*LN(1-AVERAGE(D4,I4))/50,"")</f>
        <v/>
      </c>
      <c r="E21" s="18">
        <f>IFERROR(100*LN(1-AVERAGE(E4,J4))/100,"")</f>
        <v/>
      </c>
      <c r="F21" s="18">
        <f>IFERROR(100*LN(1-AVERAGE(F4,K4))/150,"")</f>
        <v/>
      </c>
      <c r="G21" s="18">
        <f>IFERROR(100*LN(1-AVERAGE(G4,L4))/200,"")</f>
        <v/>
      </c>
      <c r="H21">
        <f>IF(ABS(C21)&gt;ABS(E21)+0.02,"|beta| falls with price (cheap options first; concave MACC)",IF(ABS(E21)&gt;ABS(C21)+0.02,"|beta| rises with price (options mostly &gt;USD20; convex MACC)","approx. constant"))</f>
        <v/>
      </c>
    </row>
    <row r="22">
      <c r="A22" t="inlineStr">
        <is>
          <t>BOF</t>
        </is>
      </c>
      <c r="B22" t="inlineStr">
        <is>
          <t>Primary steel: BF-BOF route</t>
        </is>
      </c>
      <c r="C22" s="18">
        <f>IFERROR(100*LN(1-AVERAGE(C5,H5))/20,"")</f>
        <v/>
      </c>
      <c r="D22" s="18">
        <f>IFERROR(100*LN(1-AVERAGE(D5,I5))/50,"")</f>
        <v/>
      </c>
      <c r="E22" s="18">
        <f>IFERROR(100*LN(1-AVERAGE(E5,J5))/100,"")</f>
        <v/>
      </c>
      <c r="F22" s="18">
        <f>IFERROR(100*LN(1-AVERAGE(F5,K5))/150,"")</f>
        <v/>
      </c>
      <c r="G22" s="18">
        <f>IFERROR(100*LN(1-AVERAGE(G5,L5))/200,"")</f>
        <v/>
      </c>
      <c r="H22">
        <f>IF(ABS(C22)&gt;ABS(E22)+0.02,"|beta| falls with price (cheap options first; concave MACC)",IF(ABS(E22)&gt;ABS(C22)+0.02,"|beta| rises with price (options mostly &gt;USD20; convex MACC)","approx. constant"))</f>
        <v/>
      </c>
    </row>
    <row r="23">
      <c r="A23" t="inlineStr">
        <is>
          <t>DRI</t>
        </is>
      </c>
      <c r="B23" t="inlineStr">
        <is>
          <t>Primary steel: natural-gas DRI-EAF route (Egypt-type)</t>
        </is>
      </c>
      <c r="C23" s="18">
        <f>IFERROR(100*LN(1-AVERAGE(C6,H6))/20,"")</f>
        <v/>
      </c>
      <c r="D23" s="18">
        <f>IFERROR(100*LN(1-AVERAGE(D6,I6))/50,"")</f>
        <v/>
      </c>
      <c r="E23" s="18">
        <f>IFERROR(100*LN(1-AVERAGE(E6,J6))/100,"")</f>
        <v/>
      </c>
      <c r="F23" s="18">
        <f>IFERROR(100*LN(1-AVERAGE(F6,K6))/150,"")</f>
        <v/>
      </c>
      <c r="G23" s="18">
        <f>IFERROR(100*LN(1-AVERAGE(G6,L6))/200,"")</f>
        <v/>
      </c>
      <c r="H23">
        <f>IF(ABS(C23)&gt;ABS(E23)+0.02,"|beta| falls with price (cheap options first; concave MACC)",IF(ABS(E23)&gt;ABS(C23)+0.02,"|beta| rises with price (options mostly &gt;USD20; convex MACC)","approx. constant"))</f>
        <v/>
      </c>
    </row>
    <row r="24">
      <c r="A24" t="inlineStr">
        <is>
          <t>EAF</t>
        </is>
      </c>
      <c r="B24" t="inlineStr">
        <is>
          <t>Secondary steel: scrap-EAF</t>
        </is>
      </c>
      <c r="C24" s="18">
        <f>IFERROR(100*LN(1-AVERAGE(C7,H7))/20,"")</f>
        <v/>
      </c>
      <c r="D24" s="18">
        <f>IFERROR(100*LN(1-AVERAGE(D7,I7))/50,"")</f>
        <v/>
      </c>
      <c r="E24" s="18">
        <f>IFERROR(100*LN(1-AVERAGE(E7,J7))/100,"")</f>
        <v/>
      </c>
      <c r="F24" s="18">
        <f>IFERROR(100*LN(1-AVERAGE(F7,K7))/150,"")</f>
        <v/>
      </c>
      <c r="G24" s="18">
        <f>IFERROR(100*LN(1-AVERAGE(G7,L7))/200,"")</f>
        <v/>
      </c>
      <c r="H24">
        <f>IF(ABS(C24)&gt;ABS(E24)+0.02,"|beta| falls with price (cheap options first; concave MACC)",IF(ABS(E24)&gt;ABS(C24)+0.02,"|beta| rises with price (options mostly &gt;USD20; convex MACC)","approx. constant"))</f>
        <v/>
      </c>
    </row>
    <row r="25">
      <c r="A25" t="inlineStr">
        <is>
          <t>ALU</t>
        </is>
      </c>
      <c r="B25" t="inlineStr">
        <is>
          <t>Primary aluminium (Hall-Heroult)</t>
        </is>
      </c>
      <c r="C25" s="18">
        <f>IFERROR(100*LN(1-AVERAGE(C8,H8))/20,"")</f>
        <v/>
      </c>
      <c r="D25" s="18">
        <f>IFERROR(100*LN(1-AVERAGE(D8,I8))/50,"")</f>
        <v/>
      </c>
      <c r="E25" s="18">
        <f>IFERROR(100*LN(1-AVERAGE(E8,J8))/100,"")</f>
        <v/>
      </c>
      <c r="F25" s="18">
        <f>IFERROR(100*LN(1-AVERAGE(F8,K8))/150,"")</f>
        <v/>
      </c>
      <c r="G25" s="18">
        <f>IFERROR(100*LN(1-AVERAGE(G8,L8))/200,"")</f>
        <v/>
      </c>
      <c r="H25">
        <f>IF(ABS(C25)&gt;ABS(E25)+0.02,"|beta| falls with price (cheap options first; concave MACC)",IF(ABS(E25)&gt;ABS(C25)+0.02,"|beta| rises with price (options mostly &gt;USD20; convex MACC)","approx. constant"))</f>
        <v/>
      </c>
    </row>
    <row r="26">
      <c r="A26" t="inlineStr">
        <is>
          <t>NH3</t>
        </is>
      </c>
      <c r="B26" t="inlineStr">
        <is>
          <t>Ammonia (natural-gas SMR; merchant and non-urea uses)</t>
        </is>
      </c>
      <c r="C26" s="18">
        <f>IFERROR(100*LN(1-AVERAGE(C9,H9))/20,"")</f>
        <v/>
      </c>
      <c r="D26" s="18">
        <f>IFERROR(100*LN(1-AVERAGE(D9,I9))/50,"")</f>
        <v/>
      </c>
      <c r="E26" s="18">
        <f>IFERROR(100*LN(1-AVERAGE(E9,J9))/100,"")</f>
        <v/>
      </c>
      <c r="F26" s="18">
        <f>IFERROR(100*LN(1-AVERAGE(F9,K9))/150,"")</f>
        <v/>
      </c>
      <c r="G26" s="18">
        <f>IFERROR(100*LN(1-AVERAGE(G9,L9))/200,"")</f>
        <v/>
      </c>
      <c r="H26">
        <f>IF(ABS(C26)&gt;ABS(E26)+0.02,"|beta| falls with price (cheap options first; concave MACC)",IF(ABS(E26)&gt;ABS(C26)+0.02,"|beta| rises with price (options mostly &gt;USD20; convex MACC)","approx. constant"))</f>
        <v/>
      </c>
    </row>
    <row r="27">
      <c r="A27" t="inlineStr">
        <is>
          <t>UREA</t>
        </is>
      </c>
      <c r="B27" t="inlineStr">
        <is>
          <t>Urea (ammonia precursor + urea plant)</t>
        </is>
      </c>
      <c r="C27" s="18">
        <f>IFERROR(100*LN(1-AVERAGE(C10,H10))/20,"")</f>
        <v/>
      </c>
      <c r="D27" s="18">
        <f>IFERROR(100*LN(1-AVERAGE(D10,I10))/50,"")</f>
        <v/>
      </c>
      <c r="E27" s="18">
        <f>IFERROR(100*LN(1-AVERAGE(E10,J10))/100,"")</f>
        <v/>
      </c>
      <c r="F27" s="18">
        <f>IFERROR(100*LN(1-AVERAGE(F10,K10))/150,"")</f>
        <v/>
      </c>
      <c r="G27" s="18">
        <f>IFERROR(100*LN(1-AVERAGE(G10,L10))/200,"")</f>
        <v/>
      </c>
      <c r="H27">
        <f>IF(ABS(C27)&gt;ABS(E27)+0.02,"|beta| falls with price (cheap options first; concave MACC)",IF(ABS(E27)&gt;ABS(C27)+0.02,"|beta| rises with price (options mostly &gt;USD20; convex MACC)","approx. constant"))</f>
        <v/>
      </c>
    </row>
    <row r="28">
      <c r="A28" t="inlineStr">
        <is>
          <t>HNO3</t>
        </is>
      </c>
      <c r="B28" t="inlineStr">
        <is>
          <t>Nitric acid (N2O) - component of ammonium nitrate and other N fertilisers</t>
        </is>
      </c>
      <c r="C28" s="18">
        <f>IFERROR(100*LN(1-AVERAGE(C11,H11))/20,"")</f>
        <v/>
      </c>
      <c r="D28" s="18">
        <f>IFERROR(100*LN(1-AVERAGE(D11,I11))/50,"")</f>
        <v/>
      </c>
      <c r="E28" s="18">
        <f>IFERROR(100*LN(1-AVERAGE(E11,J11))/100,"")</f>
        <v/>
      </c>
      <c r="F28" s="18">
        <f>IFERROR(100*LN(1-AVERAGE(F11,K11))/150,"")</f>
        <v/>
      </c>
      <c r="G28" s="18">
        <f>IFERROR(100*LN(1-AVERAGE(G11,L11))/200,"")</f>
        <v/>
      </c>
      <c r="H28">
        <f>IF(ABS(C28)&gt;ABS(E28)+0.02,"|beta| falls with price (cheap options first; concave MACC)",IF(ABS(E28)&gt;ABS(C28)+0.02,"|beta| rises with price (options mostly &gt;USD20; convex MACC)","approx. constant"))</f>
        <v/>
      </c>
    </row>
    <row r="29">
      <c r="A29" t="inlineStr">
        <is>
          <t>AN_U</t>
        </is>
      </c>
      <c r="B29" t="inlineStr">
        <is>
          <t>Ammonium nitrate - unabated N2O baseline</t>
        </is>
      </c>
      <c r="C29" s="18">
        <f>IFERROR(100*LN(1-AVERAGE(C12,H12))/20,"")</f>
        <v/>
      </c>
      <c r="D29" s="18">
        <f>IFERROR(100*LN(1-AVERAGE(D12,I12))/50,"")</f>
        <v/>
      </c>
      <c r="E29" s="18">
        <f>IFERROR(100*LN(1-AVERAGE(E12,J12))/100,"")</f>
        <v/>
      </c>
      <c r="F29" s="18">
        <f>IFERROR(100*LN(1-AVERAGE(F12,K12))/150,"")</f>
        <v/>
      </c>
      <c r="G29" s="18">
        <f>IFERROR(100*LN(1-AVERAGE(G12,L12))/200,"")</f>
        <v/>
      </c>
      <c r="H29">
        <f>IF(ABS(C29)&gt;ABS(E29)+0.02,"|beta| falls with price (cheap options first; concave MACC)",IF(ABS(E29)&gt;ABS(C29)+0.02,"|beta| rises with price (options mostly &gt;USD20; convex MACC)","approx. constant"))</f>
        <v/>
      </c>
    </row>
    <row r="30">
      <c r="A30" t="inlineStr">
        <is>
          <t>AN_A</t>
        </is>
      </c>
      <c r="B30" t="inlineStr">
        <is>
          <t>Ammonium nitrate - N2O already ~90% abated (EU / CDM-legacy plants)</t>
        </is>
      </c>
      <c r="C30" s="18">
        <f>IFERROR(100*LN(1-AVERAGE(C13,H13))/20,"")</f>
        <v/>
      </c>
      <c r="D30" s="18">
        <f>IFERROR(100*LN(1-AVERAGE(D13,I13))/50,"")</f>
        <v/>
      </c>
      <c r="E30" s="18">
        <f>IFERROR(100*LN(1-AVERAGE(E13,J13))/100,"")</f>
        <v/>
      </c>
      <c r="F30" s="18">
        <f>IFERROR(100*LN(1-AVERAGE(F13,K13))/150,"")</f>
        <v/>
      </c>
      <c r="G30" s="18">
        <f>IFERROR(100*LN(1-AVERAGE(G13,L13))/200,"")</f>
        <v/>
      </c>
      <c r="H30">
        <f>IF(ABS(C30)&gt;ABS(E30)+0.02,"|beta| falls with price (cheap options first; concave MACC)",IF(ABS(E30)&gt;ABS(C30)+0.02,"|beta| rises with price (options mostly &gt;USD20; convex MACC)","approx. constant"))</f>
        <v/>
      </c>
    </row>
    <row r="31">
      <c r="A31" t="inlineStr">
        <is>
          <t>H2</t>
        </is>
      </c>
      <c r="B31" t="inlineStr">
        <is>
          <t>Hydrogen (merchant, SMR)</t>
        </is>
      </c>
      <c r="C31" s="18">
        <f>IFERROR(100*LN(1-AVERAGE(C14,H14))/20,"")</f>
        <v/>
      </c>
      <c r="D31" s="18">
        <f>IFERROR(100*LN(1-AVERAGE(D14,I14))/50,"")</f>
        <v/>
      </c>
      <c r="E31" s="18">
        <f>IFERROR(100*LN(1-AVERAGE(E14,J14))/100,"")</f>
        <v/>
      </c>
      <c r="F31" s="18">
        <f>IFERROR(100*LN(1-AVERAGE(F14,K14))/150,"")</f>
        <v/>
      </c>
      <c r="G31" s="18">
        <f>IFERROR(100*LN(1-AVERAGE(G14,L14))/200,"")</f>
        <v/>
      </c>
      <c r="H31">
        <f>IF(ABS(C31)&gt;ABS(E31)+0.02,"|beta| falls with price (cheap options first; concave MACC)",IF(ABS(E31)&gt;ABS(C31)+0.02,"|beta| rises with price (options mostly &gt;USD20; convex MACC)","approx. constant"))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0" customWidth="1" min="1" max="1"/>
    <col width="14" customWidth="1" min="2" max="2"/>
    <col width="14" customWidth="1" min="3" max="3"/>
    <col width="30" customWidth="1" min="4" max="4"/>
  </cols>
  <sheetData>
    <row r="1">
      <c r="A1" s="4" t="inlineStr">
        <is>
          <t>Derivation of the iso-semi-elastic (constant semi-elasticity) model</t>
        </is>
      </c>
    </row>
    <row r="2">
      <c r="A2" s="19" t="inlineStr">
        <is>
          <t>E(tau): process-emission intensity at carbon price tau; E0 = E(0). Abatement fraction a(tau) = 1 - E(tau)/E0.</t>
        </is>
      </c>
    </row>
    <row r="3">
      <c r="A3" s="19" t="inlineStr">
        <is>
          <t>Semi-elasticity: beta(tau) = (dE/dtau)/E = d ln E / d tau.  Iso-semi-elastic assumption: beta constant for all tau.</t>
        </is>
      </c>
    </row>
    <row r="4">
      <c r="A4" s="19" t="inlineStr">
        <is>
          <t>Hence  ln E(tau) = ln E0 + beta*tau  =&gt;  E(tau) = E0*exp(beta*tau)  =&gt;  a(tau) = 1 - exp(beta*tau).</t>
        </is>
      </c>
    </row>
    <row r="5">
      <c r="A5" s="19" t="inlineStr">
        <is>
          <t>Calibration on one point (a* at tau* = 100):  beta = ln(1 - a*)/tau*.   In '% per $': 100*beta.</t>
        </is>
      </c>
    </row>
    <row r="6">
      <c r="A6" s="19" t="inlineStr">
        <is>
          <t>CPAT form: delta I / I = exp(beta*tau) - 1 = -a(tau).</t>
        </is>
      </c>
    </row>
    <row r="7">
      <c r="A7" s="19" t="inlineStr">
        <is>
          <t>Linear approximation: a(tau) ~ -beta*tau (small |beta*tau|) -&gt; beta_lin = -a*/tau*. Always |beta_iso| &gt;= |beta_lin| because -ln(1-a) &gt;= a.</t>
        </is>
      </c>
    </row>
    <row r="8">
      <c r="A8" s="19" t="inlineStr">
        <is>
          <t>Price elasticity of emissions in this model: eps(tau) = (dE/dtau)*(tau/E) = beta*tau -&gt; not constant; eps(100) = 100*beta. A constant-elasticity (isoelastic) form E = E0*(tau/tau_ref)^-eps is undefined at tau = 0 and therefore unsuitable for a price starting from zero; the semi-elastic form is the log-linear analogue.</t>
        </is>
      </c>
    </row>
    <row r="9">
      <c r="A9" s="19" t="inlineStr">
        <is>
          <t>Saturating alternative (two parameters): a(tau) = A*(1 - exp(-tau/tau_s)). From two points: a(200)/a(100) = 1 + exp(-100/tau_s) -&gt; tau_s = -100/ln(a(200)/a(100) - 1); A = a(100)/(1 - exp(-100/tau_s)).</t>
        </is>
      </c>
    </row>
    <row r="10">
      <c r="A10" s="19" t="inlineStr"/>
    </row>
    <row r="11">
      <c r="A11" s="4" t="inlineStr">
        <is>
          <t>Worked example (edit yellow cell)</t>
        </is>
      </c>
    </row>
    <row r="13">
      <c r="A13" t="inlineStr">
        <is>
          <t>a* at tau*=100</t>
        </is>
      </c>
      <c r="B13" s="8" t="n">
        <v>0.3</v>
      </c>
    </row>
    <row r="14">
      <c r="A14" t="inlineStr">
        <is>
          <t>tau* (USD/t)</t>
        </is>
      </c>
      <c r="B14" s="20" t="n">
        <v>100</v>
      </c>
    </row>
    <row r="15">
      <c r="A15" t="inlineStr">
        <is>
          <t>beta_iso (per USD)</t>
        </is>
      </c>
      <c r="B15" s="21">
        <f>LN(1-B13)/B14</f>
        <v/>
      </c>
    </row>
    <row r="16">
      <c r="A16" t="inlineStr">
        <is>
          <t>beta_iso (% per USD)</t>
        </is>
      </c>
      <c r="B16" s="18">
        <f>100*B15</f>
        <v/>
      </c>
    </row>
    <row r="17">
      <c r="A17" t="inlineStr">
        <is>
          <t>beta_linear (% per USD)</t>
        </is>
      </c>
      <c r="B17" s="18">
        <f>-100*B13/B14</f>
        <v/>
      </c>
    </row>
    <row r="18">
      <c r="A18" t="inlineStr">
        <is>
          <t>elasticity at tau*</t>
        </is>
      </c>
      <c r="B18" s="18">
        <f>B15*B14</f>
        <v/>
      </c>
    </row>
    <row r="20">
      <c r="A20" t="inlineStr">
        <is>
          <t>tau</t>
        </is>
      </c>
      <c r="B20" t="inlineStr">
        <is>
          <t>a(tau) iso</t>
        </is>
      </c>
      <c r="C20" t="inlineStr">
        <is>
          <t>a(tau) linear</t>
        </is>
      </c>
      <c r="D20" t="inlineStr">
        <is>
          <t>a(tau) saturating (A=0.6, tau_s=120)</t>
        </is>
      </c>
    </row>
    <row r="21">
      <c r="A21" t="n">
        <v>0</v>
      </c>
      <c r="B21" s="10">
        <f>1-EXP($B$15*A21)</f>
        <v/>
      </c>
      <c r="C21" s="10">
        <f>MIN(1,-$B$17/100*A21)</f>
        <v/>
      </c>
      <c r="D21" s="10">
        <f>0.6*(1-EXP(-A21/120))</f>
        <v/>
      </c>
    </row>
    <row r="22">
      <c r="A22" t="n">
        <v>10</v>
      </c>
      <c r="B22" s="10">
        <f>1-EXP($B$15*A22)</f>
        <v/>
      </c>
      <c r="C22" s="10">
        <f>MIN(1,-$B$17/100*A22)</f>
        <v/>
      </c>
      <c r="D22" s="10">
        <f>0.6*(1-EXP(-A22/120))</f>
        <v/>
      </c>
    </row>
    <row r="23">
      <c r="A23" t="n">
        <v>20</v>
      </c>
      <c r="B23" s="10">
        <f>1-EXP($B$15*A23)</f>
        <v/>
      </c>
      <c r="C23" s="10">
        <f>MIN(1,-$B$17/100*A23)</f>
        <v/>
      </c>
      <c r="D23" s="10">
        <f>0.6*(1-EXP(-A23/120))</f>
        <v/>
      </c>
    </row>
    <row r="24">
      <c r="A24" t="n">
        <v>30</v>
      </c>
      <c r="B24" s="10">
        <f>1-EXP($B$15*A24)</f>
        <v/>
      </c>
      <c r="C24" s="10">
        <f>MIN(1,-$B$17/100*A24)</f>
        <v/>
      </c>
      <c r="D24" s="10">
        <f>0.6*(1-EXP(-A24/120))</f>
        <v/>
      </c>
    </row>
    <row r="25">
      <c r="A25" t="n">
        <v>50</v>
      </c>
      <c r="B25" s="10">
        <f>1-EXP($B$15*A25)</f>
        <v/>
      </c>
      <c r="C25" s="10">
        <f>MIN(1,-$B$17/100*A25)</f>
        <v/>
      </c>
      <c r="D25" s="10">
        <f>0.6*(1-EXP(-A25/120))</f>
        <v/>
      </c>
    </row>
    <row r="26">
      <c r="A26" t="n">
        <v>75</v>
      </c>
      <c r="B26" s="10">
        <f>1-EXP($B$15*A26)</f>
        <v/>
      </c>
      <c r="C26" s="10">
        <f>MIN(1,-$B$17/100*A26)</f>
        <v/>
      </c>
      <c r="D26" s="10">
        <f>0.6*(1-EXP(-A26/120))</f>
        <v/>
      </c>
    </row>
    <row r="27">
      <c r="A27" t="n">
        <v>100</v>
      </c>
      <c r="B27" s="10">
        <f>1-EXP($B$15*A27)</f>
        <v/>
      </c>
      <c r="C27" s="10">
        <f>MIN(1,-$B$17/100*A27)</f>
        <v/>
      </c>
      <c r="D27" s="10">
        <f>0.6*(1-EXP(-A27/120))</f>
        <v/>
      </c>
    </row>
    <row r="28">
      <c r="A28" t="n">
        <v>125</v>
      </c>
      <c r="B28" s="10">
        <f>1-EXP($B$15*A28)</f>
        <v/>
      </c>
      <c r="C28" s="10">
        <f>MIN(1,-$B$17/100*A28)</f>
        <v/>
      </c>
      <c r="D28" s="10">
        <f>0.6*(1-EXP(-A28/120))</f>
        <v/>
      </c>
    </row>
    <row r="29">
      <c r="A29" t="n">
        <v>150</v>
      </c>
      <c r="B29" s="10">
        <f>1-EXP($B$15*A29)</f>
        <v/>
      </c>
      <c r="C29" s="10">
        <f>MIN(1,-$B$17/100*A29)</f>
        <v/>
      </c>
      <c r="D29" s="10">
        <f>0.6*(1-EXP(-A29/120))</f>
        <v/>
      </c>
    </row>
    <row r="30">
      <c r="A30" t="n">
        <v>200</v>
      </c>
      <c r="B30" s="10">
        <f>1-EXP($B$15*A30)</f>
        <v/>
      </c>
      <c r="C30" s="10">
        <f>MIN(1,-$B$17/100*A30)</f>
        <v/>
      </c>
      <c r="D30" s="10">
        <f>0.6*(1-EXP(-A30/120))</f>
        <v/>
      </c>
    </row>
    <row r="31">
      <c r="A31" t="n">
        <v>300</v>
      </c>
      <c r="B31" s="10">
        <f>1-EXP($B$15*A31)</f>
        <v/>
      </c>
      <c r="C31" s="10">
        <f>MIN(1,-$B$17/100*A31)</f>
        <v/>
      </c>
      <c r="D31" s="10">
        <f>0.6*(1-EXP(-A31/120))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</cols>
  <sheetData>
    <row r="1">
      <c r="A1" s="4" t="inlineStr">
        <is>
          <t>IPCC AR6 WGIII Table 12.3 - industry PROCESS-related 2030 potentials &lt;= USD100/tCO2e vs 2030 reference process emissions</t>
        </is>
      </c>
    </row>
    <row r="3">
      <c r="A3" t="inlineStr">
        <is>
          <t>Feedstock decarbonisation / process change (50-100 bin)</t>
        </is>
      </c>
      <c r="B3" t="n">
        <v>0.38</v>
      </c>
    </row>
    <row r="4">
      <c r="A4" t="inlineStr">
        <is>
          <t>Cementitious material substitution (20-50 bin)</t>
        </is>
      </c>
      <c r="B4" t="n">
        <v>0.28</v>
      </c>
    </row>
    <row r="5">
      <c r="A5" t="inlineStr">
        <is>
          <t>Reduction of non-CO2 emissions (0-20 bin)</t>
        </is>
      </c>
      <c r="B5" t="n">
        <v>0.2</v>
      </c>
    </row>
    <row r="6">
      <c r="A6" t="inlineStr">
        <is>
          <t>Sum process options &lt;= USD100 (Gt)</t>
        </is>
      </c>
      <c r="B6">
        <f>SUM(B3:B5)</f>
        <v/>
      </c>
    </row>
    <row r="7">
      <c r="A7" t="inlineStr">
        <is>
          <t>Circularity / enhanced recycling (20-50 bin) - route shift, optional add</t>
        </is>
      </c>
      <c r="B7" t="n">
        <v>0.48</v>
      </c>
    </row>
    <row r="8">
      <c r="A8" t="inlineStr">
        <is>
          <t>2019 industrial process GHG (Gt, IPCC AR6 Ch.11 p.1170)</t>
        </is>
      </c>
      <c r="B8" t="n">
        <v>4.5</v>
      </c>
    </row>
    <row r="9">
      <c r="A9" t="inlineStr">
        <is>
          <t>Reference growth 2019-&gt;2030 (input; 12.SM: industry CO2 +28% 2017-30; IEA cement/steel flatter)</t>
        </is>
      </c>
      <c r="B9" s="22" t="n">
        <v>0.215</v>
      </c>
    </row>
    <row r="10">
      <c r="A10" t="inlineStr">
        <is>
          <t>2030 reference process emissions (Gt)</t>
        </is>
      </c>
      <c r="B10">
        <f>B8*(1+B9)</f>
        <v/>
      </c>
    </row>
    <row r="11">
      <c r="A11" t="inlineStr"/>
      <c r="B11" t="inlineStr"/>
    </row>
    <row r="12">
      <c r="A12" t="inlineStr">
        <is>
          <t>a(100) 2030 aggregate, process options only</t>
        </is>
      </c>
      <c r="B12" s="10">
        <f>B6/B10</f>
        <v/>
      </c>
    </row>
    <row r="13">
      <c r="A13" t="inlineStr">
        <is>
          <t>a(100) 2030 aggregate, incl. circularity</t>
        </is>
      </c>
      <c r="B13" s="10">
        <f>(B6+B7)/B10</f>
        <v/>
      </c>
    </row>
    <row r="14">
      <c r="A14" t="inlineStr">
        <is>
          <t>beta_iso implied (%/$), process only</t>
        </is>
      </c>
      <c r="B14" s="18">
        <f>100*LN(1-B12)/100</f>
        <v/>
      </c>
    </row>
    <row r="15">
      <c r="A15" t="inlineStr">
        <is>
          <t>Sensitivity: growth 15% -&gt; a(100)</t>
        </is>
      </c>
      <c r="B15" s="10">
        <f>B6/(B8*1.15)</f>
        <v/>
      </c>
    </row>
    <row r="16">
      <c r="A16" t="inlineStr">
        <is>
          <t>Sensitivity: growth 28% -&gt; a(100)</t>
        </is>
      </c>
      <c r="B16" s="10">
        <f>B6/(B8*1.28)</f>
        <v/>
      </c>
    </row>
    <row r="17">
      <c r="A17" t="inlineStr">
        <is>
          <t>Note: CCU/CCS 0.15 Gt sits in the USD100-200 bin (not overlap-corrected) and is excluded at &lt;=USD100. Potentials 'cannot be summed across sectors' but within industry are overlap-corrected (Table 12.3 notes). Uncertainty +/-25%.</t>
        </is>
      </c>
      <c r="B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50" customWidth="1" min="7" max="7"/>
  </cols>
  <sheetData>
    <row r="1">
      <c r="A1" s="4" t="inlineStr">
        <is>
          <t>IPCC AR6 WGIII Ch.12 Table 12.3 - Industry (GtCO2-eq, 2030; +/-25%; overlap-corrected except 0.15 Gt CCUS). Source p.1255-1256.</t>
        </is>
      </c>
    </row>
    <row r="2">
      <c r="A2" s="13" t="inlineStr">
        <is>
          <t>Option</t>
        </is>
      </c>
      <c r="B2" s="13" t="inlineStr">
        <is>
          <t>&lt;0</t>
        </is>
      </c>
      <c r="C2" s="13" t="inlineStr">
        <is>
          <t>0-20</t>
        </is>
      </c>
      <c r="D2" s="13" t="inlineStr">
        <is>
          <t>20-50</t>
        </is>
      </c>
      <c r="E2" s="13" t="inlineStr">
        <is>
          <t>50-100</t>
        </is>
      </c>
      <c r="F2" s="13" t="inlineStr">
        <is>
          <t>100-200</t>
        </is>
      </c>
      <c r="G2" s="13" t="inlineStr">
        <is>
          <t>Classification used here</t>
        </is>
      </c>
    </row>
    <row r="3">
      <c r="A3" t="inlineStr">
        <is>
          <t>Energy efficiency (fuels only)</t>
        </is>
      </c>
      <c r="C3" t="n">
        <v>1.14</v>
      </c>
      <c r="G3" t="inlineStr">
        <is>
          <t>not process</t>
        </is>
      </c>
    </row>
    <row r="4">
      <c r="A4" t="inlineStr">
        <is>
          <t>Material efficiency</t>
        </is>
      </c>
      <c r="D4" t="n">
        <v>0.93</v>
      </c>
      <c r="G4" t="inlineStr">
        <is>
          <t>demand-side (not intensity)</t>
        </is>
      </c>
    </row>
    <row r="5">
      <c r="A5" t="inlineStr">
        <is>
          <t>Circularity (enhanced recycling)</t>
        </is>
      </c>
      <c r="D5" t="n">
        <v>0.48</v>
      </c>
      <c r="G5" t="inlineStr">
        <is>
          <t>route shift (partly process)</t>
        </is>
      </c>
    </row>
    <row r="6">
      <c r="A6" t="inlineStr">
        <is>
          <t>Fuel switching</t>
        </is>
      </c>
      <c r="D6" t="n">
        <v>1.28</v>
      </c>
      <c r="E6" t="n">
        <v>0.67</v>
      </c>
      <c r="F6" t="n">
        <v>0.15</v>
      </c>
      <c r="G6" t="inlineStr">
        <is>
          <t>not process</t>
        </is>
      </c>
    </row>
    <row r="7">
      <c r="A7" t="inlineStr">
        <is>
          <t>Feedstock decarbonisation, process change</t>
        </is>
      </c>
      <c r="E7" t="n">
        <v>0.38</v>
      </c>
      <c r="G7" t="inlineStr">
        <is>
          <t>process</t>
        </is>
      </c>
    </row>
    <row r="8">
      <c r="A8" t="inlineStr">
        <is>
          <t>CCU and CCS</t>
        </is>
      </c>
      <c r="F8" t="n">
        <v>0.15</v>
      </c>
      <c r="G8" t="inlineStr">
        <is>
          <t>process (and fuel) - 0.08-0.36 range; not overlap-corrected</t>
        </is>
      </c>
    </row>
    <row r="9">
      <c r="A9" t="inlineStr">
        <is>
          <t>Cementitious material substitution</t>
        </is>
      </c>
      <c r="D9" t="n">
        <v>0.28</v>
      </c>
      <c r="G9" t="inlineStr">
        <is>
          <t>process</t>
        </is>
      </c>
    </row>
    <row r="10">
      <c r="A10" t="inlineStr">
        <is>
          <t>Reduction of non-CO2 emissions</t>
        </is>
      </c>
      <c r="C10" t="n">
        <v>0.2</v>
      </c>
      <c r="G10" t="inlineStr">
        <is>
          <t>process (N2O, PFC, CH4)</t>
        </is>
      </c>
    </row>
    <row r="12">
      <c r="A12" t="inlineStr">
        <is>
          <t>Table 12.4: Industry direct potential &lt;USD100 = 5.4 Gt (range 4.0-6.7). All sectors 38 (32-44). Notes: 'Energy efficiency only applies to more efficient use of fuels.'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30" customWidth="1" min="3" max="3"/>
    <col width="40" customWidth="1" min="4" max="4"/>
    <col width="26" customWidth="1" min="5" max="5"/>
    <col width="22" customWidth="1" min="6" max="6"/>
  </cols>
  <sheetData>
    <row r="1">
      <c r="A1" s="4" t="inlineStr">
        <is>
          <t>IPCC AR6 WGIII Ch.11 Table 11.3 (p.1197-1198) and section text - key process-emission options (USD2019/tCO2e)</t>
        </is>
      </c>
    </row>
    <row r="2">
      <c r="A2" s="13" t="inlineStr">
        <is>
          <t>Sector</t>
        </is>
      </c>
      <c r="B2" s="13" t="inlineStr">
        <is>
          <t>Option</t>
        </is>
      </c>
      <c r="C2" s="13" t="inlineStr">
        <is>
          <t>GHG reduction</t>
        </is>
      </c>
      <c r="D2" s="13" t="inlineStr">
        <is>
          <t>Cost (USD/tCO2e)</t>
        </is>
      </c>
      <c r="E2" s="13" t="inlineStr">
        <is>
          <t>Availability / TRL</t>
        </is>
      </c>
      <c r="F2" s="13" t="inlineStr">
        <is>
          <t>Where</t>
        </is>
      </c>
    </row>
    <row r="3">
      <c r="A3" t="inlineStr">
        <is>
          <t>Steel</t>
        </is>
      </c>
      <c r="B3" t="inlineStr">
        <is>
          <t>BF-BOF + top-gas recycling + CCUS</t>
        </is>
      </c>
      <c r="C3" t="inlineStr">
        <is>
          <t>60%</t>
        </is>
      </c>
      <c r="D3" t="inlineStr">
        <is>
          <t>70-130</t>
        </is>
      </c>
      <c r="E3" t="inlineStr">
        <is>
          <t>2025-30</t>
        </is>
      </c>
      <c r="F3" t="inlineStr">
        <is>
          <t>Table 11.3</t>
        </is>
      </c>
    </row>
    <row r="4">
      <c r="A4" t="inlineStr">
        <is>
          <t>Steel</t>
        </is>
      </c>
      <c r="B4" t="inlineStr">
        <is>
          <t>Syngas DRI-EAF + CCUS</t>
        </is>
      </c>
      <c r="C4" t="inlineStr">
        <is>
          <t>&gt;=90%</t>
        </is>
      </c>
      <c r="D4" t="inlineStr">
        <is>
          <t>&gt;=40</t>
        </is>
      </c>
      <c r="E4" t="inlineStr">
        <is>
          <t>commercial (Abu Dhabi 2016)</t>
        </is>
      </c>
      <c r="F4" t="inlineStr">
        <is>
          <t>Table 11.3; 11.4.1.1</t>
        </is>
      </c>
    </row>
    <row r="5">
      <c r="A5" t="inlineStr">
        <is>
          <t>Steel</t>
        </is>
      </c>
      <c r="B5" t="inlineStr">
        <is>
          <t>HIsarna + CCS</t>
        </is>
      </c>
      <c r="C5" t="inlineStr">
        <is>
          <t>80-90%</t>
        </is>
      </c>
      <c r="D5" t="inlineStr">
        <is>
          <t>40-70</t>
        </is>
      </c>
      <c r="E5" t="inlineStr">
        <is>
          <t>pilot</t>
        </is>
      </c>
      <c r="F5" t="inlineStr">
        <is>
          <t>Table 11.3</t>
        </is>
      </c>
    </row>
    <row r="6">
      <c r="A6" t="inlineStr">
        <is>
          <t>Steel</t>
        </is>
      </c>
      <c r="B6" t="inlineStr">
        <is>
          <t>H2-DRI-EAF (electrolytic H2)</t>
        </is>
      </c>
      <c r="C6" t="inlineStr">
        <is>
          <t>up to 99%</t>
        </is>
      </c>
      <c r="D6" t="inlineStr">
        <is>
          <t>39-79 (EUR2018 34-68; EUR40/MWh)</t>
        </is>
      </c>
      <c r="E6" t="inlineStr">
        <is>
          <t>near-commercial (SPM C.5.2)</t>
        </is>
      </c>
      <c r="F6" t="inlineStr">
        <is>
          <t>Table 11.3 fn d</t>
        </is>
      </c>
    </row>
    <row r="7">
      <c r="A7" t="inlineStr">
        <is>
          <t>Steel</t>
        </is>
      </c>
      <c r="B7" t="inlineStr">
        <is>
          <t>Aqueous / molten-oxide electrolysis</t>
        </is>
      </c>
      <c r="C7" t="inlineStr">
        <is>
          <t>~100%</t>
        </is>
      </c>
      <c r="D7" t="inlineStr">
        <is>
          <t>n/a</t>
        </is>
      </c>
      <c r="E7" t="inlineStr">
        <is>
          <t>TRL 3-5</t>
        </is>
      </c>
      <c r="F7" t="inlineStr">
        <is>
          <t>Table 11.3</t>
        </is>
      </c>
    </row>
    <row r="8">
      <c r="A8" t="inlineStr">
        <is>
          <t>Steel</t>
        </is>
      </c>
      <c r="B8" t="inlineStr">
        <is>
          <t>ETC (2018) average</t>
        </is>
      </c>
      <c r="C8" t="inlineStr">
        <is>
          <t>deep</t>
        </is>
      </c>
      <c r="D8" t="inlineStr">
        <is>
          <t>60</t>
        </is>
      </c>
      <c r="E8" t="inlineStr"/>
      <c r="F8" t="inlineStr">
        <is>
          <t>11.4.1.5</t>
        </is>
      </c>
    </row>
    <row r="9">
      <c r="A9" t="inlineStr">
        <is>
          <t>Cement</t>
        </is>
      </c>
      <c r="B9" t="inlineStr">
        <is>
          <t>Clinker substitution</t>
        </is>
      </c>
      <c r="C9" t="inlineStr">
        <is>
          <t>40-50% of plant GHG</t>
        </is>
      </c>
      <c r="D9" t="inlineStr">
        <is>
          <t>near zero</t>
        </is>
      </c>
      <c r="E9" t="inlineStr">
        <is>
          <t>commercial</t>
        </is>
      </c>
      <c r="F9" t="inlineStr">
        <is>
          <t>Table 11.3 fn g</t>
        </is>
      </c>
    </row>
    <row r="10">
      <c r="A10" t="inlineStr">
        <is>
          <t>Cement</t>
        </is>
      </c>
      <c r="B10" t="inlineStr">
        <is>
          <t>Design / material efficiency</t>
        </is>
      </c>
      <c r="C10" t="inlineStr">
        <is>
          <t>-24% demand</t>
        </is>
      </c>
      <c r="D10" t="inlineStr"/>
      <c r="E10" t="inlineStr"/>
      <c r="F10" t="inlineStr">
        <is>
          <t>Table 11.3</t>
        </is>
      </c>
    </row>
    <row r="11">
      <c r="A11" t="inlineStr">
        <is>
          <t>Cement</t>
        </is>
      </c>
      <c r="B11" t="inlineStr">
        <is>
          <t>Alternative fuels</t>
        </is>
      </c>
      <c r="C11" t="inlineStr">
        <is>
          <t>40% of fuel CO2</t>
        </is>
      </c>
      <c r="D11" t="inlineStr"/>
      <c r="E11" t="inlineStr"/>
      <c r="F11" t="inlineStr">
        <is>
          <t>Table 11.3</t>
        </is>
      </c>
    </row>
    <row r="12">
      <c r="A12" t="inlineStr">
        <is>
          <t>Cement</t>
        </is>
      </c>
      <c r="B12" t="inlineStr">
        <is>
          <t>CCUS</t>
        </is>
      </c>
      <c r="C12" t="inlineStr">
        <is>
          <t>99% calcination / &lt;=90% heat</t>
        </is>
      </c>
      <c r="D12" t="inlineStr">
        <is>
          <t>&lt;=40 calcination; &lt;=120 heat</t>
        </is>
      </c>
      <c r="E12" t="inlineStr">
        <is>
          <t>TRL 5-7, 2025</t>
        </is>
      </c>
      <c r="F12" t="inlineStr">
        <is>
          <t>Table 11.3</t>
        </is>
      </c>
    </row>
    <row r="13">
      <c r="A13" t="inlineStr">
        <is>
          <t>Cement</t>
        </is>
      </c>
      <c r="B13" t="inlineStr">
        <is>
          <t>Rootzen &amp; Johnsson (2016) CCS</t>
        </is>
      </c>
      <c r="C13" t="inlineStr"/>
      <c r="D13" t="inlineStr">
        <is>
          <t>25-110 EUR</t>
        </is>
      </c>
      <c r="E13" t="inlineStr"/>
      <c r="F13" t="inlineStr">
        <is>
          <t>11.4.1.5</t>
        </is>
      </c>
    </row>
    <row r="14">
      <c r="A14" t="inlineStr">
        <is>
          <t>Cement</t>
        </is>
      </c>
      <c r="B14" t="inlineStr">
        <is>
          <t>ETC (2018) average</t>
        </is>
      </c>
      <c r="C14" t="inlineStr"/>
      <c r="D14" t="inlineStr">
        <is>
          <t>110-130</t>
        </is>
      </c>
      <c r="E14" t="inlineStr"/>
      <c r="F14" t="inlineStr">
        <is>
          <t>11.4.1.5</t>
        </is>
      </c>
    </row>
    <row r="15">
      <c r="A15" t="inlineStr">
        <is>
          <t>Cement</t>
        </is>
      </c>
      <c r="B15" t="inlineStr">
        <is>
          <t>Fig 11.13 cost ranges</t>
        </is>
      </c>
      <c r="C15" t="inlineStr"/>
      <c r="D15" t="inlineStr">
        <is>
          <t>EE &lt;30; ME 20-50; circ 20-50; FeedCI 20-50; FSW+El 40-100; CCUS 60-130</t>
        </is>
      </c>
      <c r="E15" t="inlineStr"/>
      <c r="F15" t="inlineStr">
        <is>
          <t>Fig 11.13</t>
        </is>
      </c>
    </row>
    <row r="16">
      <c r="A16" t="inlineStr">
        <is>
          <t>Aluminium</t>
        </is>
      </c>
      <c r="B16" t="inlineStr">
        <is>
          <t>Inert electrodes (replace graphite anodes, 1.5 tCO2/t)</t>
        </is>
      </c>
      <c r="C16" t="inlineStr">
        <is>
          <t>100% of process</t>
        </is>
      </c>
      <c r="D16" t="inlineStr">
        <is>
          <t>'relatively low'</t>
        </is>
      </c>
      <c r="E16" t="inlineStr">
        <is>
          <t>TRL 6-7; 2024 target</t>
        </is>
      </c>
      <c r="F16" t="inlineStr">
        <is>
          <t>Table 11.3 fn h</t>
        </is>
      </c>
    </row>
    <row r="17">
      <c r="A17" t="inlineStr">
        <is>
          <t>Aluminium</t>
        </is>
      </c>
      <c r="B17" t="inlineStr">
        <is>
          <t xml:space="preserve">PFC (up to 2 tCO2e/t) </t>
        </is>
      </c>
      <c r="C17" t="inlineStr">
        <is>
          <t>'almost eliminated in well-run facilities'</t>
        </is>
      </c>
      <c r="D17" t="inlineStr"/>
      <c r="E17" t="inlineStr"/>
      <c r="F17" t="inlineStr">
        <is>
          <t>11.4.1.4</t>
        </is>
      </c>
    </row>
    <row r="18">
      <c r="A18" t="inlineStr">
        <is>
          <t>Ammonia</t>
        </is>
      </c>
      <c r="B18" t="inlineStr">
        <is>
          <t>Low-GHG H2 (electrolysis / SMR+CCS)</t>
        </is>
      </c>
      <c r="C18" t="inlineStr">
        <is>
          <t>&lt;=99%</t>
        </is>
      </c>
      <c r="D18" t="inlineStr">
        <is>
          <t>cost of H2; electrolysis ~50</t>
        </is>
      </c>
      <c r="E18" t="inlineStr"/>
      <c r="F18" t="inlineStr">
        <is>
          <t>Table 11.3</t>
        </is>
      </c>
    </row>
    <row r="19">
      <c r="A19" t="inlineStr">
        <is>
          <t>Cross-cutting</t>
        </is>
      </c>
      <c r="B19" t="inlineStr">
        <is>
          <t>CCS of concentrated CO2 (process streams)</t>
        </is>
      </c>
      <c r="C19" t="inlineStr">
        <is>
          <t>99%</t>
        </is>
      </c>
      <c r="D19" t="inlineStr">
        <is>
          <t>&lt;=40 (storage 10-40; 15-40 commercial)</t>
        </is>
      </c>
      <c r="E19" t="inlineStr">
        <is>
          <t>commercial</t>
        </is>
      </c>
      <c r="F19" t="inlineStr">
        <is>
          <t>Table 11.3 fn f; p.1185</t>
        </is>
      </c>
    </row>
    <row r="20">
      <c r="A20" t="inlineStr">
        <is>
          <t>Cross-cutting</t>
        </is>
      </c>
      <c r="B20" t="inlineStr">
        <is>
          <t>Post-combustion capture, diluted streams</t>
        </is>
      </c>
      <c r="C20" t="inlineStr">
        <is>
          <t>&lt;=90%</t>
        </is>
      </c>
      <c r="D20" t="inlineStr">
        <is>
          <t>&lt;=120 (Leeson 60-170)</t>
        </is>
      </c>
      <c r="E20" t="inlineStr"/>
      <c r="F20" t="inlineStr">
        <is>
          <t>Table 11.3 fn f</t>
        </is>
      </c>
    </row>
    <row r="21">
      <c r="A21" t="inlineStr">
        <is>
          <t>Cross-cutting</t>
        </is>
      </c>
      <c r="B21" t="inlineStr">
        <is>
          <t>SMR + CCS</t>
        </is>
      </c>
      <c r="C21" t="inlineStr">
        <is>
          <t>56% at &lt;=40 (process stream); &lt;=90% at &lt;=120</t>
        </is>
      </c>
      <c r="D21" t="inlineStr"/>
      <c r="E21" t="inlineStr"/>
      <c r="F21" t="inlineStr">
        <is>
          <t>Table 11.3</t>
        </is>
      </c>
    </row>
    <row r="22">
      <c r="A22" t="inlineStr">
        <is>
          <t>Industry</t>
        </is>
      </c>
      <c r="B22" t="inlineStr">
        <is>
          <t>Overall mitigation cost band</t>
        </is>
      </c>
      <c r="C22" t="inlineStr"/>
      <c r="D22" t="inlineStr">
        <is>
          <t>rough range 50-150</t>
        </is>
      </c>
      <c r="E22" t="inlineStr">
        <is>
          <t>5-15 yrs innovation needed</t>
        </is>
      </c>
      <c r="F22" t="inlineStr">
        <is>
          <t>Exec. summary p.1163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IPCC AR4 WGIII Ch.7 Table 7.9 - global mitigation potential in 2030 for non-CO2 industrial gases (MtCO2-eq, US$2000 cost categories)</t>
        </is>
      </c>
    </row>
    <row r="2">
      <c r="A2" s="13" t="inlineStr">
        <is>
          <t>Source</t>
        </is>
      </c>
      <c r="B2" s="13" t="inlineStr">
        <is>
          <t>2030 baseline</t>
        </is>
      </c>
      <c r="C2" s="13" t="inlineStr">
        <is>
          <t>&lt;0</t>
        </is>
      </c>
      <c r="D2" s="13" t="inlineStr">
        <is>
          <t>&lt;20</t>
        </is>
      </c>
      <c r="E2" s="13" t="inlineStr">
        <is>
          <t>&lt;50</t>
        </is>
      </c>
      <c r="F2" s="13" t="inlineStr">
        <is>
          <t>&lt;100</t>
        </is>
      </c>
      <c r="G2" s="13" t="inlineStr">
        <is>
          <t>Share &lt;0</t>
        </is>
      </c>
      <c r="H2" s="13" t="inlineStr">
        <is>
          <t>Share &lt;100</t>
        </is>
      </c>
    </row>
    <row r="3">
      <c r="A3" t="inlineStr">
        <is>
          <t>N2O from adipic and nitric acid production</t>
        </is>
      </c>
      <c r="B3" t="n">
        <v>190</v>
      </c>
      <c r="C3" t="n">
        <v>158</v>
      </c>
      <c r="D3" t="n">
        <v>158</v>
      </c>
      <c r="E3" t="n">
        <v>158</v>
      </c>
      <c r="F3" t="n">
        <v>174</v>
      </c>
      <c r="G3" s="23">
        <f>C3/B3</f>
        <v/>
      </c>
      <c r="H3" s="23">
        <f>F3/B3</f>
        <v/>
      </c>
    </row>
    <row r="4">
      <c r="A4" t="inlineStr">
        <is>
          <t>PFC from aluminium production</t>
        </is>
      </c>
      <c r="B4" t="n">
        <v>51</v>
      </c>
      <c r="C4" t="n">
        <v>1.6</v>
      </c>
      <c r="D4" t="n">
        <v>7.6</v>
      </c>
      <c r="E4" t="n">
        <v>8.199999999999999</v>
      </c>
      <c r="F4" t="n">
        <v>8.199999999999999</v>
      </c>
      <c r="G4" s="23">
        <f>C4/B4</f>
        <v/>
      </c>
      <c r="H4" s="23">
        <f>F4/B4</f>
        <v/>
      </c>
    </row>
    <row r="6">
      <c r="A6" t="inlineStr">
        <is>
          <t>Text 7.4.3.4: nitric acid catalytic reduction 89% typical, 70% to almost 100%; cost 2.0-5.8 US$2000/tCO2e (20% discount rate). NACAG FAQ 2024: secondary 70-90%, tertiary up to 99%. AR4 7.4.2.1: PFC intensity 4.4 -&gt; 1.2 tCO2e/t Al (1990-2004), 'mainly low or no-cost'.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  <col width="20" customWidth="1" min="4" max="4"/>
    <col width="40" customWidth="1" min="5" max="5"/>
  </cols>
  <sheetData>
    <row r="1">
      <c r="A1" s="4" t="inlineStr">
        <is>
          <t>Empirical EU ETS / carbon-pricing evidence (TOTAL installation emissions - dominated by combustion; NOT process-specific). For comparison only.</t>
        </is>
      </c>
    </row>
    <row r="2">
      <c r="A2" s="13" t="inlineStr">
        <is>
          <t>Study</t>
        </is>
      </c>
      <c r="B2" s="13" t="inlineStr">
        <is>
          <t>Scope</t>
        </is>
      </c>
      <c r="C2" s="13" t="inlineStr">
        <is>
          <t>Effect</t>
        </is>
      </c>
      <c r="D2" s="13" t="inlineStr">
        <is>
          <t>Price context</t>
        </is>
      </c>
      <c r="E2" s="13" t="inlineStr">
        <is>
          <t>Rough implied semi-elasticity (derived here)</t>
        </is>
      </c>
    </row>
    <row r="3">
      <c r="A3" s="11" t="inlineStr">
        <is>
          <t>Bayer &amp; Aklin 2020 (PNAS)</t>
        </is>
      </c>
      <c r="B3" s="11" t="inlineStr">
        <is>
          <t>EU ETS, all covered sectors</t>
        </is>
      </c>
      <c r="C3" s="11" t="inlineStr">
        <is>
          <t>-3.8% EU-wide (1.2 GtCO2 2008-16); covered sectors -8.1% to -11.5% vs synthetic control</t>
        </is>
      </c>
      <c r="D3" s="11" t="inlineStr">
        <is>
          <t>~EUR 5-25 (mostly &lt;20)</t>
        </is>
      </c>
      <c r="E3" s="11" t="inlineStr">
        <is>
          <t>~0.2-0.6 %/EUR (total emissions, short-run)</t>
        </is>
      </c>
    </row>
    <row r="4">
      <c r="A4" s="11" t="inlineStr">
        <is>
          <t>Dechezlepretre, Nachtigall &amp; Venmans 2023 (JEEM)</t>
        </is>
      </c>
      <c r="B4" s="11" t="inlineStr">
        <is>
          <t>EU ETS installations FR/NL/NO/UK</t>
        </is>
      </c>
      <c r="C4" s="11" t="inlineStr">
        <is>
          <t>~-10% 2005-12; no effect on profits/employment</t>
        </is>
      </c>
      <c r="D4" s="11" t="inlineStr">
        <is>
          <t>EUR 8-30</t>
        </is>
      </c>
      <c r="E4" s="11" t="inlineStr">
        <is>
          <t>~0.3-0.7 %/EUR</t>
        </is>
      </c>
    </row>
    <row r="5">
      <c r="A5" s="11" t="inlineStr">
        <is>
          <t>Colmer, Martin, Muuls &amp; Wagner 2024 (REStud)</t>
        </is>
      </c>
      <c r="B5" s="11" t="inlineStr">
        <is>
          <t>EU ETS firms (France)</t>
        </is>
      </c>
      <c r="C5" s="11" t="inlineStr">
        <is>
          <t>-14% (Phase I), -16% (Phase II); MAC could not have exceeded USD53/t</t>
        </is>
      </c>
      <c r="D5" s="11" t="inlineStr">
        <is>
          <t>EUR 8-30</t>
        </is>
      </c>
      <c r="E5" s="11" t="inlineStr">
        <is>
          <t>~0.5-1.0 %/EUR</t>
        </is>
      </c>
    </row>
    <row r="6">
      <c r="A6" s="11" t="inlineStr">
        <is>
          <t>Dobbeling-Hildebrandt et al. 2024 (Nat. Commun.) meta-analysis</t>
        </is>
      </c>
      <c r="B6" s="11" t="inlineStr">
        <is>
          <t>21 carbon-pricing schemes</t>
        </is>
      </c>
      <c r="C6" s="11" t="inlineStr">
        <is>
          <t>-10.4% average (-6.8% bias-corrected); EU ETS -7.3% at mean USD20/t</t>
        </is>
      </c>
      <c r="D6" s="11" t="inlineStr">
        <is>
          <t>mean USD 20</t>
        </is>
      </c>
      <c r="E6" s="11" t="inlineStr">
        <is>
          <t>~0.35 %/USD (EU ETS); authors judge price-elasticity evidence insufficient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4" t="inlineStr">
        <is>
          <t>Sources</t>
        </is>
      </c>
    </row>
    <row r="2">
      <c r="A2" s="5" t="inlineStr">
        <is>
          <t>IPCC (2022) AR6 WGIII, Summary for Policymakers: C.5, C.5.2, C.12, C.12.1, Figure SPM.7.</t>
        </is>
      </c>
    </row>
    <row r="3">
      <c r="A3" s="5" t="inlineStr">
        <is>
          <t>IPCC (2022) AR6 WGIII, Chapter 11 'Industry' (Bashmakov et al.): Executive Summary (p.1163), 11.2 (p.1170 emissions), 11.3.6 (CCS p.1185), 11.4.1.1-11.4.1.5, Table 11.3 (p.1197-1198), Table 11.5, Figure 11.13.</t>
        </is>
      </c>
    </row>
    <row r="4">
      <c r="A4" s="5" t="inlineStr">
        <is>
          <t>IPCC (2022) AR6 WGIII, Chapter 12 'Cross-sectoral perspectives' (Babiker et al.): 12.2, Table 12.2 (p.1254), Table 12.3 (p.1255-1256), Table 12.4 (p.1257); Chapter 12 Supplementary Material (industry reference scenario note).</t>
        </is>
      </c>
    </row>
    <row r="5">
      <c r="A5" s="5" t="inlineStr">
        <is>
          <t>IPCC (2007) AR4 WGIII, Chapter 7 'Industry' (Bernstein et al.): 7.4.2.1 (aluminium PFC), 7.4.3.4 (N2O nitric/adipic acid), Table 7.6, Table 7.9.</t>
        </is>
      </c>
    </row>
    <row r="6">
      <c r="A6" s="5" t="inlineStr">
        <is>
          <t>NACAG / GIZ (2024) Nitric Acid Climate Action Group - FAQ (EN) and Factsheet, nitricacidaction.org.</t>
        </is>
      </c>
    </row>
    <row r="7">
      <c r="A7" s="5" t="inlineStr">
        <is>
          <t>IEA (2020) Iron and Steel Technology Roadmap; IEA (2021) Ammonia Technology Roadmap (production volumes: urea 177 Mt, AN 49 Mt, 2019); IEA (2022) Achieving Net Zero Heavy Industry Sectors in G7 Members (clinker ratio floor ~0.5).</t>
        </is>
      </c>
    </row>
    <row r="8">
      <c r="A8" s="5" t="inlineStr">
        <is>
          <t>International Aluminium Institute (2021) Aluminium Sector Greenhouse Gas Pathways to 2050 (process emissions ~15% of sector total); IAI PFC statistics (GWP basis).</t>
        </is>
      </c>
    </row>
    <row r="9">
      <c r="A9" s="5" t="inlineStr">
        <is>
          <t>European Commission (2023) Implementing Regulation (EU) 2023/1773 (CBAM transitional period) and Guidance No. 5c - Sector-specific guidance document on fertilisers (urea CO2 and nitric-acid N2O provisions).</t>
        </is>
      </c>
    </row>
    <row r="10">
      <c r="A10" s="5" t="inlineStr">
        <is>
          <t>Material Economics (2019) Industrial Transformation 2050 - as cited in IPCC AR6 Ch.11 (pathway costs EUR 12-91/t; CCS shares).</t>
        </is>
      </c>
    </row>
    <row r="11">
      <c r="A11" s="5" t="inlineStr">
        <is>
          <t>Energy Transitions Commission (2018) Mission Possible - as cited in IPCC AR6 Ch.11 (steel USD60/t, cement USD110-130/t).</t>
        </is>
      </c>
    </row>
    <row r="12">
      <c r="A12" s="5" t="inlineStr">
        <is>
          <t>Rootzen &amp; Johnsson (2016); Leeson et al. (2017) - as cited in IPCC AR6 Ch.11.</t>
        </is>
      </c>
    </row>
    <row r="13">
      <c r="A13" s="5" t="inlineStr">
        <is>
          <t>Bayer &amp; Aklin (2020) PNAS 117(16): 8804-8812. doi:10.1073/pnas.1918128117.</t>
        </is>
      </c>
    </row>
    <row r="14">
      <c r="A14" s="5" t="inlineStr">
        <is>
          <t>Dechezlepretre, Nachtigall &amp; Venmans (2023) JEEM 118: 102758. doi:10.1016/j.jeem.2022.102758.</t>
        </is>
      </c>
    </row>
    <row r="15">
      <c r="A15" s="5" t="inlineStr">
        <is>
          <t>Colmer, Martin, Muuls &amp; Wagner (2024) Review of Economic Studies (forthcoming) 'Does pricing carbon mitigate climate change? Firm-level evidence from the EU ETS'.</t>
        </is>
      </c>
    </row>
    <row r="16">
      <c r="A16" s="5" t="inlineStr">
        <is>
          <t>Dobbeling-Hildebrandt et al. (2024) Nature Communications 15: 4147. doi:10.1038/s41467-024-48512-w.</t>
        </is>
      </c>
    </row>
    <row r="17">
      <c r="A17" s="5" t="inlineStr">
        <is>
          <t>CPAT Egypt workbook method note (this repository): TASK-2a_AdHocCalculations_Pseudocode_v0.1.md; InitialResultsAndIssues/Methodological Note.txt (existing process semi-elasticity -0.104 %/USD).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2026-10-02T20:38:55Z</dcterms:created>
  <dcterms:modified xmlns:dcterms="http://purl.org/dc/terms/" xmlns:xsi="http://www.w3.org/2001/XMLSchema-instance" xsi:type="dcterms:W3CDTF">2026-10-02T20:38:55Z</dcterms:modified>
</cp:coreProperties>
</file>